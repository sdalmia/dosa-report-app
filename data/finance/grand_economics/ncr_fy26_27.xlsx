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Noida Sec - 18" sheetId="2" r:id="rId6"/>
    <sheet state="visible" name="Noida Sec -143" sheetId="3" r:id="rId7"/>
    <sheet state="visible" name="DLF" sheetId="4" r:id="rId8"/>
    <sheet state="visible" name="Faridabad Sec15" sheetId="5" r:id="rId9"/>
    <sheet state="visible" name="Gurgaon Sec-15" sheetId="6" r:id="rId10"/>
    <sheet state="visible" name="Gurgaon Sec - 10" sheetId="7" r:id="rId11"/>
    <sheet state="visible" name="Gurgaon Sector 31" sheetId="8" r:id="rId12"/>
    <sheet state="visible" name="Paschim Vihar" sheetId="9" r:id="rId13"/>
    <sheet state="visible" name="Kalkaji" sheetId="10" r:id="rId14"/>
    <sheet state="visible" name="CP" sheetId="11" r:id="rId15"/>
    <sheet state="visible" name="Rohini" sheetId="12" r:id="rId16"/>
    <sheet state="visible" name="Model Town" sheetId="13" r:id="rId17"/>
    <sheet state="visible" name="Pacific Mall" sheetId="14" r:id="rId18"/>
    <sheet state="visible" name="Shalimar Bagh" sheetId="15" r:id="rId19"/>
    <sheet state="visible" name="Ads Account" sheetId="16" r:id="rId20"/>
    <sheet state="visible" name="CK" sheetId="17" r:id="rId21"/>
    <sheet state="hidden" name="Misc Expenses" sheetId="18" r:id="rId22"/>
    <sheet state="visible" name="HO" sheetId="19" r:id="rId23"/>
    <sheet state="hidden" name="Salary Reco" sheetId="20" r:id="rId24"/>
    <sheet state="visible" name="Misc Exp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tc={77d5a4b7-42f6-44c3-a2c8-862b38bb656d}</author>
  </authors>
  <commentList>
    <comment authorId="0" ref="A8">
      <text>
        <t xml:space="preserve">Closing Stock Report</t>
      </text>
    </comment>
    <comment authorId="0" ref="A7">
      <text>
        <t xml:space="preserve">Entry Report -&gt; Wastage</t>
      </text>
    </comment>
    <comment authorId="0" ref="A6">
      <text>
        <t xml:space="preserve">Entry Report -&gt; Transfer To</t>
      </text>
    </comment>
    <comment authorId="0" ref="A5">
      <text>
        <t xml:space="preserve">Entry Report -&gt; Transfer from
Or
Indent Report</t>
      </text>
    </comment>
    <comment authorId="0" ref="A4">
      <text>
        <t xml:space="preserve">Closing Stock Report</t>
      </text>
    </comment>
    <comment authorId="1" xr:uid="{77d5a4b7-42f6-44c3-a2c8-862b38bb656d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review this figure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tc={ce062000-68cc-4529-90f3-fcd994101819}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ce062000-68cc-4529-90f3-fcd994101819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947 Transport Charges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tc={47db651c-73e4-43f6-a60c-eb3b07dddb6c}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47db651c-73e4-43f6-a60c-eb3b07dddb6c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3288 Transport Charges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tc={c9fecea8-3a1e-4606-97e4-cab304580d14}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c9fecea8-3a1e-4606-97e4-cab304580d14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3266 Transport Charges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tc={7a3a2899-6096-4ac7-aaa4-88d3d4aba677}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7a3a2899-6096-4ac7-aaa4-88d3d4aba677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844 Transport Charges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tc={0a700cb7-7049-4120-950f-54f9238e4c0e}</author>
    <author>tc={5446d50a-b39c-45a1-9216-25d3b1aeeaea}</author>
    <author>tc={b276365e-fdfa-4a2e-8941-c179b4c25809}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0a700cb7-7049-4120-950f-54f9238e4c0e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come opening stock is showing here
</t>
      </text>
    </comment>
    <comment authorId="2" xr:uid="{5446d50a-b39c-45a1-9216-25d3b1aeeaea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3682 paid to Pixel Informatics for 12 m
</t>
      </text>
    </comment>
    <comment authorId="3" xr:uid="{b276365e-fdfa-4a2e-8941-c179b4c25809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72992 Swiggy onboarding fee for 12 months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tc={071ada36-f381-40e0-9c9f-209685c63177}</author>
    <author>tc={6e23262e-c38e-4290-a8b9-aa4bc4a90fed}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071ada36-f381-40e0-9c9f-209685c63177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7752 FNF
</t>
      </text>
    </comment>
    <comment authorId="2" xr:uid="{6e23262e-c38e-4290-a8b9-aa4bc4a90fed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6425 HRAI for 12 months
Reply:
	9813 for 12 months FHRAI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tc={392b10ea-173d-4bd3-b308-5283a7c469b7}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392b10ea-173d-4bd3-b308-5283a7c469b7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6425 for HRAI  12 months
Reply:
	9813 for FHRAI for 12 months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tc={8daaf699-e7b1-41fa-925e-3d2d50d6e5c5}</author>
    <author>tc={b318ba6d-717c-4101-bfe5-14525ef33c03}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8daaf699-e7b1-41fa-925e-3d2d50d6e5c5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11612 Vinayak Associates
</t>
      </text>
    </comment>
    <comment authorId="2" xr:uid="{b318ba6d-717c-4101-bfe5-14525ef33c03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18000 Staff Room Rent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tc={b71756bb-3935-4c7f-8721-6b1e4781a83e}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b71756bb-3935-4c7f-8721-6b1e4781a83e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6425 for 12 months HRAI
Reply:
	9813 for 12 months FHRAI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tc={ccf154b2-88c3-4145-b91e-5531d3a12bcc}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ccf154b2-88c3-4145-b91e-5531d3a12bcc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22084 Water Supply Charges Arrear paid for 3 months so distributed in Current FY for 3 months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tc={82c9cc33-4407-4fa6-830a-9573331e96b9}</author>
  </authors>
  <commentList>
    <comment authorId="0" ref="A7">
      <text>
        <t xml:space="preserve">Closing Stock Report</t>
      </text>
    </comment>
    <comment authorId="0" ref="A6">
      <text>
        <t xml:space="preserve">Entry Report -&gt; Wastage</t>
      </text>
    </comment>
    <comment authorId="0" ref="A5">
      <text>
        <t xml:space="preserve">Entry Report -&gt; Transfer To</t>
      </text>
    </comment>
    <comment authorId="0" ref="A4">
      <text>
        <t xml:space="preserve">Entry Report -&gt; Transfer from
Or
Indent Report</t>
      </text>
    </comment>
    <comment authorId="0" ref="A3">
      <text>
        <t xml:space="preserve">Closing Stock Report</t>
      </text>
    </comment>
    <comment authorId="1" xr:uid="{82c9cc33-4407-4fa6-830a-9573331e96b9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41682 Installation Fees.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tc={4dcd4546-efe5-4463-8285-c89d03d8328f}</author>
    <author>tc={529e41af-fab3-4315-a8af-833125894e1c}</author>
    <author>tc={d444f25d-1990-413a-b40f-c066faece625}</author>
  </authors>
  <commentList>
    <comment authorId="0" xr:uid="{4dcd4546-efe5-4463-8285-c89d03d8328f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151653.85 Paid to reelo for whole year
Reply:
	43329 paid to Reelo for FY 26-27 UP
Reply:
	21664.84 and 86659.34 paid to Reelo for full year subscription Haryana
</t>
      </text>
    </comment>
    <comment authorId="1" xr:uid="{529e41af-fab3-4315-a8af-833125894e1c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Swiggy has deducted 460501. However, as per our calculation, the advertisement charges for the month of May 2026 amount to only 198495
</t>
      </text>
    </comment>
    <comment authorId="2" xr:uid="{d444f25d-1990-413a-b40f-c066faece625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DISCUSSED WITH SANJOY DA THIS PARTICULAR EXPENSES RELATES TO BRANDING THUS WE DIVIDE THE EXPENSES BETWEEN BOTH THE CITIES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tc={2371dbf8-744f-4b18-8e7c-5619cc0377f0}</author>
    <author>tc={41bef24b-ec6b-42de-b0b7-9d4aa314bdd1}</author>
    <author>tc={b717be9f-df95-490d-9e4c-5e2be285dcec}</author>
    <author>tc={c73ac98d-8c6a-493c-a329-906b5da59086}</author>
  </authors>
  <commentList>
    <comment authorId="0" xr:uid="{2371dbf8-744f-4b18-8e7c-5619cc0377f0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3834 Lift Maintenance for Chattarpur Guest House 12 months
</t>
      </text>
    </comment>
    <comment authorId="1" xr:uid="{41bef24b-ec6b-42de-b0b7-9d4aa314bdd1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Abdur Rahaman Rs 30000
</t>
      </text>
    </comment>
    <comment authorId="2" xr:uid="{b717be9f-df95-490d-9e4c-5e2be285dcec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144395 is Gratuity
</t>
      </text>
    </comment>
    <comment authorId="3" xr:uid="{c73ac98d-8c6a-493c-a329-906b5da59086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151653 12 months Subscription For Reelo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tc={1b315dc2-81a1-484c-9afb-6626e46d84b7}</author>
    <author>tc={d7dc58ce-2388-4f62-9693-dc43b491f577}</author>
  </authors>
  <commentList>
    <comment authorId="0" xr:uid="{1b315dc2-81a1-484c-9afb-6626e46d84b7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35400 for 12 months AMC
</t>
      </text>
    </comment>
    <comment authorId="1" xr:uid="{d7dc58ce-2388-4f62-9693-dc43b491f577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18710 property tax paid 26-27
</t>
      </text>
    </comment>
  </commentList>
</comments>
</file>

<file path=xl/sharedStrings.xml><?xml version="1.0" encoding="utf-8"?>
<sst xmlns="http://schemas.openxmlformats.org/spreadsheetml/2006/main" count="821" uniqueCount="205">
  <si>
    <t>Dosa Coffee - Noida Sector 18</t>
  </si>
  <si>
    <t>Dosa Coffee - DLF</t>
  </si>
  <si>
    <t>Dosa Coffee - Noida Sector 143</t>
  </si>
  <si>
    <t>FY 2025-26</t>
  </si>
  <si>
    <t>Dosa Coffee - NCR</t>
  </si>
  <si>
    <t>Department</t>
  </si>
  <si>
    <t>Food Cost Calculation</t>
  </si>
  <si>
    <t>Opening Stock</t>
  </si>
  <si>
    <t>Procurement</t>
  </si>
  <si>
    <t>Purchases Food (Less Purchase Return)</t>
  </si>
  <si>
    <t>Transferred Out</t>
  </si>
  <si>
    <t>Wastage &amp; Date Expired</t>
  </si>
  <si>
    <t>Closing Stock</t>
  </si>
  <si>
    <t>Gross Revenue</t>
  </si>
  <si>
    <t>Catering &amp; Fairs</t>
  </si>
  <si>
    <t>Less Tax</t>
  </si>
  <si>
    <t>Less Commission</t>
  </si>
  <si>
    <t>Net Revenues from F&amp;B Sales</t>
  </si>
  <si>
    <t>F&amp;B Cost</t>
  </si>
  <si>
    <t>Electricity</t>
  </si>
  <si>
    <t>Telephone/Internet</t>
  </si>
  <si>
    <t>Gas</t>
  </si>
  <si>
    <t>Rent &amp; Revenue Share</t>
  </si>
  <si>
    <t>Insurance</t>
  </si>
  <si>
    <t>Software</t>
  </si>
  <si>
    <t xml:space="preserve">Staff Salary </t>
  </si>
  <si>
    <t>AMC</t>
  </si>
  <si>
    <t>Subscription</t>
  </si>
  <si>
    <t>Repairs &amp; Maintenance</t>
  </si>
  <si>
    <t>Miscellaneous Expenses</t>
  </si>
  <si>
    <t>CAM</t>
  </si>
  <si>
    <t>HO+CK Cost</t>
  </si>
  <si>
    <t>Operating Expenses</t>
  </si>
  <si>
    <t>Store Level EBITDA</t>
  </si>
  <si>
    <t>Food Cost</t>
  </si>
  <si>
    <t>Dosa Coffee - Faridabad Sec 15</t>
  </si>
  <si>
    <t>Dosa Coffee - Huda Market</t>
  </si>
  <si>
    <t>Dosa Coffee - Gurgaon Sec 10</t>
  </si>
  <si>
    <t>Operation</t>
  </si>
  <si>
    <t>Dosa Coffee - Gurgaon Sec 31</t>
  </si>
  <si>
    <t>Dosa Coffee - Paschim Vihar</t>
  </si>
  <si>
    <t>Dosa Coffee - Kalkaji</t>
  </si>
  <si>
    <t>Insurance Premium</t>
  </si>
  <si>
    <t>Dosa Coffee - Connaught Place</t>
  </si>
  <si>
    <t>Commission %</t>
  </si>
  <si>
    <t>Dosa Coffee - Rohini</t>
  </si>
  <si>
    <t>Dosa Coffee - Model Town</t>
  </si>
  <si>
    <t>Dosa Coffee - Pacific Mall</t>
  </si>
  <si>
    <t>Accounts</t>
  </si>
  <si>
    <t>Dosa Coffee - Shalimar Bagh</t>
  </si>
  <si>
    <t>FY 25-26</t>
  </si>
  <si>
    <t>Advertisement &amp; Promotion</t>
  </si>
  <si>
    <t>- Team</t>
  </si>
  <si>
    <t>- Social Media/Digital Media</t>
  </si>
  <si>
    <t>Capital Deployed</t>
  </si>
  <si>
    <t>- Print Media</t>
  </si>
  <si>
    <t>- Radio</t>
  </si>
  <si>
    <t xml:space="preserve">- Public Relations </t>
  </si>
  <si>
    <t>- Influencers</t>
  </si>
  <si>
    <t>FY 2024-25</t>
  </si>
  <si>
    <t>- POP Materials</t>
  </si>
  <si>
    <t>- Photo and Video Shoot</t>
  </si>
  <si>
    <t>- Website</t>
  </si>
  <si>
    <t>- Competitions and Give Aways</t>
  </si>
  <si>
    <t>- Reelo Campaign</t>
  </si>
  <si>
    <t>- Misc. &amp; Others</t>
  </si>
  <si>
    <t>- Zomato</t>
  </si>
  <si>
    <t>Consumption</t>
  </si>
  <si>
    <t>- Swiggy</t>
  </si>
  <si>
    <t>Wastage</t>
  </si>
  <si>
    <t>Total</t>
  </si>
  <si>
    <t>Water Supply Charges</t>
  </si>
  <si>
    <t>Insurance &amp; licenses</t>
  </si>
  <si>
    <t>Rent &amp; CAM</t>
  </si>
  <si>
    <t>Staff Welfare</t>
  </si>
  <si>
    <t>Membership &amp; Subscription</t>
  </si>
  <si>
    <t>Conveyance</t>
  </si>
  <si>
    <t>Transport Charges</t>
  </si>
  <si>
    <t>HR</t>
  </si>
  <si>
    <t>Paschim Vihar</t>
  </si>
  <si>
    <t>Okhla</t>
  </si>
  <si>
    <t>Rohini</t>
  </si>
  <si>
    <t>Kalkaji</t>
  </si>
  <si>
    <t>Pacific Mall</t>
  </si>
  <si>
    <t>CP</t>
  </si>
  <si>
    <t>Model Town</t>
  </si>
  <si>
    <t>Faridabad</t>
  </si>
  <si>
    <t>DLF</t>
  </si>
  <si>
    <t>Huda Market</t>
  </si>
  <si>
    <t>Noida Sec 18</t>
  </si>
  <si>
    <t>Noida Sec 143</t>
  </si>
  <si>
    <t>Head office</t>
  </si>
  <si>
    <t>Actual</t>
  </si>
  <si>
    <t>Travelling Expenses</t>
  </si>
  <si>
    <t>Motor car Expenses</t>
  </si>
  <si>
    <t>Freight Charges</t>
  </si>
  <si>
    <t>Professional Fees</t>
  </si>
  <si>
    <t>Parking Expenses</t>
  </si>
  <si>
    <t>Merchant Funded Promotion</t>
  </si>
  <si>
    <t>Customer Compensation</t>
  </si>
  <si>
    <t>Round Up</t>
  </si>
  <si>
    <t>Maintenance Expenses</t>
  </si>
  <si>
    <t>Staff Electricity</t>
  </si>
  <si>
    <t>DG Charges</t>
  </si>
  <si>
    <t>Local Authority Expenses</t>
  </si>
  <si>
    <t>Travelling Expense</t>
  </si>
  <si>
    <t>Staff Welfare Expenses</t>
  </si>
  <si>
    <t>Swiggy Cancellation Charges</t>
  </si>
  <si>
    <t>Credit Card Settlement Charges</t>
  </si>
  <si>
    <t>General Expenses</t>
  </si>
  <si>
    <t>House Keeping Charges</t>
  </si>
  <si>
    <t>Printing &amp; Stationery</t>
  </si>
  <si>
    <t>Bank Charges</t>
  </si>
  <si>
    <t>- Petty Cash Expenses</t>
  </si>
  <si>
    <t>-</t>
  </si>
  <si>
    <t>Repairs &amp; Maintenance - Plant</t>
  </si>
  <si>
    <t>t</t>
  </si>
  <si>
    <t>Head Office Expenses</t>
  </si>
  <si>
    <t>Central Kitchen Expenses</t>
  </si>
  <si>
    <t>Guest House Expenses</t>
  </si>
  <si>
    <t>Delhi Office Rent &amp; Electricity</t>
  </si>
  <si>
    <t>Telephone Expenses</t>
  </si>
  <si>
    <t>Head Office Salary</t>
  </si>
  <si>
    <t>Leave Encashment</t>
  </si>
  <si>
    <t xml:space="preserve">Motor Car Expenses &amp; Fuel </t>
  </si>
  <si>
    <t>Office Expenses</t>
  </si>
  <si>
    <t>Professional and Consultancy Fees</t>
  </si>
  <si>
    <t>Mystery Audit</t>
  </si>
  <si>
    <t>Printing &amp; Stationary</t>
  </si>
  <si>
    <t>Repair &amp; Maintenance</t>
  </si>
  <si>
    <t>Salary Reconciliation</t>
  </si>
  <si>
    <t>Software Charges</t>
  </si>
  <si>
    <t>Kolkata</t>
  </si>
  <si>
    <t>Delhi NCR</t>
  </si>
  <si>
    <t>Salary As Per Grand Economics</t>
  </si>
  <si>
    <t>Stores</t>
  </si>
  <si>
    <t>Staff Incentive</t>
  </si>
  <si>
    <t>Staff Food &amp; Perks</t>
  </si>
  <si>
    <t>Subscription &amp; Membership</t>
  </si>
  <si>
    <t>Transportation and Labour</t>
  </si>
  <si>
    <t>Travelling and Conveyance</t>
  </si>
  <si>
    <t>CK</t>
  </si>
  <si>
    <t>Other Sales</t>
  </si>
  <si>
    <t>Head Office</t>
  </si>
  <si>
    <t>Total Salary</t>
  </si>
  <si>
    <t>Total HO Expenses</t>
  </si>
  <si>
    <t>PF Employers Cont.</t>
  </si>
  <si>
    <t>Added in HO Salary</t>
  </si>
  <si>
    <t>ESI Employers Cont.</t>
  </si>
  <si>
    <t>Total Salary as reported in Grand Economics</t>
  </si>
  <si>
    <t>Gratuity</t>
  </si>
  <si>
    <t>Total CTC</t>
  </si>
  <si>
    <t>Particulars</t>
  </si>
  <si>
    <t>Faridabad Sec 15</t>
  </si>
  <si>
    <t>Sector 10</t>
  </si>
  <si>
    <t>Sector 31</t>
  </si>
  <si>
    <t>Apr'2026</t>
  </si>
  <si>
    <t>Connaught Place</t>
  </si>
  <si>
    <t>Shalimar Bagh</t>
  </si>
  <si>
    <t>% Sales Dist</t>
  </si>
  <si>
    <t>Central Kitchen</t>
  </si>
  <si>
    <t>% Dist (HO)</t>
  </si>
  <si>
    <t>May'2026</t>
  </si>
  <si>
    <t>June'2025</t>
  </si>
  <si>
    <t>July'2025</t>
  </si>
  <si>
    <t>lab</t>
  </si>
  <si>
    <t>Noida Sector 18</t>
  </si>
  <si>
    <t>Local Authorities Expenses</t>
  </si>
  <si>
    <t>House Keeping Services</t>
  </si>
  <si>
    <t>Customer Compensation on Zomato</t>
  </si>
  <si>
    <t xml:space="preserve"> </t>
  </si>
  <si>
    <t>Noida Sector 143</t>
  </si>
  <si>
    <t>Merchant Share of Cancelled Orders</t>
  </si>
  <si>
    <t>Office Maintenance House Keeping</t>
  </si>
  <si>
    <t>Swiggy Cancellation Refund</t>
  </si>
  <si>
    <t>Faridabad Sector 15</t>
  </si>
  <si>
    <t>Settlement Charges</t>
  </si>
  <si>
    <t>Round Off</t>
  </si>
  <si>
    <t>Payment Collection Charges</t>
  </si>
  <si>
    <t>Loading &amp; Unloading Charges</t>
  </si>
  <si>
    <t>Travelling &amp; Conveyance</t>
  </si>
  <si>
    <t>Rates &amp; Taxes</t>
  </si>
  <si>
    <t>Staff Water Charges</t>
  </si>
  <si>
    <t>General Expeneses</t>
  </si>
  <si>
    <t>Cash Pickup Charges</t>
  </si>
  <si>
    <t>Interest Charges</t>
  </si>
  <si>
    <t>Motor Car Expenses</t>
  </si>
  <si>
    <t>Staff Room Rent</t>
  </si>
  <si>
    <t>Kitchen Utensils</t>
  </si>
  <si>
    <t>Security Guard Charges</t>
  </si>
  <si>
    <t>Local Conveyance</t>
  </si>
  <si>
    <t>Parking Charges</t>
  </si>
  <si>
    <t>Labor Charges</t>
  </si>
  <si>
    <t>Courier Charges</t>
  </si>
  <si>
    <t>Repairs &amp; Maintenance P&amp;M</t>
  </si>
  <si>
    <t>Aug'2025</t>
  </si>
  <si>
    <t>Sep'2025</t>
  </si>
  <si>
    <t>Oct'2025</t>
  </si>
  <si>
    <t>Nov'2025</t>
  </si>
  <si>
    <t>Ads Account</t>
  </si>
  <si>
    <t>Dec'2025</t>
  </si>
  <si>
    <t>Jan'2026</t>
  </si>
  <si>
    <t>Feb'2026</t>
  </si>
  <si>
    <t>Mar''2026</t>
  </si>
  <si>
    <t>EBITDA Margin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</si>
</sst>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,&quot;yy"/>
    <numFmt numFmtId="165" formatCode="_(* #,##0.00_);_(* \(#,##0.00\);_(* &quot;-&quot;??.0_);_(@_)"/>
    <numFmt numFmtId="166" formatCode="_(* #,##0.0_);_(* \(#,##0.0\);_(* &quot;-&quot;??_);_(@_)"/>
    <numFmt numFmtId="167" formatCode="_(* #,##0.00_);_(* \(#,##0.00\);_(* &quot;-&quot;??_);_(@_)"/>
    <numFmt numFmtId="168" formatCode="#,##0.00;(#,##0.00)"/>
    <numFmt numFmtId="169" formatCode="_(* #,##0_);_(* \(#,##0\);_(* &quot;-&quot;??_);_(@_)"/>
    <numFmt numFmtId="170" formatCode="mmm d"/>
    <numFmt numFmtId="171" formatCode="mmmm d"/>
  </numFmts>
  <fonts count="20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/>
    <font>
      <color theme="1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b/>
      <u/>
      <sz val="9.0"/>
      <color theme="1"/>
      <name val="Arial"/>
    </font>
    <font>
      <b/>
      <color theme="1"/>
      <name val="Arial"/>
      <scheme val="minor"/>
    </font>
    <font>
      <b/>
      <sz val="9.0"/>
      <color rgb="FF000000"/>
      <name val="Tahoma"/>
    </font>
    <font>
      <b/>
      <u/>
      <sz val="9.0"/>
      <color rgb="FF000000"/>
      <name val="Tahoma"/>
    </font>
    <font>
      <sz val="9.0"/>
      <color rgb="FF000000"/>
      <name val="Tahoma"/>
    </font>
    <font>
      <sz val="9.0"/>
      <color rgb="FF000000"/>
      <name val="Calibri"/>
    </font>
    <font>
      <u/>
      <sz val="9.0"/>
      <color rgb="FF000000"/>
      <name val="Tahoma"/>
    </font>
    <font>
      <b/>
      <u/>
      <color rgb="FF000000"/>
      <name val="Arial"/>
    </font>
    <font>
      <color rgb="FF000000"/>
      <name val="Arial"/>
    </font>
    <font>
      <b/>
      <color rgb="FF000000"/>
      <name val="Arial"/>
    </font>
    <font>
      <u/>
      <color rgb="FF000000"/>
      <name val="Arial"/>
    </font>
    <font>
      <b/>
      <sz val="9.0"/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1" fillId="0" fontId="1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2" fillId="0" fontId="1" numFmtId="164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0" fontId="2" numFmtId="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2" fontId="1" numFmtId="3" xfId="0" applyAlignment="1" applyBorder="1" applyFill="1" applyFont="1" applyNumberFormat="1">
      <alignment horizontal="right" vertical="bottom"/>
    </xf>
    <xf borderId="1" fillId="2" fontId="2" numFmtId="10" xfId="0" applyAlignment="1" applyBorder="1" applyFill="1" applyFont="1" applyNumberFormat="1">
      <alignment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4" fontId="2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3" fontId="1" numFmtId="3" xfId="0" applyAlignment="1" applyBorder="1" applyFill="1" applyFont="1" applyNumberFormat="1">
      <alignment horizontal="right" shrinkToFit="0" vertical="bottom" wrapText="1"/>
    </xf>
    <xf borderId="2" fillId="3" fontId="1" numFmtId="3" xfId="0" applyAlignment="1" applyBorder="1" applyFill="1" applyFont="1" applyNumberFormat="1">
      <alignment horizontal="right" shrinkToFit="0" vertical="bottom" wrapText="1"/>
    </xf>
    <xf borderId="1" fillId="3" fontId="1" numFmtId="10" xfId="0" applyAlignment="1" applyBorder="1" applyFill="1" applyFont="1" applyNumberFormat="1">
      <alignment horizontal="right" shrinkToFit="0" vertical="bottom" wrapText="1"/>
    </xf>
    <xf borderId="1" fillId="0" fontId="2" numFmtId="167" xfId="0" applyBorder="1" applyFont="1" applyNumberFormat="1"/>
    <xf borderId="1" fillId="2" fontId="1" numFmtId="10" xfId="0" applyAlignment="1" applyBorder="1" applyFill="1" applyFont="1" applyNumberFormat="1">
      <alignment horizontal="right" vertical="bottom"/>
    </xf>
    <xf borderId="1" fillId="2" fontId="2" numFmtId="3" xfId="0" applyAlignment="1" applyBorder="1" applyFill="1" applyFont="1" applyNumberFormat="1">
      <alignment horizontal="right" readingOrder="0" vertical="bottom"/>
    </xf>
    <xf borderId="1" fillId="4" fontId="2" numFmtId="0" xfId="0" applyAlignment="1" applyBorder="1" applyFill="1" applyFont="1">
      <alignment readingOrder="0" shrinkToFit="0" vertical="bottom" wrapText="1"/>
    </xf>
    <xf borderId="1" fillId="0" fontId="2" numFmtId="3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vertical="bottom"/>
    </xf>
    <xf borderId="1" fillId="3" fontId="4" numFmtId="3" xfId="0" applyAlignment="1" applyBorder="1" applyFill="1" applyFont="1" applyNumberFormat="1">
      <alignment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4" fontId="2" numFmtId="0" xfId="0" applyAlignment="1" applyBorder="1" applyFill="1" applyFont="1">
      <alignment readingOrder="0" vertical="bottom"/>
    </xf>
    <xf borderId="1" fillId="0" fontId="2" numFmtId="4" xfId="0" applyBorder="1" applyFont="1" applyNumberFormat="1"/>
    <xf borderId="1" fillId="5" fontId="1" numFmtId="0" xfId="0" applyAlignment="1" applyBorder="1" applyFill="1" applyFont="1">
      <alignment shrinkToFit="0" vertical="bottom" wrapText="1"/>
    </xf>
    <xf borderId="1" fillId="5" fontId="1" numFmtId="3" xfId="0" applyAlignment="1" applyBorder="1" applyFill="1" applyFont="1" applyNumberFormat="1">
      <alignment horizontal="right" shrinkToFit="0" vertical="bottom" wrapText="1"/>
    </xf>
    <xf borderId="2" fillId="5" fontId="1" numFmtId="3" xfId="0" applyAlignment="1" applyBorder="1" applyFill="1" applyFont="1" applyNumberFormat="1">
      <alignment horizontal="right" shrinkToFit="0" vertical="bottom" wrapText="1"/>
    </xf>
    <xf borderId="1" fillId="5" fontId="1" numFmtId="10" xfId="0" applyAlignment="1" applyBorder="1" applyFill="1" applyFont="1" applyNumberFormat="1">
      <alignment horizontal="right" shrinkToFit="0" vertical="bottom" wrapText="1"/>
    </xf>
    <xf borderId="1" fillId="6" fontId="1" numFmtId="0" xfId="0" applyAlignment="1" applyBorder="1" applyFill="1" applyFont="1">
      <alignment shrinkToFit="0" vertical="bottom" wrapText="1"/>
    </xf>
    <xf borderId="1" fillId="6" fontId="1" numFmtId="167" xfId="0" applyAlignment="1" applyBorder="1" applyFill="1" applyFont="1" applyNumberFormat="1">
      <alignment horizontal="right" shrinkToFit="0" vertical="bottom" wrapText="1"/>
    </xf>
    <xf borderId="1" fillId="6" fontId="1" numFmtId="10" xfId="0" applyAlignment="1" applyBorder="1" applyFill="1" applyFont="1" applyNumberFormat="1">
      <alignment horizontal="right" shrinkToFit="0" vertical="bottom" wrapText="1"/>
    </xf>
    <xf borderId="1" fillId="7" fontId="1" numFmtId="0" xfId="0" applyAlignment="1" applyBorder="1" applyFill="1" applyFont="1">
      <alignment shrinkToFit="0" vertical="bottom" wrapText="1"/>
    </xf>
    <xf borderId="1" fillId="7" fontId="1" numFmtId="10" xfId="0" applyAlignment="1" applyBorder="1" applyFill="1" applyFont="1" applyNumberFormat="1">
      <alignment horizontal="right" shrinkToFit="0" vertical="bottom" wrapText="1"/>
    </xf>
    <xf borderId="2" fillId="7" fontId="1" numFmtId="10" xfId="0" applyAlignment="1" applyBorder="1" applyFill="1" applyFont="1" applyNumberFormat="1">
      <alignment horizontal="right" shrinkToFit="0" vertical="bottom" wrapText="1"/>
    </xf>
    <xf borderId="1" fillId="7" fontId="2" numFmtId="10" xfId="0" applyAlignment="1" applyBorder="1" applyFill="1" applyFont="1" applyNumberFormat="1">
      <alignment vertical="bottom"/>
    </xf>
    <xf borderId="0" fillId="0" fontId="2" numFmtId="3" xfId="0" applyAlignment="1" applyFont="1" applyNumberFormat="1">
      <alignment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68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4" xfId="0" applyAlignment="1" applyFont="1" applyNumberFormat="1">
      <alignment vertical="bottom"/>
    </xf>
    <xf borderId="1" fillId="3" fontId="2" numFmtId="4" xfId="0" applyAlignment="1" applyBorder="1" applyFill="1" applyFont="1" applyNumberFormat="1">
      <alignment vertical="bottom"/>
    </xf>
    <xf borderId="0" fillId="0" fontId="2" numFmtId="167" xfId="0" applyAlignment="1" applyFont="1" applyNumberFormat="1">
      <alignment vertical="bottom"/>
    </xf>
    <xf borderId="1" fillId="0" fontId="2" numFmtId="167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horizontal="right" vertical="bottom"/>
    </xf>
    <xf borderId="1" fillId="3" fontId="1" numFmtId="4" xfId="0" applyAlignment="1" applyBorder="1" applyFill="1" applyFont="1" applyNumberFormat="1">
      <alignment horizontal="right" shrinkToFit="0" vertical="bottom" wrapText="1"/>
    </xf>
    <xf borderId="1" fillId="2" fontId="2" numFmtId="167" xfId="0" applyAlignment="1" applyBorder="1" applyFill="1" applyFont="1" applyNumberFormat="1">
      <alignment readingOrder="0"/>
    </xf>
    <xf borderId="1" fillId="5" fontId="1" numFmtId="4" xfId="0" applyAlignment="1" applyBorder="1" applyFill="1" applyFont="1" applyNumberFormat="1">
      <alignment horizontal="right" shrinkToFit="0" vertical="bottom" wrapText="1"/>
    </xf>
    <xf borderId="1" fillId="0" fontId="2" numFmtId="169" xfId="0" applyBorder="1" applyFont="1" applyNumberFormat="1"/>
    <xf borderId="0" fillId="4" fontId="2" numFmtId="167" xfId="0" applyAlignment="1" applyFill="1" applyFont="1" applyNumberFormat="1">
      <alignment horizontal="right" shrinkToFit="0" vertical="bottom" wrapText="1"/>
    </xf>
    <xf borderId="1" fillId="0" fontId="2" numFmtId="167" xfId="0" applyAlignment="1" applyBorder="1" applyFont="1" applyNumberFormat="1">
      <alignment vertical="bottom"/>
    </xf>
    <xf borderId="1" fillId="0" fontId="5" numFmtId="167" xfId="0" applyAlignment="1" applyBorder="1" applyFont="1" applyNumberFormat="1">
      <alignment readingOrder="0"/>
    </xf>
    <xf borderId="1" fillId="0" fontId="5" numFmtId="2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 vertical="bottom"/>
    </xf>
    <xf borderId="0" fillId="0" fontId="2" numFmtId="167" xfId="0" applyFont="1" applyNumberFormat="1"/>
    <xf borderId="1" fillId="2" fontId="1" numFmtId="0" xfId="0" applyAlignment="1" applyBorder="1" applyFill="1" applyFont="1">
      <alignment horizontal="center" readingOrder="0" vertical="bottom"/>
    </xf>
    <xf borderId="1" fillId="2" fontId="2" numFmtId="4" xfId="0" applyAlignment="1" applyBorder="1" applyFill="1" applyFont="1" applyNumberFormat="1">
      <alignment horizontal="right" readingOrder="0" vertical="bottom"/>
    </xf>
    <xf borderId="0" fillId="0" fontId="2" numFmtId="3" xfId="0" applyAlignment="1" applyFont="1" applyNumberFormat="1">
      <alignment horizontal="right" vertical="bottom"/>
    </xf>
    <xf borderId="0" fillId="0" fontId="6" numFmtId="10" xfId="0" applyFont="1" applyNumberFormat="1"/>
    <xf borderId="1" fillId="3" fontId="2" numFmtId="3" xfId="0" applyAlignment="1" applyBorder="1" applyFill="1" applyFont="1" applyNumberFormat="1">
      <alignment vertical="bottom"/>
    </xf>
    <xf borderId="2" fillId="3" fontId="2" numFmtId="3" xfId="0" applyAlignment="1" applyBorder="1" applyFill="1" applyFont="1" applyNumberFormat="1">
      <alignment vertical="bottom"/>
    </xf>
    <xf borderId="1" fillId="2" fontId="2" numFmtId="167" xfId="0" applyBorder="1" applyFill="1" applyFont="1" applyNumberFormat="1"/>
    <xf borderId="1" fillId="0" fontId="2" numFmtId="3" xfId="0" applyBorder="1" applyFont="1" applyNumberFormat="1"/>
    <xf borderId="0" fillId="0" fontId="6" numFmtId="0" xfId="0" applyFont="1"/>
    <xf borderId="0" fillId="0" fontId="2" numFmtId="10" xfId="0" applyAlignment="1" applyFont="1" applyNumberFormat="1">
      <alignment horizontal="right" vertical="bottom"/>
    </xf>
    <xf borderId="1" fillId="6" fontId="1" numFmtId="4" xfId="0" applyAlignment="1" applyBorder="1" applyFill="1" applyFont="1" applyNumberFormat="1">
      <alignment horizontal="right" shrinkToFit="0" vertical="bottom" wrapText="1"/>
    </xf>
    <xf borderId="1" fillId="6" fontId="1" numFmtId="3" xfId="0" applyAlignment="1" applyBorder="1" applyFill="1" applyFont="1" applyNumberFormat="1">
      <alignment horizontal="right" shrinkToFit="0" vertical="bottom" wrapText="1"/>
    </xf>
    <xf borderId="4" fillId="0" fontId="2" numFmtId="4" xfId="0" applyAlignment="1" applyBorder="1" applyFont="1" applyNumberFormat="1">
      <alignment readingOrder="0" vertical="bottom"/>
    </xf>
    <xf borderId="0" fillId="0" fontId="2" numFmtId="4" xfId="0" applyAlignment="1" applyFont="1" applyNumberFormat="1">
      <alignment horizontal="right" vertical="bottom"/>
    </xf>
    <xf borderId="1" fillId="2" fontId="1" numFmtId="0" xfId="0" applyAlignment="1" applyBorder="1" applyFill="1" applyFont="1">
      <alignment readingOrder="0" shrinkToFit="0" vertical="bottom" wrapText="1"/>
    </xf>
    <xf borderId="1" fillId="2" fontId="2" numFmtId="0" xfId="0" applyAlignment="1" applyBorder="1" applyFill="1" applyFont="1">
      <alignment vertical="bottom"/>
    </xf>
    <xf borderId="0" fillId="0" fontId="6" numFmtId="0" xfId="0" applyAlignment="1" applyFont="1">
      <alignment readingOrder="0"/>
    </xf>
    <xf borderId="1" fillId="2" fontId="1" numFmtId="10" xfId="0" applyAlignment="1" applyBorder="1" applyFill="1" applyFont="1" applyNumberFormat="1">
      <alignment horizontal="right" shrinkToFit="0" vertical="bottom" wrapText="1"/>
    </xf>
    <xf borderId="1" fillId="2" fontId="1" numFmtId="3" xfId="0" applyAlignment="1" applyBorder="1" applyFill="1" applyFont="1" applyNumberFormat="1">
      <alignment horizontal="right" shrinkToFit="0" vertical="bottom" wrapText="1"/>
    </xf>
    <xf borderId="1" fillId="4" fontId="2" numFmtId="3" xfId="0" applyAlignment="1" applyBorder="1" applyFill="1" applyFont="1" applyNumberFormat="1">
      <alignment horizontal="right" vertical="bottom"/>
    </xf>
    <xf borderId="1" fillId="0" fontId="5" numFmtId="4" xfId="0" applyBorder="1" applyFont="1" applyNumberFormat="1"/>
    <xf borderId="1" fillId="0" fontId="2" numFmtId="169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readingOrder="0"/>
    </xf>
    <xf borderId="1" fillId="2" fontId="1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shrinkToFit="0" vertical="bottom" wrapText="1"/>
    </xf>
    <xf quotePrefix="1" borderId="1" fillId="0" fontId="2" numFmtId="0" xfId="0" applyAlignment="1" applyBorder="1" applyFont="1">
      <alignment shrinkToFit="0" vertical="bottom" wrapText="1"/>
    </xf>
    <xf borderId="1" fillId="0" fontId="4" numFmtId="3" xfId="0" applyAlignment="1" applyBorder="1" applyFont="1" applyNumberFormat="1">
      <alignment readingOrder="0" vertical="bottom"/>
    </xf>
    <xf borderId="1" fillId="4" fontId="4" numFmtId="3" xfId="0" applyAlignment="1" applyBorder="1" applyFill="1" applyFont="1" applyNumberFormat="1">
      <alignment vertical="bottom"/>
    </xf>
    <xf borderId="1" fillId="0" fontId="4" numFmtId="3" xfId="0" applyAlignment="1" applyBorder="1" applyFont="1" applyNumberFormat="1">
      <alignment vertical="bottom"/>
    </xf>
    <xf borderId="1" fillId="0" fontId="1" numFmtId="4" xfId="0" applyAlignment="1" applyBorder="1" applyFont="1" applyNumberFormat="1">
      <alignment horizontal="center" shrinkToFit="0" vertical="bottom" wrapText="1"/>
    </xf>
    <xf borderId="1" fillId="0" fontId="4" numFmtId="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horizontal="center" vertical="bottom"/>
    </xf>
    <xf borderId="1" fillId="3" fontId="1" numFmtId="4" xfId="0" applyAlignment="1" applyBorder="1" applyFill="1" applyFont="1" applyNumberFormat="1">
      <alignment vertical="bottom"/>
    </xf>
    <xf borderId="1" fillId="3" fontId="4" numFmtId="4" xfId="0" applyAlignment="1" applyBorder="1" applyFill="1" applyFont="1" applyNumberFormat="1">
      <alignment vertical="bottom"/>
    </xf>
    <xf borderId="1" fillId="4" fontId="2" numFmtId="4" xfId="0" applyAlignment="1" applyBorder="1" applyFill="1" applyFont="1" applyNumberFormat="1">
      <alignment vertical="bottom"/>
    </xf>
    <xf borderId="1" fillId="2" fontId="4" numFmtId="167" xfId="0" applyAlignment="1" applyBorder="1" applyFill="1" applyFont="1" applyNumberFormat="1">
      <alignment vertical="bottom"/>
    </xf>
    <xf borderId="1" fillId="2" fontId="2" numFmtId="167" xfId="0" applyAlignment="1" applyBorder="1" applyFill="1" applyFont="1" applyNumberFormat="1">
      <alignment horizontal="right" vertical="bottom"/>
    </xf>
    <xf borderId="5" fillId="0" fontId="2" numFmtId="167" xfId="0" applyAlignment="1" applyBorder="1" applyFont="1" applyNumberFormat="1">
      <alignment horizontal="right" readingOrder="0" vertical="bottom"/>
    </xf>
    <xf borderId="5" fillId="0" fontId="2" numFmtId="167" xfId="0" applyAlignment="1" applyBorder="1" applyFont="1" applyNumberFormat="1">
      <alignment horizontal="right" vertical="bottom"/>
    </xf>
    <xf borderId="0" fillId="0" fontId="6" numFmtId="3" xfId="0" applyAlignment="1" applyFont="1" applyNumberFormat="1">
      <alignment readingOrder="0"/>
    </xf>
    <xf borderId="5" fillId="3" fontId="4" numFmtId="4" xfId="0" applyAlignment="1" applyBorder="1" applyFill="1" applyFont="1" applyNumberFormat="1">
      <alignment vertical="bottom"/>
    </xf>
    <xf borderId="1" fillId="0" fontId="2" numFmtId="4" xfId="0" applyAlignment="1" applyBorder="1" applyFont="1" applyNumberFormat="1">
      <alignment shrinkToFit="0" vertical="bottom" wrapText="1"/>
    </xf>
    <xf borderId="1" fillId="2" fontId="5" numFmtId="2" xfId="0" applyAlignment="1" applyBorder="1" applyFill="1" applyFont="1" applyNumberFormat="1">
      <alignment readingOrder="0"/>
    </xf>
    <xf borderId="1" fillId="2" fontId="2" numFmtId="167" xfId="0" applyAlignment="1" applyBorder="1" applyFill="1" applyFont="1" applyNumberFormat="1">
      <alignment horizontal="right" readingOrder="0" vertical="bottom"/>
    </xf>
    <xf borderId="1" fillId="5" fontId="1" numFmtId="3" xfId="0" applyAlignment="1" applyBorder="1" applyFill="1" applyFont="1" applyNumberFormat="1">
      <alignment shrinkToFit="0" vertical="bottom" wrapText="1"/>
    </xf>
    <xf borderId="0" fillId="0" fontId="8" numFmtId="0" xfId="0" applyFont="1"/>
    <xf borderId="0" fillId="0" fontId="6" numFmtId="4" xfId="0" applyAlignment="1" applyFont="1" applyNumberFormat="1">
      <alignment readingOrder="0"/>
    </xf>
    <xf borderId="1" fillId="0" fontId="4" numFmtId="167" xfId="0" applyAlignment="1" applyBorder="1" applyFont="1" applyNumberFormat="1">
      <alignment readingOrder="0" vertical="bottom"/>
    </xf>
    <xf borderId="1" fillId="0" fontId="4" numFmtId="167" xfId="0" applyAlignment="1" applyBorder="1" applyFont="1" applyNumberFormat="1">
      <alignment vertical="bottom"/>
    </xf>
    <xf borderId="1" fillId="5" fontId="1" numFmtId="4" xfId="0" applyAlignment="1" applyBorder="1" applyFill="1" applyFont="1" applyNumberFormat="1">
      <alignment shrinkToFit="0" vertical="bottom" wrapText="1"/>
    </xf>
    <xf borderId="5" fillId="5" fontId="1" numFmtId="4" xfId="0" applyAlignment="1" applyBorder="1" applyFill="1" applyFont="1" applyNumberFormat="1">
      <alignment horizontal="right" shrinkToFit="0" vertical="bottom" wrapText="1"/>
    </xf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1" numFmtId="4" xfId="0" applyAlignment="1" applyBorder="1" applyFont="1" applyNumberFormat="1">
      <alignment readingOrder="0" shrinkToFit="0" vertical="bottom" wrapText="0"/>
    </xf>
    <xf borderId="1" fillId="0" fontId="11" numFmtId="4" xfId="0" applyAlignment="1" applyBorder="1" applyFont="1" applyNumberFormat="1">
      <alignment shrinkToFit="0" vertical="bottom" wrapText="0"/>
    </xf>
    <xf borderId="0" fillId="0" fontId="12" numFmtId="4" xfId="0" applyAlignment="1" applyFont="1" applyNumberFormat="1">
      <alignment shrinkToFit="0" vertical="bottom" wrapText="0"/>
    </xf>
    <xf borderId="1" fillId="0" fontId="9" numFmtId="4" xfId="0" applyAlignment="1" applyBorder="1" applyFont="1" applyNumberFormat="1">
      <alignment readingOrder="0" shrinkToFit="0" vertical="bottom" wrapText="0"/>
    </xf>
    <xf borderId="5" fillId="0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6" fontId="1" numFmtId="0" xfId="0" applyAlignment="1" applyFill="1" applyFont="1">
      <alignment readingOrder="0" shrinkToFit="0" vertical="bottom" wrapText="1"/>
    </xf>
    <xf borderId="0" fillId="6" fontId="1" numFmtId="164" xfId="0" applyAlignment="1" applyFill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1" fillId="6" fontId="1" numFmtId="164" xfId="0" applyAlignment="1" applyBorder="1" applyFill="1" applyFont="1" applyNumberFormat="1">
      <alignment horizontal="center" readingOrder="0" vertical="bottom"/>
    </xf>
    <xf borderId="2" fillId="6" fontId="1" numFmtId="164" xfId="0" applyAlignment="1" applyBorder="1" applyFill="1" applyFont="1" applyNumberFormat="1">
      <alignment horizontal="center" readingOrder="0" vertical="bottom"/>
    </xf>
    <xf borderId="6" fillId="2" fontId="1" numFmtId="0" xfId="0" applyAlignment="1" applyBorder="1" applyFill="1" applyFont="1">
      <alignment horizontal="center" vertical="bottom"/>
    </xf>
    <xf borderId="4" fillId="0" fontId="3" numFmtId="0" xfId="0" applyBorder="1" applyFont="1"/>
    <xf borderId="1" fillId="0" fontId="2" numFmtId="0" xfId="0" applyAlignment="1" applyBorder="1" applyFont="1">
      <alignment shrinkToFit="0" vertical="bottom" wrapText="1"/>
    </xf>
    <xf borderId="2" fillId="0" fontId="9" numFmtId="4" xfId="0" applyAlignment="1" applyBorder="1" applyFont="1" applyNumberFormat="1">
      <alignment readingOrder="0" shrinkToFit="0" vertical="bottom" wrapText="0"/>
    </xf>
    <xf borderId="1" fillId="2" fontId="2" numFmtId="4" xfId="0" applyAlignment="1" applyBorder="1" applyFill="1" applyFont="1" applyNumberFormat="1">
      <alignment horizontal="right" vertical="bottom"/>
    </xf>
    <xf borderId="5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2" fontId="4" numFmtId="170" xfId="0" applyAlignment="1" applyBorder="1" applyFill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2" fontId="4" numFmtId="4" xfId="0" applyAlignment="1" applyBorder="1" applyFill="1" applyFont="1" applyNumberFormat="1">
      <alignment vertical="bottom"/>
    </xf>
    <xf borderId="0" fillId="0" fontId="16" numFmtId="3" xfId="0" applyAlignment="1" applyFont="1" applyNumberFormat="1">
      <alignment readingOrder="0" shrinkToFit="0" vertical="bottom" wrapText="0"/>
    </xf>
    <xf borderId="0" fillId="0" fontId="16" numFmtId="3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shrinkToFit="0" vertical="bottom" wrapText="0"/>
    </xf>
    <xf borderId="1" fillId="6" fontId="4" numFmtId="4" xfId="0" applyAlignment="1" applyBorder="1" applyFill="1" applyFont="1" applyNumberFormat="1">
      <alignment vertical="bottom"/>
    </xf>
    <xf borderId="0" fillId="0" fontId="18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8" numFmtId="0" xfId="0" applyAlignment="1" applyFont="1">
      <alignment horizontal="center" readingOrder="0"/>
    </xf>
    <xf borderId="1" fillId="6" fontId="4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readingOrder="0" shrinkToFit="0" vertical="bottom" wrapText="1"/>
    </xf>
    <xf borderId="0" fillId="0" fontId="5" numFmtId="0" xfId="0" applyFont="1"/>
    <xf borderId="1" fillId="8" fontId="4" numFmtId="0" xfId="0" applyAlignment="1" applyBorder="1" applyFill="1" applyFont="1">
      <alignment vertical="bottom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1" fillId="0" fontId="2" numFmtId="2" xfId="0" applyAlignment="1" applyBorder="1" applyFont="1" applyNumberFormat="1">
      <alignment horizontal="right" vertical="bottom"/>
    </xf>
    <xf borderId="1" fillId="0" fontId="2" numFmtId="10" xfId="0" applyAlignment="1" applyBorder="1" applyFont="1" applyNumberFormat="1">
      <alignment horizontal="right" vertical="bottom"/>
    </xf>
    <xf borderId="0" fillId="0" fontId="5" numFmtId="4" xfId="0" applyFont="1" applyNumberFormat="1"/>
    <xf borderId="1" fillId="8" fontId="4" numFmtId="2" xfId="0" applyAlignment="1" applyBorder="1" applyFill="1" applyFont="1" applyNumberFormat="1">
      <alignment vertical="bottom"/>
    </xf>
    <xf borderId="0" fillId="2" fontId="5" numFmtId="0" xfId="0" applyAlignment="1" applyFill="1" applyFont="1">
      <alignment readingOrder="0"/>
    </xf>
    <xf borderId="1" fillId="0" fontId="2" numFmtId="2" xfId="0" applyAlignment="1" applyBorder="1" applyFont="1" applyNumberFormat="1">
      <alignment horizontal="right" readingOrder="0" vertical="bottom"/>
    </xf>
    <xf borderId="1" fillId="0" fontId="2" numFmtId="10" xfId="0" applyAlignment="1" applyBorder="1" applyFont="1" applyNumberFormat="1">
      <alignment horizontal="right" readingOrder="0" vertical="bottom"/>
    </xf>
    <xf borderId="7" fillId="0" fontId="18" numFmtId="4" xfId="0" applyBorder="1" applyFont="1" applyNumberFormat="1"/>
    <xf borderId="1" fillId="0" fontId="4" numFmtId="0" xfId="0" applyAlignment="1" applyBorder="1" applyFont="1">
      <alignment readingOrder="0" vertical="bottom"/>
    </xf>
    <xf borderId="1" fillId="8" fontId="1" numFmtId="2" xfId="0" applyAlignment="1" applyBorder="1" applyFill="1" applyFont="1" applyNumberFormat="1">
      <alignment horizontal="right" vertical="bottom"/>
    </xf>
    <xf borderId="0" fillId="0" fontId="18" numFmtId="171" xfId="0" applyAlignment="1" applyFont="1" applyNumberFormat="1">
      <alignment readingOrder="0"/>
    </xf>
    <xf borderId="0" fillId="8" fontId="2" numFmtId="2" xfId="0" applyAlignment="1" applyFill="1" applyFont="1" applyNumberFormat="1">
      <alignment horizontal="right" vertical="bottom"/>
    </xf>
    <xf borderId="1" fillId="8" fontId="2" numFmtId="2" xfId="0" applyAlignment="1" applyBorder="1" applyFill="1" applyFont="1" applyNumberFormat="1">
      <alignment horizontal="right" vertical="bottom"/>
    </xf>
    <xf borderId="0" fillId="0" fontId="6" numFmtId="2" xfId="0" applyFont="1" applyNumberFormat="1"/>
    <xf borderId="1" fillId="8" fontId="4" numFmtId="4" xfId="0" applyAlignment="1" applyBorder="1" applyFill="1" applyFont="1" applyNumberFormat="1">
      <alignment vertical="bottom"/>
    </xf>
    <xf borderId="1" fillId="8" fontId="1" numFmtId="4" xfId="0" applyAlignment="1" applyBorder="1" applyFill="1" applyFont="1" applyNumberFormat="1">
      <alignment horizontal="right" vertical="bottom"/>
    </xf>
    <xf borderId="1" fillId="8" fontId="19" numFmtId="4" xfId="0" applyAlignment="1" applyBorder="1" applyFill="1" applyFont="1" applyNumberFormat="1">
      <alignment vertical="bottom"/>
    </xf>
    <xf borderId="1" fillId="8" fontId="19" numFmtId="2" xfId="0" applyAlignment="1" applyBorder="1" applyFill="1" applyFont="1" applyNumberFormat="1">
      <alignment vertical="bottom"/>
    </xf>
    <xf borderId="1" fillId="6" fontId="1" numFmtId="49" xfId="0" applyAlignment="1" applyBorder="1" applyFill="1" applyFont="1" applyNumberFormat="1">
      <alignment shrinkToFit="0" vertical="bottom" wrapText="1"/>
    </xf>
    <xf borderId="1" fillId="5" fontId="2" numFmtId="0" xfId="0" applyAlignment="1" applyBorder="1" applyFill="1" applyFont="1">
      <alignment vertical="bottom"/>
    </xf>
    <xf borderId="1" fillId="6" fontId="2" numFmtId="167" xfId="0" applyAlignment="1" applyBorder="1" applyFill="1" applyFont="1" applyNumberFormat="1">
      <alignment vertical="bottom"/>
    </xf>
    <xf borderId="1" fillId="0" fontId="1" numFmtId="4" xfId="0" applyAlignment="1" applyBorder="1" applyFont="1" applyNumberFormat="1">
      <alignment horizontal="right" vertical="bottom"/>
    </xf>
    <xf borderId="1" fillId="2" fontId="1" numFmtId="0" xfId="0" applyAlignment="1" applyBorder="1" applyFill="1" applyFont="1">
      <alignment shrinkToFit="0" vertical="bottom" wrapText="1"/>
    </xf>
    <xf borderId="0" fillId="0" fontId="6" numFmtId="3" xfId="0" applyFont="1" applyNumberFormat="1"/>
    <xf borderId="0" fillId="0" fontId="6" numFmtId="4" xfId="0" applyFont="1" applyNumberFormat="1"/>
    <xf borderId="2" fillId="2" fontId="1" numFmtId="10" xfId="0" applyAlignment="1" applyBorder="1" applyFill="1" applyFont="1" applyNumberFormat="1">
      <alignment horizontal="right" shrinkToFit="0" vertical="bottom" wrapText="1"/>
    </xf>
    <xf borderId="1" fillId="0" fontId="1" numFmtId="3" xfId="0" applyAlignment="1" applyBorder="1" applyFont="1" applyNumberFormat="1">
      <alignment horizontal="right" vertical="bottom"/>
    </xf>
    <xf borderId="0" fillId="0" fontId="2" numFmtId="4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69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hilajit Saha" id="{fc74a37e-7872-4e3e-896e-36bd6aaab8e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" dT="2026-06-06T20:58:30.00" personId="{fc74a37e-7872-4e3e-896e-36bd6aaab8ea}" id="{77d5a4b7-42f6-44c3-a2c8-862b38bb656d}" done="0">
    <x18tc:text xml:space="preserve">need to review this figure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7-13T07:10:21.00" personId="{fc74a37e-7872-4e3e-896e-36bd6aaab8ea}" id="{ce062000-68cc-4529-90f3-fcd994101819}" done="0">
    <x18tc:text xml:space="preserve">947 Transport Charges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7-13T07:09:37.00" personId="{fc74a37e-7872-4e3e-896e-36bd6aaab8ea}" id="{47db651c-73e4-43f6-a60c-eb3b07dddb6c}" done="0">
    <x18tc:text xml:space="preserve">3288 Transport Charges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7-13T07:10:53.00" personId="{fc74a37e-7872-4e3e-896e-36bd6aaab8ea}" id="{c9fecea8-3a1e-4606-97e4-cab304580d14}" done="0">
    <x18tc:text xml:space="preserve">3266 Transport Charges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7-13T07:11:38.00" personId="{fc74a37e-7872-4e3e-896e-36bd6aaab8ea}" id="{7a3a2899-6096-4ac7-aaa4-88d3d4aba677}" done="0">
    <x18tc:text xml:space="preserve">844 Transport Charges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6-06-06T09:14:18.00" personId="{fc74a37e-7872-4e3e-896e-36bd6aaab8ea}" id="{0a700cb7-7049-4120-950f-54f9238e4c0e}" done="0">
    <x18tc:text xml:space="preserve">How come opening stock is showing here</x18tc:text>
  </x18tc:threadedComment>
  <x18tc:threadedComment ref="C25" dT="2026-06-06T18:18:32.00" personId="{fc74a37e-7872-4e3e-896e-36bd6aaab8ea}" id="{b276365e-fdfa-4a2e-8941-c179b4c25809}" done="0">
    <x18tc:text xml:space="preserve">72992 Swiggy onboarding fee for 12 months</x18tc:text>
  </x18tc:threadedComment>
  <x18tc:threadedComment ref="B23" dT="2026-08-13T07:53:15.00" personId="{fc74a37e-7872-4e3e-896e-36bd6aaab8ea}" id="{5446d50a-b39c-45a1-9216-25d3b1aeeaea}" done="0">
    <x18tc:text xml:space="preserve">3682 paid to Pixel Informatics for 12 m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1" dT="2026-05-15T12:53:31.00" personId="{fc74a37e-7872-4e3e-896e-36bd6aaab8ea}" id="{071ada36-f381-40e0-9c9f-209685c63177}" done="0">
    <x18tc:text xml:space="preserve">7752 FNF</x18tc:text>
  </x18tc:threadedComment>
  <x18tc:threadedComment ref="B23" dT="2026-06-06T20:05:25.00" personId="{fc74a37e-7872-4e3e-896e-36bd6aaab8ea}" id="{6e23262e-c38e-4290-a8b9-aa4bc4a90fed}" done="0">
    <x18tc:text xml:space="preserve">6425 HRAI for 12 months</x18tc:text>
  </x18tc:threadedComment>
  <x18tc:threadedComment ref="B23" dT="2026-06-06T20:09:06.00" personId="{fc74a37e-7872-4e3e-896e-36bd6aaab8ea}" id="{54786908-b9f8-4a6a-a974-77caef906e8e}" parentId="{6e23262e-c38e-4290-a8b9-aa4bc4a90fed}">
    <x18tc:text xml:space="preserve">9813 for 12 months FHRAI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6-06-06T20:06:26.00" personId="{fc74a37e-7872-4e3e-896e-36bd6aaab8ea}" id="{392b10ea-173d-4bd3-b308-5283a7c469b7}" done="0">
    <x18tc:text xml:space="preserve">6425 for HRAI  12 months</x18tc:text>
  </x18tc:threadedComment>
  <x18tc:threadedComment ref="B23" dT="2026-06-06T20:10:13.00" personId="{fc74a37e-7872-4e3e-896e-36bd6aaab8ea}" id="{13f66a95-e7ff-402d-b505-e8e2666f2b52}" parentId="{392b10ea-173d-4bd3-b308-5283a7c469b7}">
    <x18tc:text xml:space="preserve">9813 for FHRAI for 12 months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1" dT="2026-06-06T19:58:23.00" personId="{fc74a37e-7872-4e3e-896e-36bd6aaab8ea}" id="{8daaf699-e7b1-41fa-925e-3d2d50d6e5c5}" done="0">
    <x18tc:text xml:space="preserve">11612 Vinayak Associates</x18tc:text>
  </x18tc:threadedComment>
  <x18tc:threadedComment ref="D21" dT="2026-07-13T11:08:51.00" personId="{fc74a37e-7872-4e3e-896e-36bd6aaab8ea}" id="{b318ba6d-717c-4101-bfe5-14525ef33c03}" done="1">
    <x18tc:text xml:space="preserve">18000 Staff Room Rent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6-06-06T20:07:05.00" personId="{fc74a37e-7872-4e3e-896e-36bd6aaab8ea}" id="{b71756bb-3935-4c7f-8721-6b1e4781a83e}" done="0">
    <x18tc:text xml:space="preserve">6425 for 12 months HRAI</x18tc:text>
  </x18tc:threadedComment>
  <x18tc:threadedComment ref="B23" dT="2026-06-06T20:08:02.00" personId="{fc74a37e-7872-4e3e-896e-36bd6aaab8ea}" id="{8b188621-1681-4181-988d-668e71adcd25}" parentId="{b71756bb-3935-4c7f-8721-6b1e4781a83e}">
    <x18tc:text xml:space="preserve">9813 for 12 months FHRAI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5" dT="2026-06-06T19:55:10.00" personId="{fc74a37e-7872-4e3e-896e-36bd6aaab8ea}" id="{ccf154b2-88c3-4145-b91e-5531d3a12bcc}" done="0">
    <x18tc:text xml:space="preserve">22084 Water Supply Charges Arrear paid for 3 months so distributed in Current FY for 3 months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5-18T09:00:14.00" personId="{fc74a37e-7872-4e3e-896e-36bd6aaab8ea}" id="{82c9cc33-4407-4fa6-830a-9573331e96b9}" done="0">
    <x18tc:text xml:space="preserve">41682 Installation Fees.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06-08T10:51:04.00" personId="{fc74a37e-7872-4e3e-896e-36bd6aaab8ea}" id="{529e41af-fab3-4315-a8af-833125894e1c}" done="0">
    <x18tc:text xml:space="preserve">Swiggy has deducted 460501. However, as per our calculation, the advertisement charges for the month of May 2026 amount to only 198495</x18tc:text>
  </x18tc:threadedComment>
  <x18tc:threadedComment ref="B13" dT="2026-06-06T19:40:32.00" personId="{fc74a37e-7872-4e3e-896e-36bd6aaab8ea}" id="{4dcd4546-efe5-4463-8285-c89d03d8328f}" done="0">
    <x18tc:text xml:space="preserve">151653.85 Paid to reelo for whole year</x18tc:text>
  </x18tc:threadedComment>
  <x18tc:threadedComment ref="B13" dT="2026-07-11T09:48:36.00" personId="{fc74a37e-7872-4e3e-896e-36bd6aaab8ea}" id="{37263338-b2f0-4e0c-be02-5362b81707cc}" parentId="{4dcd4546-efe5-4463-8285-c89d03d8328f}">
    <x18tc:text xml:space="preserve">43329 paid to Reelo for FY 26-27 UP</x18tc:text>
  </x18tc:threadedComment>
  <x18tc:threadedComment ref="B13" dT="2026-07-11T11:38:29.00" personId="{fc74a37e-7872-4e3e-896e-36bd6aaab8ea}" id="{60a9980f-0789-4f77-8088-a568cb6398fc}" parentId="{4dcd4546-efe5-4463-8285-c89d03d8328f}">
    <x18tc:text xml:space="preserve">21664.84 and 86659.34 paid to Reelo for full year subscription Haryana</x18tc:text>
  </x18tc:threadedComment>
  <x18tc:threadedComment ref="D8" dT="2026-07-14T11:57:49.00" personId="{fc74a37e-7872-4e3e-896e-36bd6aaab8ea}" id="{d444f25d-1990-413a-b40f-c066faece625}" done="1">
    <x18tc:text xml:space="preserve">AS DISCUSSED WITH SANJOY DA THIS PARTICULAR EXPENSES RELATES TO BRANDING THUS WE DIVIDE THE EXPENSES BETWEEN BOTH THE CITIES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6-05-16T13:46:50.00" personId="{fc74a37e-7872-4e3e-896e-36bd6aaab8ea}" id="{b717be9f-df95-490d-9e4c-5e2be285dcec}" done="0">
    <x18tc:text xml:space="preserve">144395 is Gratuity</x18tc:text>
  </x18tc:threadedComment>
  <x18tc:threadedComment ref="D9" dT="2026-07-13T06:57:03.00" personId="{fc74a37e-7872-4e3e-896e-36bd6aaab8ea}" id="{41bef24b-ec6b-42de-b0b7-9d4aa314bdd1}" done="0">
    <x18tc:text xml:space="preserve">Abdur Rahaman Rs 30000</x18tc:text>
  </x18tc:threadedComment>
  <x18tc:threadedComment ref="B18" dT="2026-07-13T10:23:56.00" personId="{fc74a37e-7872-4e3e-896e-36bd6aaab8ea}" id="{c73ac98d-8c6a-493c-a329-906b5da59086}" done="0">
    <x18tc:text xml:space="preserve">151653 12 months Subscription For Reelo</x18tc:text>
  </x18tc:threadedComment>
  <x18tc:threadedComment ref="B4" dT="2026-08-18T06:56:08.00" personId="{fc74a37e-7872-4e3e-896e-36bd6aaab8ea}" id="{2371dbf8-744f-4b18-8e7c-5619cc0377f0}" done="0">
    <x18tc:text xml:space="preserve">3834 Lift Maintenance for Chattarpur Guest House 12 months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2" dT="2026-07-11T12:38:58.00" personId="{fc74a37e-7872-4e3e-896e-36bd6aaab8ea}" id="{d7dc58ce-2388-4f62-9693-dc43b491f577}" done="0">
    <x18tc:text xml:space="preserve">18710 property tax paid 26-27</x18tc:text>
  </x18tc:threadedComment>
  <x18tc:threadedComment ref="B41" dT="2026-08-12T17:49:27.00" personId="{fc74a37e-7872-4e3e-896e-36bd6aaab8ea}" id="{1b315dc2-81a1-484c-9afb-6626e46d84b7}" done="0">
    <x18tc:text xml:space="preserve">35400 for 12 months AMC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1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6" width="12.63"/>
    <col customWidth="1" min="7" max="7" width="11.25"/>
    <col customWidth="1" min="16" max="16" width="8.13"/>
  </cols>
  <sheetData>
    <row r="1" ht="15.75" customHeight="1">
      <c r="A1" s="2"/>
      <c r="B1" s="4"/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ht="15.75" customHeight="1">
      <c r="A2" s="1" t="s">
        <v>4</v>
      </c>
      <c r="B2" s="9" t="s">
        <v>5</v>
      </c>
      <c r="C2" s="3">
        <v>45748.0</v>
      </c>
      <c r="D2" s="3">
        <v>45778.0</v>
      </c>
      <c r="E2" s="3">
        <v>45809.0</v>
      </c>
      <c r="F2" s="3">
        <v>45839.0</v>
      </c>
      <c r="G2" s="11">
        <v>45870.0</v>
      </c>
      <c r="H2" s="3">
        <v>45901.0</v>
      </c>
      <c r="I2" s="3">
        <v>45931.0</v>
      </c>
      <c r="J2" s="3">
        <v>45962.0</v>
      </c>
      <c r="K2" s="3">
        <v>45992.0</v>
      </c>
      <c r="L2" s="3">
        <v>46023.0</v>
      </c>
      <c r="M2" s="3">
        <v>46054.0</v>
      </c>
      <c r="N2" s="3">
        <v>46082.0</v>
      </c>
      <c r="O2" s="7" t="s">
        <v>3</v>
      </c>
      <c r="P2" s="8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ht="15.75" customHeight="1">
      <c r="A3" s="10" t="s">
        <v>6</v>
      </c>
      <c r="B3" s="12"/>
      <c r="C3" s="12"/>
      <c r="D3" s="12"/>
      <c r="E3" s="12"/>
      <c r="F3" s="12"/>
      <c r="G3" s="13"/>
      <c r="H3" s="12"/>
      <c r="I3" s="12"/>
      <c r="J3" s="12"/>
      <c r="K3" s="12"/>
      <c r="L3" s="12"/>
      <c r="M3" s="12"/>
      <c r="N3" s="12"/>
      <c r="O3" s="12"/>
      <c r="P3" s="12"/>
      <c r="Q3" s="6"/>
      <c r="R3" s="3"/>
      <c r="S3" s="3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ht="15.75" customHeight="1">
      <c r="A4" s="14" t="s">
        <v>7</v>
      </c>
      <c r="B4" s="19" t="s">
        <v>8</v>
      </c>
      <c r="C4" s="19">
        <f>'Noida Sec - 18'!B3+'Noida Sec -143'!B3+DLF!B3+'Faridabad Sec15'!B3+'Gurgaon Sec-15'!B3+'Gurgaon Sec - 10'!B3+'Paschim Vihar'!B3+Kalkaji!B3+CP!B3+Rohini!B3+'Model Town'!B3+'Pacific Mall'!B3+'Shalimar Bagh'!B3</f>
        <v>871359</v>
      </c>
      <c r="D4" s="19">
        <f>'Noida Sec - 18'!C3+'Noida Sec -143'!C3+DLF!C3+'Faridabad Sec15'!C3+'Gurgaon Sec-15'!C3+'Gurgaon Sec - 10'!C3+'Paschim Vihar'!C3+Kalkaji!C3+CP!C3+Rohini!C3+'Model Town'!C3+'Pacific Mall'!C3</f>
        <v>871581.38</v>
      </c>
      <c r="E4" s="19">
        <f>'Noida Sec - 18'!D3+'Noida Sec -143'!D3+DLF!D3+'Faridabad Sec15'!D3+'Gurgaon Sec-15'!D3+'Gurgaon Sec - 10'!D3+'Gurgaon Sector 31'!D3+'Paschim Vihar'!D3+Kalkaji!D3+CP!D3+Rohini!D3+'Model Town'!D3+'Pacific Mall'!D3+'Shalimar Bagh'!D3</f>
        <v>901128.86</v>
      </c>
      <c r="F4" s="19">
        <f>'Noida Sec - 18'!E3+'Noida Sec -143'!E3+DLF!E3+'Faridabad Sec15'!E3+'Gurgaon Sec-15'!E3+'Gurgaon Sec - 10'!E3+'Gurgaon Sector 31'!E3+'Paschim Vihar'!E3+Kalkaji!E3+CP!E3+Rohini!E3+'Model Town'!E3+'Pacific Mall'!E3+'Shalimar Bagh'!E3</f>
        <v>843369.96</v>
      </c>
      <c r="G4" s="19">
        <f>'Noida Sec - 18'!F3+'Noida Sec -143'!F3+DLF!F3+'Faridabad Sec15'!F3+'Gurgaon Sec-15'!F3+'Gurgaon Sec - 10'!F3+'Gurgaon Sector 31'!F3+'Paschim Vihar'!F3+Kalkaji!F3+CP!F3+Rohini!F3+'Model Town'!F3+'Pacific Mall'!F3+'Shalimar Bagh'!F3</f>
        <v>778147.1</v>
      </c>
      <c r="H4" s="19">
        <f>'Noida Sec - 18'!G3+'Noida Sec -143'!G3+DLF!G3+'Faridabad Sec15'!G3+'Gurgaon Sec-15'!G3+'Gurgaon Sec - 10'!G3+'Gurgaon Sector 31'!G3+'Paschim Vihar'!G3+Kalkaji!G3+CP!G3+Rohini!G3+'Model Town'!G3+'Pacific Mall'!G3+'Shalimar Bagh'!G3</f>
        <v>746317.86</v>
      </c>
      <c r="I4" s="19">
        <f>'Noida Sec - 18'!H3+'Noida Sec -143'!H3+DLF!H3+'Faridabad Sec15'!H3+'Gurgaon Sec-15'!H3+'Gurgaon Sec - 10'!H3+'Gurgaon Sector 31'!H3+'Paschim Vihar'!H3+Kalkaji!H3+CP!H3+Rohini!H3+'Model Town'!H3+'Pacific Mall'!H3+'Shalimar Bagh'!H3</f>
        <v>300476.16</v>
      </c>
      <c r="J4" s="19">
        <f>'Noida Sec - 18'!I3+'Noida Sec -143'!I3+DLF!I3+'Faridabad Sec15'!I3+'Gurgaon Sec-15'!I3+'Gurgaon Sec - 10'!I3+'Paschim Vihar'!I3+Kalkaji!I3+CP!I3+Rohini!I3+'Model Town'!I3+'Pacific Mall'!I3</f>
        <v>0</v>
      </c>
      <c r="K4" s="19">
        <f>'Noida Sec - 18'!J3+'Noida Sec -143'!J3+DLF!J3+'Faridabad Sec15'!J3+'Gurgaon Sec-15'!J3+'Gurgaon Sec - 10'!J3+'Paschim Vihar'!J3+Kalkaji!J3+CP!J3+Rohini!J3+'Model Town'!J3+'Pacific Mall'!J3</f>
        <v>0</v>
      </c>
      <c r="L4" s="19">
        <f>'Noida Sec - 18'!K3+'Noida Sec -143'!K3+DLF!K3+'Faridabad Sec15'!K3+'Gurgaon Sec-15'!K3+'Gurgaon Sec - 10'!K3+'Paschim Vihar'!K3+Kalkaji!K3+CP!K3+Rohini!K3+'Model Town'!K3+'Pacific Mall'!K3</f>
        <v>0</v>
      </c>
      <c r="M4" s="19">
        <f>'Noida Sec - 18'!L3+'Noida Sec -143'!L3+DLF!L3+'Faridabad Sec15'!L3+'Gurgaon Sec-15'!L3+'Gurgaon Sec - 10'!L3+'Paschim Vihar'!L3+Kalkaji!L3+CP!L3+Rohini!L3+'Model Town'!L3+'Pacific Mall'!L3</f>
        <v>0</v>
      </c>
      <c r="N4" s="19">
        <f>'Noida Sec - 18'!M3+'Noida Sec -143'!M3+DLF!M3+'Faridabad Sec15'!M3+'Gurgaon Sec-15'!M3+'Gurgaon Sec - 10'!M3+'Paschim Vihar'!M3+Kalkaji!M3+CP!M3+Rohini!M3+'Model Town'!M3+'Pacific Mall'!M3+'Shalimar Bagh'!M3</f>
        <v>0</v>
      </c>
      <c r="O4" s="21"/>
      <c r="P4" s="22"/>
      <c r="Q4" s="6"/>
      <c r="R4" s="37">
        <v>850672.0</v>
      </c>
      <c r="S4" s="37">
        <f t="shared" ref="S4:S8" si="1">C4-R4</f>
        <v>20687</v>
      </c>
      <c r="T4" s="6"/>
      <c r="U4" s="38">
        <f>6736750.78-186270-304531</f>
        <v>6245949.78</v>
      </c>
      <c r="V4" s="38">
        <v>6406016.0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15.75" customHeight="1">
      <c r="A5" s="14" t="s">
        <v>9</v>
      </c>
      <c r="B5" s="19" t="s">
        <v>8</v>
      </c>
      <c r="C5" s="19">
        <f>'Noida Sec - 18'!B4+'Noida Sec -143'!B4+DLF!B4+'Faridabad Sec15'!B4+'Gurgaon Sec-15'!B4+'Gurgaon Sec - 10'!B4+'Paschim Vihar'!B4+Kalkaji!B4+CP!B4+Rohini!B4+'Model Town'!B4+'Pacific Mall'!B4+'Shalimar Bagh'!B4+285196</f>
        <v>6018343.5</v>
      </c>
      <c r="D5" s="19">
        <f>'Noida Sec - 18'!C4+'Noida Sec -143'!C4+DLF!C4+'Faridabad Sec15'!C4+'Gurgaon Sec-15'!C4+'Gurgaon Sec - 10'!C4+'Paschim Vihar'!C4+Kalkaji!C4+CP!C4+Rohini!C4+'Model Town'!C4+'Pacific Mall'!C4+'Shalimar Bagh'!C4+'Gurgaon Sector 31'!C4+150525</f>
        <v>6203393.9</v>
      </c>
      <c r="E5" s="19">
        <f>'Noida Sec - 18'!D4+'Noida Sec -143'!D4+DLF!D4+'Faridabad Sec15'!D4+'Gurgaon Sec-15'!D4+'Gurgaon Sec - 10'!D4+'Gurgaon Sector 31'!D4+'Paschim Vihar'!D4+Kalkaji!D4+CP!D4+Rohini!D4+'Model Town'!D4+'Pacific Mall'!D4+'Shalimar Bagh'!D4+314521</f>
        <v>6404315.75</v>
      </c>
      <c r="F5" s="19">
        <f>'Noida Sec - 18'!E4+'Noida Sec -143'!E4+DLF!E4+'Faridabad Sec15'!E4+'Gurgaon Sec-15'!E4+'Gurgaon Sec - 10'!E4+'Gurgaon Sector 31'!E4+'Paschim Vihar'!E4+Kalkaji!E4+CP!E4+Rohini!E4+'Model Town'!E4+'Pacific Mall'!E4+'Shalimar Bagh'!E4</f>
        <v>5892054.77</v>
      </c>
      <c r="G5" s="19">
        <f>'Noida Sec - 18'!F4+'Noida Sec -143'!F4+'Faridabad Sec15'!F4+DLF!F4+'Gurgaon Sec-15'!F4+'Paschim Vihar'!F4+Kalkaji!F4+CP!F4+Rohini!F4+'Model Town'!F4+'Pacific Mall'!F4</f>
        <v>5592889.2</v>
      </c>
      <c r="H5" s="19">
        <f>'Noida Sec - 18'!G4+'Noida Sec -143'!G4+'Faridabad Sec15'!G4+DLF!G4+'Gurgaon Sec-15'!G4+'Paschim Vihar'!G4+Kalkaji!G4+CP!G4+Rohini!G4+'Model Town'!G4+'Pacific Mall'!G4</f>
        <v>1809423.12</v>
      </c>
      <c r="I5" s="19">
        <f>'Noida Sec - 18'!H4+'Noida Sec -143'!H4+'Faridabad Sec15'!H4+DLF!H4+'Gurgaon Sec-15'!H4+'Paschim Vihar'!H4+Kalkaji!H4+CP!H4+Rohini!H4+'Model Town'!H4+'Pacific Mall'!H4</f>
        <v>0</v>
      </c>
      <c r="J5" s="19">
        <f>'Noida Sec - 18'!I4+'Noida Sec -143'!I4+'Faridabad Sec15'!I4+DLF!I4+'Gurgaon Sec-15'!I4+'Paschim Vihar'!I4+Kalkaji!I4+CP!I4+Rohini!I4+'Model Town'!I4+'Pacific Mall'!I4</f>
        <v>0</v>
      </c>
      <c r="K5" s="19">
        <f>'Noida Sec - 18'!J4+'Noida Sec -143'!J4+'Faridabad Sec15'!J4+DLF!J4+'Gurgaon Sec-15'!J4+'Paschim Vihar'!J4+Kalkaji!J4+CP!J4+Rohini!J4+'Model Town'!J4+'Pacific Mall'!J4+'Gurgaon Sec - 10'!J4</f>
        <v>0</v>
      </c>
      <c r="L5" s="19">
        <f>'Noida Sec - 18'!K4+'Noida Sec -143'!K4+'Faridabad Sec15'!K4+DLF!K4+'Gurgaon Sec-15'!K4+'Paschim Vihar'!K4+Kalkaji!K4+CP!K4+Rohini!K4+'Model Town'!K4+'Pacific Mall'!K4+'Gurgaon Sec - 10'!K4</f>
        <v>0</v>
      </c>
      <c r="M5" s="19">
        <f>'Noida Sec - 18'!L4+'Noida Sec -143'!L4+DLF!L4+'Faridabad Sec15'!L4+'Gurgaon Sec-15'!L4+'Gurgaon Sec - 10'!L4+'Paschim Vihar'!L4+Kalkaji!L4+CP!L4+Rohini!L4+'Model Town'!L4+'Pacific Mall'!L4</f>
        <v>0</v>
      </c>
      <c r="N5" s="19">
        <f>'Noida Sec - 18'!M4+'Noida Sec -143'!M4+DLF!M4+'Faridabad Sec15'!M4+'Gurgaon Sec-15'!M4+'Gurgaon Sec - 10'!M4+'Paschim Vihar'!M4+Kalkaji!M4+CP!M4+Rohini!M4+'Model Town'!M4+'Pacific Mall'!M4+'Shalimar Bagh'!M4</f>
        <v>0</v>
      </c>
      <c r="O5" s="21"/>
      <c r="P5" s="22"/>
      <c r="Q5" s="6"/>
      <c r="R5" s="19">
        <v>5694719.0</v>
      </c>
      <c r="S5" s="19">
        <f t="shared" si="1"/>
        <v>323624.5</v>
      </c>
      <c r="T5" s="6"/>
      <c r="U5" s="55">
        <v>-42555.0</v>
      </c>
      <c r="V5" s="56">
        <f>E5</f>
        <v>6404315.75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75" customHeight="1">
      <c r="A6" s="14" t="s">
        <v>10</v>
      </c>
      <c r="B6" s="19" t="s">
        <v>8</v>
      </c>
      <c r="C6" s="19">
        <f>'Noida Sec - 18'!B5+'Noida Sec -143'!B5+DLF!B5+'Faridabad Sec15'!B5+'Gurgaon Sec-15'!B5+'Gurgaon Sec - 10'!B5+'Paschim Vihar'!B5+Kalkaji!B5+CP!B5+Rohini!B5+'Model Town'!B5+'Pacific Mall'!B5+'Shalimar Bagh'!B5</f>
        <v>2618</v>
      </c>
      <c r="D6" s="19">
        <f>'Noida Sec - 18'!C5+'Noida Sec -143'!C5+DLF!C5+'Faridabad Sec15'!C5+'Gurgaon Sec-15'!C5+'Gurgaon Sec - 10'!C5+'Paschim Vihar'!C5+Kalkaji!C5+CP!C5+Rohini!C5+'Model Town'!C5+'Pacific Mall'!C5+'Shalimar Bagh'!C5</f>
        <v>255.24</v>
      </c>
      <c r="E6" s="19">
        <f>'Noida Sec - 18'!D5+'Noida Sec -143'!D5+DLF!D5+'Faridabad Sec15'!D5+'Gurgaon Sec-15'!D5+'Gurgaon Sec - 10'!D5+'Paschim Vihar'!D5+Kalkaji!D5+CP!D5+Rohini!D5+'Model Town'!D5+'Pacific Mall'!D5+'Shalimar Bagh'!D5</f>
        <v>58857.92</v>
      </c>
      <c r="F6" s="19">
        <f>'Noida Sec - 18'!E5+'Noida Sec -143'!E5+DLF!E5+'Faridabad Sec15'!E5+'Gurgaon Sec-15'!E5+'Gurgaon Sec - 10'!E5+'Paschim Vihar'!E5+Kalkaji!E5+CP!E5+Rohini!E5+'Model Town'!E5+'Pacific Mall'!E5+'Shalimar Bagh'!E5</f>
        <v>0</v>
      </c>
      <c r="G6" s="19">
        <f>'Noida Sec - 18'!F5+'Noida Sec -143'!F5+'Faridabad Sec15'!F5+DLF!F5+'Gurgaon Sec-15'!F5+'Paschim Vihar'!F5+Kalkaji!F5+CP!F5+Rohini!F5+'Model Town'!F5+'Pacific Mall'!F5</f>
        <v>0</v>
      </c>
      <c r="H6" s="19">
        <f>'Noida Sec - 18'!G5+'Noida Sec -143'!G5+'Faridabad Sec15'!G5+DLF!G5+'Gurgaon Sec-15'!G5+'Paschim Vihar'!G5+Kalkaji!G5+CP!G5+Rohini!G5+'Model Town'!G5+'Pacific Mall'!G5</f>
        <v>0</v>
      </c>
      <c r="I6" s="19">
        <f>'Noida Sec - 18'!H5+'Noida Sec -143'!H5+'Faridabad Sec15'!H5+DLF!H5+'Gurgaon Sec-15'!H5+'Paschim Vihar'!H5+Kalkaji!H5+CP!H5+Rohini!H5+'Model Town'!H5+'Pacific Mall'!H5</f>
        <v>0</v>
      </c>
      <c r="J6" s="19">
        <f>'Noida Sec - 18'!I5+'Noida Sec -143'!I5+'Faridabad Sec15'!I5+DLF!I5+'Gurgaon Sec-15'!I5+'Paschim Vihar'!I5+Kalkaji!I5+CP!I5+Rohini!I5+'Model Town'!I5+'Pacific Mall'!I5</f>
        <v>0</v>
      </c>
      <c r="K6" s="19">
        <f>'Noida Sec - 18'!J5+'Noida Sec -143'!J5+'Faridabad Sec15'!J5+DLF!J5+'Gurgaon Sec-15'!J5+'Paschim Vihar'!J5+Kalkaji!J5+CP!J5+Rohini!J5+'Model Town'!J5+'Pacific Mall'!J5+'Gurgaon Sec - 10'!J5</f>
        <v>0</v>
      </c>
      <c r="L6" s="19">
        <f>'Noida Sec - 18'!K5+'Noida Sec -143'!K5+'Faridabad Sec15'!K5+DLF!K5+'Gurgaon Sec-15'!K5+'Paschim Vihar'!K5+Kalkaji!K5+CP!K5+Rohini!K5+'Model Town'!K5+'Pacific Mall'!K5+'Gurgaon Sec - 10'!K5</f>
        <v>0</v>
      </c>
      <c r="M6" s="19">
        <f>'Noida Sec - 18'!L5+'Noida Sec -143'!L5+DLF!L5+'Faridabad Sec15'!L5+'Gurgaon Sec-15'!L5+'Gurgaon Sec - 10'!L5+'Paschim Vihar'!L5+Kalkaji!L5+CP!L5+Rohini!L5+'Model Town'!L5+'Pacific Mall'!L5</f>
        <v>0</v>
      </c>
      <c r="N6" s="19">
        <f>'Noida Sec - 18'!M5+'Noida Sec -143'!M5+DLF!M5+'Faridabad Sec15'!M5+'Gurgaon Sec-15'!M5+'Gurgaon Sec - 10'!M5+'Paschim Vihar'!M5+Kalkaji!M5+CP!M5+Rohini!M5+'Model Town'!M5+'Pacific Mall'!M5+'Shalimar Bagh'!M5</f>
        <v>0</v>
      </c>
      <c r="O6" s="21"/>
      <c r="P6" s="22"/>
      <c r="Q6" s="6"/>
      <c r="R6" s="19">
        <v>3115.0</v>
      </c>
      <c r="S6" s="19">
        <f t="shared" si="1"/>
        <v>-497</v>
      </c>
      <c r="T6" s="6"/>
      <c r="U6" s="58">
        <f>U4+U5</f>
        <v>6203394.78</v>
      </c>
      <c r="V6" s="58">
        <f>V4-V5</f>
        <v>1700.25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ht="15.75" customHeight="1">
      <c r="A7" s="14" t="s">
        <v>11</v>
      </c>
      <c r="B7" s="19" t="s">
        <v>8</v>
      </c>
      <c r="C7" s="19">
        <f>'Noida Sec - 18'!B6+'Noida Sec -143'!B6+DLF!B6+'Faridabad Sec15'!B6+'Gurgaon Sec-15'!B6+'Gurgaon Sec - 10'!B6+'Paschim Vihar'!B6+Kalkaji!B6+CP!B6+Rohini!B6+'Model Town'!B6+'Pacific Mall'!B6+'Shalimar Bagh'!B6</f>
        <v>332697.6</v>
      </c>
      <c r="D7" s="19">
        <f>'Noida Sec - 18'!C6+'Noida Sec -143'!C6+DLF!C6+'Faridabad Sec15'!C6+'Gurgaon Sec-15'!C6+'Gurgaon Sec - 10'!C6+'Paschim Vihar'!C6+Kalkaji!C6+CP!C6+Rohini!C6+'Model Town'!C6+'Pacific Mall'!C6+'Shalimar Bagh'!C6</f>
        <v>371280.15</v>
      </c>
      <c r="E7" s="19">
        <f>'Noida Sec - 18'!D6+'Noida Sec -143'!D6+DLF!D6+'Faridabad Sec15'!D6+'Gurgaon Sec-15'!D6+'Gurgaon Sec - 10'!D6+'Gurgaon Sector 31'!D6+'Paschim Vihar'!D6+Kalkaji!D6+CP!D6+Rohini!D6+'Model Town'!D6+'Pacific Mall'!D6+'Shalimar Bagh'!D6</f>
        <v>359511.46</v>
      </c>
      <c r="F7" s="19">
        <f>'Noida Sec - 18'!E6+'Noida Sec -143'!E6+DLF!E6+'Faridabad Sec15'!E6+'Gurgaon Sec-15'!E6+'Gurgaon Sec - 10'!E6+'Gurgaon Sector 31'!E6+'Paschim Vihar'!E6+Kalkaji!E6+CP!E6+Rohini!E6+'Model Town'!E6+'Pacific Mall'!E6+'Shalimar Bagh'!E6</f>
        <v>330564.45</v>
      </c>
      <c r="G7" s="19">
        <f>'Noida Sec - 18'!F6+'Noida Sec -143'!F6+'Faridabad Sec15'!F6+DLF!F6+'Gurgaon Sec-15'!F6+'Paschim Vihar'!F6+Kalkaji!F6+CP!F6+Rohini!F6+'Model Town'!F6+'Pacific Mall'!F6</f>
        <v>299777.48</v>
      </c>
      <c r="H7" s="19">
        <f>'Noida Sec - 18'!G6+'Noida Sec -143'!G6+'Faridabad Sec15'!G6+DLF!G6+'Gurgaon Sec-15'!G6+'Paschim Vihar'!G6+Kalkaji!G6+CP!G6+Rohini!G6+'Model Town'!G6+'Pacific Mall'!G6</f>
        <v>88417</v>
      </c>
      <c r="I7" s="19">
        <f>'Noida Sec - 18'!H6+'Noida Sec -143'!H6+'Faridabad Sec15'!H6+DLF!H6+'Gurgaon Sec-15'!H6+'Paschim Vihar'!H6+Kalkaji!H6+CP!H6+Rohini!H6+'Model Town'!H6+'Pacific Mall'!H6</f>
        <v>0</v>
      </c>
      <c r="J7" s="19">
        <f>'Noida Sec - 18'!I6+'Noida Sec -143'!I6+'Faridabad Sec15'!I6+DLF!I6+'Gurgaon Sec-15'!I6+'Paschim Vihar'!I6+Kalkaji!I6+CP!I6+Rohini!I6+'Model Town'!I6+'Pacific Mall'!I6</f>
        <v>0</v>
      </c>
      <c r="K7" s="19">
        <f>'Noida Sec - 18'!J6+'Noida Sec -143'!J6+'Faridabad Sec15'!J6+DLF!J6+'Gurgaon Sec-15'!J6+'Paschim Vihar'!J6+Kalkaji!J6+CP!J6+Rohini!J6+'Model Town'!J6+'Pacific Mall'!J6+'Gurgaon Sec - 10'!J6</f>
        <v>0</v>
      </c>
      <c r="L7" s="19">
        <f>'Noida Sec - 18'!K6+'Noida Sec -143'!K6+'Faridabad Sec15'!K6+DLF!K6+'Gurgaon Sec-15'!K6+'Paschim Vihar'!K6+Kalkaji!K6+CP!K6+Rohini!K6+'Model Town'!K6+'Pacific Mall'!K6+'Gurgaon Sec - 10'!K6</f>
        <v>0</v>
      </c>
      <c r="M7" s="19">
        <f>'Noida Sec - 18'!L6+'Noida Sec -143'!L6+DLF!L6+'Faridabad Sec15'!L6+'Gurgaon Sec-15'!L6+'Gurgaon Sec - 10'!L6+'Paschim Vihar'!L6+Kalkaji!L6+CP!L6+Rohini!L6+'Model Town'!L6+'Pacific Mall'!L6</f>
        <v>0</v>
      </c>
      <c r="N7" s="19">
        <f>'Noida Sec - 18'!M6+'Noida Sec -143'!M6+DLF!M6+'Faridabad Sec15'!M6+'Gurgaon Sec-15'!M6+'Gurgaon Sec - 10'!M6+'Paschim Vihar'!M6+Kalkaji!M6+CP!M6+Rohini!M6+'Model Town'!M6+'Pacific Mall'!M6+'Shalimar Bagh'!M6</f>
        <v>0</v>
      </c>
      <c r="O7" s="21"/>
      <c r="P7" s="22"/>
      <c r="Q7" s="6"/>
      <c r="R7" s="19">
        <v>344801.0</v>
      </c>
      <c r="S7" s="19">
        <f t="shared" si="1"/>
        <v>-12103.4</v>
      </c>
      <c r="T7" s="6"/>
      <c r="U7" s="58">
        <f>U6-D5</f>
        <v>0.879999999</v>
      </c>
      <c r="V7" s="55">
        <v>-1700.0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ht="15.75" customHeight="1">
      <c r="A8" s="14" t="s">
        <v>12</v>
      </c>
      <c r="B8" s="19" t="s">
        <v>8</v>
      </c>
      <c r="C8" s="19">
        <f>'Noida Sec - 18'!B7+'Noida Sec -143'!B7+DLF!B7+'Faridabad Sec15'!B7+'Gurgaon Sec-15'!B7+'Gurgaon Sec - 10'!B7+'Paschim Vihar'!B7+Kalkaji!B7+CP!B7+Rohini!B7+'Model Town'!B7+'Pacific Mall'!B7+'Shalimar Bagh'!B7</f>
        <v>890504.38</v>
      </c>
      <c r="D8" s="19">
        <f>'Noida Sec - 18'!C7+'Noida Sec -143'!C7+DLF!C7+'Faridabad Sec15'!C7+'Gurgaon Sec-15'!C7+'Gurgaon Sec - 10'!C7+'Paschim Vihar'!C7+Kalkaji!C7+CP!C7+Rohini!C7+'Model Town'!C7+'Pacific Mall'!C7+'Shalimar Bagh'!C7</f>
        <v>875056.86</v>
      </c>
      <c r="E8" s="19">
        <f>'Noida Sec - 18'!D7+'Noida Sec -143'!D7+DLF!D7+'Faridabad Sec15'!D7+'Gurgaon Sec-15'!D7+'Gurgaon Sec - 10'!D7+'Gurgaon Sector 31'!D7+'Paschim Vihar'!D7+Kalkaji!D7+CP!D7+Rohini!D7+'Model Town'!D7+'Pacific Mall'!D7+'Shalimar Bagh'!D7</f>
        <v>843369.96</v>
      </c>
      <c r="F8" s="19">
        <f>'Noida Sec - 18'!E7+'Noida Sec -143'!E7+DLF!E7+'Faridabad Sec15'!E7+'Gurgaon Sec-15'!E7+'Gurgaon Sec - 10'!E7+'Gurgaon Sector 31'!E7+'Paschim Vihar'!E7+Kalkaji!E7+CP!E7+Rohini!E7+'Model Town'!E7+'Pacific Mall'!E7+'Shalimar Bagh'!E7</f>
        <v>778147.1</v>
      </c>
      <c r="G8" s="19">
        <f>'Noida Sec - 18'!F7+'Noida Sec -143'!F7+DLF!F7+'Faridabad Sec15'!F7+'Gurgaon Sec-15'!F7+'Gurgaon Sec - 10'!F7+'Paschim Vihar'!F7+Kalkaji!F7+CP!F7+Rohini!F7+'Model Town'!F7+'Pacific Mall'!F7</f>
        <v>685286.86</v>
      </c>
      <c r="H8" s="19">
        <f>'Noida Sec - 18'!G7+'Noida Sec -143'!G7+DLF!G7+'Faridabad Sec15'!G7+'Gurgaon Sec-15'!G7+'Gurgaon Sec - 10'!G7+'Paschim Vihar'!G7+Kalkaji!G7+CP!G7+Rohini!G7+'Model Town'!G7+'Pacific Mall'!G7</f>
        <v>281082.93</v>
      </c>
      <c r="I8" s="19">
        <f>'Noida Sec - 18'!H7+'Noida Sec -143'!H7+DLF!H7+'Faridabad Sec15'!H7+'Gurgaon Sec-15'!H7+'Gurgaon Sec - 10'!H7+'Paschim Vihar'!H7+Kalkaji!H7+CP!H7+Rohini!H7+'Model Town'!H7+'Pacific Mall'!H7</f>
        <v>0</v>
      </c>
      <c r="J8" s="19">
        <f>'Noida Sec - 18'!I7+'Noida Sec -143'!I7+DLF!I7+'Faridabad Sec15'!I7+'Gurgaon Sec-15'!I7+'Gurgaon Sec - 10'!I7+'Paschim Vihar'!I7+Kalkaji!I7+CP!I7+Rohini!I7+'Model Town'!I7+'Pacific Mall'!I7</f>
        <v>0</v>
      </c>
      <c r="K8" s="19">
        <f>'Noida Sec - 18'!J7+'Noida Sec -143'!J7+DLF!J7+'Faridabad Sec15'!J7+'Gurgaon Sec-15'!J7+'Gurgaon Sec - 10'!J7+'Paschim Vihar'!J7+Kalkaji!J7+CP!J7+Rohini!J7+'Model Town'!J7+'Pacific Mall'!J7</f>
        <v>0</v>
      </c>
      <c r="L8" s="19">
        <f>'Noida Sec - 18'!K7+'Noida Sec -143'!K7+DLF!K7+'Faridabad Sec15'!K7+'Gurgaon Sec-15'!K7+'Gurgaon Sec - 10'!K7+'Paschim Vihar'!K7+Kalkaji!K7+CP!K7+Rohini!K7+'Model Town'!K7+'Pacific Mall'!K7</f>
        <v>0</v>
      </c>
      <c r="M8" s="19">
        <f>'Noida Sec - 18'!L7+'Noida Sec -143'!L7+DLF!L7+'Faridabad Sec15'!L7+'Gurgaon Sec-15'!L7+'Gurgaon Sec - 10'!L7+'Paschim Vihar'!L7+Kalkaji!L7+CP!L7+Rohini!L7+'Model Town'!L7+'Pacific Mall'!L7</f>
        <v>0</v>
      </c>
      <c r="N8" s="19">
        <f>'Noida Sec - 18'!M7+'Noida Sec -143'!M7+DLF!M7+'Faridabad Sec15'!M7+'Gurgaon Sec-15'!M7+'Gurgaon Sec - 10'!M7+'Paschim Vihar'!M7+Kalkaji!M7+CP!M7+Rohini!M7+'Model Town'!M7+'Pacific Mall'!M7+'Shalimar Bagh'!M7</f>
        <v>0</v>
      </c>
      <c r="O8" s="21"/>
      <c r="P8" s="22"/>
      <c r="Q8" s="6"/>
      <c r="R8" s="19">
        <v>865957.0</v>
      </c>
      <c r="S8" s="19">
        <f t="shared" si="1"/>
        <v>24547.38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15.75" customHeight="1">
      <c r="A9" s="12"/>
      <c r="B9" s="12"/>
      <c r="C9" s="12"/>
      <c r="D9" s="12"/>
      <c r="E9" s="12"/>
      <c r="F9" s="12"/>
      <c r="G9" s="13"/>
      <c r="H9" s="12"/>
      <c r="I9" s="12"/>
      <c r="J9" s="12"/>
      <c r="K9" s="12"/>
      <c r="L9" s="12"/>
      <c r="M9" s="12"/>
      <c r="N9" s="12"/>
      <c r="O9" s="12"/>
      <c r="P9" s="12"/>
      <c r="Q9" s="6"/>
      <c r="R9" s="19"/>
      <c r="S9" s="19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15.75" customHeight="1">
      <c r="A10" s="26" t="s">
        <v>13</v>
      </c>
      <c r="B10" s="19" t="s">
        <v>38</v>
      </c>
      <c r="C10" s="19">
        <f>'Noida Sec - 18'!B9+'Noida Sec -143'!B9+DLF!B9+'Faridabad Sec15'!B9+'Gurgaon Sec-15'!B9+'Gurgaon Sec - 10'!B9+'Paschim Vihar'!B9+Kalkaji!B9+CP!B9+Rohini!B9+'Model Town'!B9+'Pacific Mall'!B9+'Shalimar Bagh'!B9</f>
        <v>24583139.14</v>
      </c>
      <c r="D10" s="19">
        <f>'Noida Sec - 18'!C9+'Noida Sec -143'!C9+DLF!C9+'Faridabad Sec15'!C9+'Gurgaon Sec-15'!C9+'Gurgaon Sec - 10'!C9+'Paschim Vihar'!C9+Kalkaji!C9+CP!C9+Rohini!C9+'Model Town'!C9+'Pacific Mall'!C9+'Shalimar Bagh'!C9+'Gurgaon Sector 31'!C9</f>
        <v>26193865.85</v>
      </c>
      <c r="E10" s="19">
        <f>'Noida Sec - 18'!D9+'Noida Sec -143'!D9+DLF!D9+'Faridabad Sec15'!D9+'Gurgaon Sec-15'!D9+'Gurgaon Sec - 10'!D9+'Gurgaon Sector 31'!D9+'Paschim Vihar'!D9+Kalkaji!D9+CP!D9+Rohini!D9+'Model Town'!D9+'Pacific Mall'!D9+'Shalimar Bagh'!D9</f>
        <v>25442385.66</v>
      </c>
      <c r="F10" s="19">
        <f>'Noida Sec - 18'!E9+'Noida Sec -143'!E9+DLF!E9+'Faridabad Sec15'!E9+'Gurgaon Sec-15'!E9+'Gurgaon Sec - 10'!E9+'Gurgaon Sector 31'!E9+'Paschim Vihar'!E9+Kalkaji!E9+CP!E9+Rohini!E9+'Model Town'!E9+'Pacific Mall'!E9+'Shalimar Bagh'!E9</f>
        <v>24553888.94</v>
      </c>
      <c r="G10" s="19">
        <f>'Noida Sec - 18'!F9+'Noida Sec -143'!F9+'Faridabad Sec15'!F9+DLF!F9+'Gurgaon Sec-15'!F9+'Paschim Vihar'!F9+Kalkaji!F9+CP!F9+Rohini!F9+'Model Town'!F9+'Pacific Mall'!F9</f>
        <v>0</v>
      </c>
      <c r="H10" s="19">
        <f>'Noida Sec - 18'!G9+'Noida Sec -143'!G9+'Faridabad Sec15'!G9+DLF!G9+'Gurgaon Sec-15'!G9+'Paschim Vihar'!G9+Kalkaji!G9+CP!G9+Rohini!G9+'Model Town'!G9+'Pacific Mall'!G9</f>
        <v>0</v>
      </c>
      <c r="I10" s="19">
        <f>'Noida Sec - 18'!H9+'Noida Sec -143'!H9+'Faridabad Sec15'!H9+DLF!H9+'Gurgaon Sec-15'!H9+'Paschim Vihar'!H9+Kalkaji!H9+CP!H9+Rohini!H9+'Model Town'!H9+'Pacific Mall'!H9</f>
        <v>0</v>
      </c>
      <c r="J10" s="19">
        <f>'Noida Sec - 18'!I9+'Noida Sec -143'!I9+'Faridabad Sec15'!I9+DLF!I9+'Gurgaon Sec-15'!I9+'Paschim Vihar'!I9+Kalkaji!I9+CP!I9+Rohini!I9+'Model Town'!I9+'Pacific Mall'!I9</f>
        <v>0</v>
      </c>
      <c r="K10" s="19">
        <f>'Noida Sec - 18'!J9+'Noida Sec -143'!J9+'Faridabad Sec15'!J9+DLF!J9+'Gurgaon Sec-15'!J9+'Paschim Vihar'!J9+Kalkaji!J9+CP!J9+Rohini!J9+'Model Town'!J9+'Pacific Mall'!J9+'Gurgaon Sec - 10'!J9</f>
        <v>0</v>
      </c>
      <c r="L10" s="19">
        <f>'Noida Sec - 18'!K9+'Noida Sec -143'!K9+'Faridabad Sec15'!K9+DLF!K9+'Gurgaon Sec-15'!K9+'Paschim Vihar'!K9+Kalkaji!K9+CP!K9+Rohini!K9+'Model Town'!K9+'Pacific Mall'!K9+'Gurgaon Sec - 10'!K9</f>
        <v>0</v>
      </c>
      <c r="M10" s="19">
        <f>'Noida Sec - 18'!L9+'Noida Sec -143'!L9+'Faridabad Sec15'!L9+DLF!L9+'Gurgaon Sec-15'!L9+'Paschim Vihar'!L9+Kalkaji!L9+CP!L9+Rohini!L9+'Model Town'!L9+'Pacific Mall'!L9+'Gurgaon Sec - 10'!L9</f>
        <v>0</v>
      </c>
      <c r="N10" s="19">
        <f>'Noida Sec - 18'!M9+'Noida Sec -143'!M9+'Faridabad Sec15'!M9+DLF!M9+'Gurgaon Sec-15'!M9+'Paschim Vihar'!M9+Kalkaji!M9+CP!M9+Rohini!M9+'Model Town'!M9+'Pacific Mall'!M9+'Gurgaon Sec - 10'!M9+'Shalimar Bagh'!M9</f>
        <v>0</v>
      </c>
      <c r="O10" s="21">
        <f t="shared" ref="O10:O13" si="2">+SUM(C10:N10)</f>
        <v>100773279.6</v>
      </c>
      <c r="P10" s="22"/>
      <c r="Q10" s="73"/>
      <c r="R10" s="37">
        <v>2.3420696E7</v>
      </c>
      <c r="S10" s="37">
        <f t="shared" ref="S10:S30" si="3">C10-R10</f>
        <v>1162443.144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ht="15.75" customHeight="1">
      <c r="A11" s="26" t="s">
        <v>14</v>
      </c>
      <c r="B11" s="19" t="s">
        <v>38</v>
      </c>
      <c r="C11" s="19">
        <f>'Noida Sec - 18'!B10+'Noida Sec -143'!B10+DLF!B10+'Faridabad Sec15'!B10+'Gurgaon Sec-15'!B10+'Gurgaon Sec - 10'!B10+'Paschim Vihar'!B10+Kalkaji!B10+CP!B10+Rohini!B10+'Model Town'!B10+'Pacific Mall'!B10+'Shalimar Bagh'!B10</f>
        <v>0</v>
      </c>
      <c r="D11" s="19">
        <f>'Noida Sec - 18'!C10+'Noida Sec -143'!C10+DLF!C10+'Faridabad Sec15'!C10+'Gurgaon Sec-15'!C10+'Gurgaon Sec - 10'!C10+'Paschim Vihar'!C10+Kalkaji!C10+CP!C10+Rohini!C10+'Model Town'!C10+'Pacific Mall'!C10+'Shalimar Bagh'!C10+'Gurgaon Sector 31'!C10</f>
        <v>0</v>
      </c>
      <c r="E11" s="19">
        <f>'Noida Sec - 18'!D10+'Noida Sec -143'!D10+DLF!D10+'Faridabad Sec15'!D10+'Gurgaon Sec-15'!D10+'Gurgaon Sec - 10'!D10+'Gurgaon Sector 31'!D10+'Paschim Vihar'!D10+Kalkaji!D10+CP!D10+Rohini!D10+'Model Town'!D10+'Pacific Mall'!D10+'Shalimar Bagh'!D10</f>
        <v>0</v>
      </c>
      <c r="F11" s="19">
        <f>'Noida Sec - 18'!E10+'Noida Sec -143'!E10+DLF!E10+'Faridabad Sec15'!E10+'Gurgaon Sec-15'!E10+'Gurgaon Sec - 10'!E10+'Gurgaon Sector 31'!E10+'Paschim Vihar'!E10+Kalkaji!E10+CP!E10+Rohini!E10+'Model Town'!E10+'Pacific Mall'!E10+'Shalimar Bagh'!E10</f>
        <v>0</v>
      </c>
      <c r="G11" s="19">
        <f>'Noida Sec - 18'!F10+'Noida Sec -143'!F10+'Faridabad Sec15'!F10+DLF!F10+'Gurgaon Sec-15'!F10+'Paschim Vihar'!F10+Kalkaji!F10+CP!F10+Rohini!F10+'Model Town'!F10+'Pacific Mall'!F10</f>
        <v>0</v>
      </c>
      <c r="H11" s="19">
        <f>'Noida Sec - 18'!G10+'Noida Sec -143'!G10+'Faridabad Sec15'!G10+DLF!G10+'Gurgaon Sec-15'!G10+'Paschim Vihar'!G10+Kalkaji!G10+CP!G10+Rohini!G10+'Model Town'!G10+'Pacific Mall'!G10</f>
        <v>0</v>
      </c>
      <c r="I11" s="19">
        <f>'Noida Sec - 18'!H10+'Noida Sec -143'!H10+'Faridabad Sec15'!H10+DLF!H10+'Gurgaon Sec-15'!H10+'Paschim Vihar'!H10+Kalkaji!H10+CP!H10+Rohini!H10+'Model Town'!H10+'Pacific Mall'!H10</f>
        <v>0</v>
      </c>
      <c r="J11" s="19">
        <f>'Noida Sec - 18'!I10+'Noida Sec -143'!I10+'Faridabad Sec15'!I10+DLF!I10+'Gurgaon Sec-15'!I10+'Paschim Vihar'!I10+Kalkaji!I10+CP!I10+Rohini!I10+'Model Town'!I10+'Pacific Mall'!I10</f>
        <v>0</v>
      </c>
      <c r="K11" s="19">
        <f>'Noida Sec - 18'!J10+'Noida Sec -143'!J10+'Faridabad Sec15'!J10+DLF!J10+'Gurgaon Sec-15'!J10+'Paschim Vihar'!J10+Kalkaji!J10+CP!J10+Rohini!J10+'Model Town'!J10+'Pacific Mall'!J10+'Gurgaon Sec - 10'!J10</f>
        <v>0</v>
      </c>
      <c r="L11" s="19">
        <f>'Noida Sec - 18'!K10+'Noida Sec -143'!K10+'Faridabad Sec15'!K10+DLF!K10+'Gurgaon Sec-15'!K10+'Paschim Vihar'!K10+Kalkaji!K10+CP!K10+Rohini!K10+'Model Town'!K10+'Pacific Mall'!K10</f>
        <v>0</v>
      </c>
      <c r="M11" s="19">
        <f>'Noida Sec - 18'!L10+'Noida Sec -143'!L10+'Faridabad Sec15'!L10+DLF!L10+'Gurgaon Sec-15'!L10+'Paschim Vihar'!L10+Kalkaji!L10+CP!L10+Rohini!L10+'Model Town'!L10+'Pacific Mall'!L10</f>
        <v>0</v>
      </c>
      <c r="N11" s="19">
        <f>'Noida Sec - 18'!M10+'Noida Sec -143'!M10+'Faridabad Sec15'!M10+DLF!M10+'Gurgaon Sec-15'!M10+'Paschim Vihar'!M10+Kalkaji!M10+CP!M10+Rohini!M10+'Model Town'!M10+'Pacific Mall'!M10+'Gurgaon Sec - 10'!M10+'Shalimar Bagh'!M10</f>
        <v>0</v>
      </c>
      <c r="O11" s="21">
        <f t="shared" si="2"/>
        <v>0</v>
      </c>
      <c r="P11" s="22"/>
      <c r="Q11" s="73"/>
      <c r="R11" s="19">
        <v>0.0</v>
      </c>
      <c r="S11" s="19">
        <f t="shared" si="3"/>
        <v>0</v>
      </c>
      <c r="T11" s="6"/>
      <c r="U11" s="5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ht="15.75" customHeight="1">
      <c r="A12" s="26" t="s">
        <v>15</v>
      </c>
      <c r="B12" s="19" t="s">
        <v>38</v>
      </c>
      <c r="C12" s="19">
        <f>'Noida Sec - 18'!B11+'Noida Sec -143'!B11+DLF!B11+'Faridabad Sec15'!B11+'Gurgaon Sec-15'!B11+'Gurgaon Sec - 10'!B11+'Paschim Vihar'!B11+Kalkaji!B11+CP!B11+Rohini!B11+'Model Town'!B11+'Pacific Mall'!B11+'Shalimar Bagh'!B11</f>
        <v>1170625.674</v>
      </c>
      <c r="D12" s="19">
        <f>'Noida Sec - 18'!C11+'Noida Sec -143'!C11+DLF!C11+'Faridabad Sec15'!C11+'Gurgaon Sec-15'!C11+'Gurgaon Sec - 10'!C11+'Paschim Vihar'!C11+Kalkaji!C11+CP!C11+Rohini!C11+'Model Town'!C11+'Pacific Mall'!C11+'Shalimar Bagh'!C11+'Gurgaon Sector 31'!C11</f>
        <v>1247326.945</v>
      </c>
      <c r="E12" s="19">
        <f>'Noida Sec - 18'!D11+'Noida Sec -143'!D11+DLF!D11+'Faridabad Sec15'!D11+'Gurgaon Sec-15'!D11+'Gurgaon Sec - 10'!D11+'Gurgaon Sector 31'!D11+'Paschim Vihar'!D11+Kalkaji!D11+CP!D11+Rohini!D11+'Model Town'!D11+'Pacific Mall'!D11+'Shalimar Bagh'!D11</f>
        <v>1211542.175</v>
      </c>
      <c r="F12" s="19">
        <f>'Noida Sec - 18'!E11+'Noida Sec -143'!E11+DLF!E11+'Faridabad Sec15'!E11+'Gurgaon Sec-15'!E11+'Gurgaon Sec - 10'!E11+'Gurgaon Sector 31'!E11+'Paschim Vihar'!E11+Kalkaji!E11+CP!E11+Rohini!E11+'Model Town'!E11+'Pacific Mall'!E11+'Shalimar Bagh'!E11</f>
        <v>1169232.807</v>
      </c>
      <c r="G12" s="19">
        <f>'Noida Sec - 18'!F11+'Noida Sec -143'!F11+'Faridabad Sec15'!F11+DLF!F11+'Gurgaon Sec-15'!F11+'Paschim Vihar'!F11+Kalkaji!F11+CP!F11+Rohini!F11+'Model Town'!F11+'Pacific Mall'!F11</f>
        <v>0</v>
      </c>
      <c r="H12" s="19">
        <f>'Noida Sec - 18'!G11+'Noida Sec -143'!G11+'Faridabad Sec15'!G11+DLF!G11+'Gurgaon Sec-15'!G11+'Paschim Vihar'!G11+Kalkaji!G11+CP!G11+Rohini!G11+'Model Town'!G11+'Pacific Mall'!G11</f>
        <v>0</v>
      </c>
      <c r="I12" s="19">
        <f>'Noida Sec - 18'!H11+'Noida Sec -143'!H11+'Faridabad Sec15'!H11+DLF!H11+'Gurgaon Sec-15'!H11+'Paschim Vihar'!H11+Kalkaji!H11+CP!H11+Rohini!H11+'Model Town'!H11+'Pacific Mall'!H11</f>
        <v>0</v>
      </c>
      <c r="J12" s="19">
        <f>'Noida Sec - 18'!I11+'Noida Sec -143'!I11+'Faridabad Sec15'!I11+DLF!I11+'Gurgaon Sec-15'!I11+'Paschim Vihar'!I11+Kalkaji!I11+CP!I11+Rohini!I11+'Model Town'!I11+'Pacific Mall'!I11</f>
        <v>0</v>
      </c>
      <c r="K12" s="19">
        <f>'Noida Sec - 18'!J11+'Noida Sec -143'!J11+'Faridabad Sec15'!J11+DLF!J11+'Gurgaon Sec-15'!J11+'Paschim Vihar'!J11+Kalkaji!J11+CP!J11+Rohini!J11+'Model Town'!J11+'Pacific Mall'!J11+'Gurgaon Sec - 10'!J11</f>
        <v>0</v>
      </c>
      <c r="L12" s="19">
        <f>'Noida Sec - 18'!K11+'Noida Sec -143'!K11+'Faridabad Sec15'!K11+DLF!K11+'Gurgaon Sec-15'!K11+'Paschim Vihar'!K11+Kalkaji!K11+CP!K11+Rohini!K11+'Model Town'!K11+'Pacific Mall'!K11+'Gurgaon Sec - 10'!K11</f>
        <v>0</v>
      </c>
      <c r="M12" s="19">
        <f>'Noida Sec - 18'!L11+'Noida Sec -143'!L11+'Faridabad Sec15'!L11+DLF!L11+'Gurgaon Sec-15'!L11+'Paschim Vihar'!L11+Kalkaji!L11+CP!L11+Rohini!L11+'Model Town'!L11+'Pacific Mall'!L11+'Gurgaon Sec - 10'!L11</f>
        <v>0</v>
      </c>
      <c r="N12" s="19">
        <f>'Noida Sec - 18'!M11+'Noida Sec -143'!M11+'Faridabad Sec15'!M11+DLF!M11+'Gurgaon Sec-15'!M11+'Paschim Vihar'!M11+Kalkaji!M11+CP!M11+Rohini!M11+'Model Town'!M11+'Pacific Mall'!M11+'Gurgaon Sec - 10'!M11+'Shalimar Bagh'!M11</f>
        <v>0</v>
      </c>
      <c r="O12" s="21">
        <f t="shared" si="2"/>
        <v>4798727.6</v>
      </c>
      <c r="P12" s="22"/>
      <c r="Q12" s="73"/>
      <c r="R12" s="19">
        <v>1115271.0</v>
      </c>
      <c r="S12" s="19">
        <f t="shared" si="3"/>
        <v>55354.6735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ht="15.75" customHeight="1">
      <c r="A13" s="26" t="s">
        <v>16</v>
      </c>
      <c r="B13" s="19" t="s">
        <v>38</v>
      </c>
      <c r="C13" s="19">
        <f>'Noida Sec - 18'!B12+'Noida Sec -143'!B12+DLF!B12+'Faridabad Sec15'!B12+'Gurgaon Sec-15'!B12+'Gurgaon Sec - 10'!B12+'Paschim Vihar'!B12+Kalkaji!B12+CP!B12+Rohini!B12+'Model Town'!B12+'Pacific Mall'!B12+'Shalimar Bagh'!B12</f>
        <v>2005043.37</v>
      </c>
      <c r="D13" s="19">
        <f>'Noida Sec - 18'!C12+'Noida Sec -143'!C12+DLF!C12+'Faridabad Sec15'!C12+'Gurgaon Sec-15'!C12+'Gurgaon Sec - 10'!C12+'Paschim Vihar'!C12+Kalkaji!C12+CP!C12+Rohini!C12+'Model Town'!C12+'Pacific Mall'!C12+'Shalimar Bagh'!C12+'Gurgaon Sector 31'!C12</f>
        <v>2238242.301</v>
      </c>
      <c r="E13" s="19">
        <f>'Noida Sec - 18'!D12+'Noida Sec -143'!D12+DLF!D12+'Faridabad Sec15'!D12+'Gurgaon Sec-15'!D12+'Gurgaon Sec - 10'!D12+'Gurgaon Sector 31'!D12+'Paschim Vihar'!D12+Kalkaji!D12+CP!D12+Rohini!D12+'Model Town'!D12+'Pacific Mall'!D12+'Shalimar Bagh'!D12</f>
        <v>2276412.162</v>
      </c>
      <c r="F13" s="19">
        <f>'Noida Sec - 18'!E12+'Noida Sec -143'!E12+DLF!E12+'Faridabad Sec15'!E12+'Gurgaon Sec-15'!E12+'Gurgaon Sec - 10'!E12+'Gurgaon Sector 31'!E12+'Paschim Vihar'!E12+Kalkaji!E12+CP!E12+Rohini!E12+'Model Town'!E12+'Pacific Mall'!E12+'Shalimar Bagh'!E12</f>
        <v>2037896.321</v>
      </c>
      <c r="G13" s="19">
        <f>'Noida Sec - 18'!F12+'Noida Sec -143'!F12+'Faridabad Sec15'!F12+DLF!F12+'Gurgaon Sec-15'!F12+'Paschim Vihar'!F12+Kalkaji!F12+CP!F12+Rohini!F12+'Model Town'!F12+'Pacific Mall'!F12</f>
        <v>0</v>
      </c>
      <c r="H13" s="19">
        <f>'Noida Sec - 18'!G12+'Noida Sec -143'!G12+'Faridabad Sec15'!G12+DLF!G12+'Gurgaon Sec-15'!G12+'Paschim Vihar'!G12+Kalkaji!G12+CP!G12+Rohini!G12+'Model Town'!G12+'Pacific Mall'!G12</f>
        <v>0</v>
      </c>
      <c r="I13" s="19">
        <f>'Noida Sec - 18'!H12+'Noida Sec -143'!H12+'Faridabad Sec15'!H12+DLF!H12+'Gurgaon Sec-15'!H12+'Paschim Vihar'!H12+Kalkaji!H12+CP!H12+Rohini!H12+'Model Town'!H12+'Pacific Mall'!H12</f>
        <v>0</v>
      </c>
      <c r="J13" s="19">
        <f>'Noida Sec - 18'!I12+'Noida Sec -143'!I12+'Faridabad Sec15'!I12+DLF!I12+'Gurgaon Sec-15'!I12+'Paschim Vihar'!I12+Kalkaji!I12+CP!I12+Rohini!I12+'Model Town'!I12+'Pacific Mall'!I12</f>
        <v>0</v>
      </c>
      <c r="K13" s="19">
        <f>'Noida Sec - 18'!J12+'Noida Sec -143'!J12+'Faridabad Sec15'!J12+DLF!J12+'Gurgaon Sec-15'!J12+'Paschim Vihar'!J12+Kalkaji!J12+CP!J12+Rohini!J12+'Model Town'!J12+'Pacific Mall'!J12+'Gurgaon Sec - 10'!J12</f>
        <v>0</v>
      </c>
      <c r="L13" s="19">
        <f>'Noida Sec - 18'!K12+'Noida Sec -143'!K12+DLF!K12+'Faridabad Sec15'!K12+'Gurgaon Sec-15'!K12+'Gurgaon Sec - 10'!K12+'Paschim Vihar'!K12+Kalkaji!K12+CP!K12+Rohini!K12+'Model Town'!K12+'Pacific Mall'!K12</f>
        <v>0</v>
      </c>
      <c r="M13" s="19">
        <f>'Noida Sec - 18'!L12+'Noida Sec -143'!L12+DLF!L12+'Faridabad Sec15'!L12+'Gurgaon Sec-15'!L12+'Gurgaon Sec - 10'!L12+'Paschim Vihar'!L12+Kalkaji!L12+CP!L12+Rohini!L12+'Model Town'!L12+'Pacific Mall'!L12</f>
        <v>0</v>
      </c>
      <c r="N13" s="19">
        <f>'Noida Sec - 18'!M12+'Noida Sec -143'!M12+'Faridabad Sec15'!M12+DLF!M12+'Gurgaon Sec-15'!M12+'Paschim Vihar'!M12+Kalkaji!M12+CP!M12+Rohini!M12+'Model Town'!M12+'Pacific Mall'!M12+'Gurgaon Sec - 10'!M12+'Shalimar Bagh'!M12</f>
        <v>0</v>
      </c>
      <c r="O13" s="21">
        <f t="shared" si="2"/>
        <v>8557594.153</v>
      </c>
      <c r="P13" s="22"/>
      <c r="Q13" s="84"/>
      <c r="R13" s="19">
        <v>1826332.0</v>
      </c>
      <c r="S13" s="19">
        <f t="shared" si="3"/>
        <v>178711.3698</v>
      </c>
      <c r="T13" s="6"/>
      <c r="U13" s="5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ht="15.75" customHeight="1">
      <c r="A14" s="85" t="s">
        <v>44</v>
      </c>
      <c r="B14" s="86"/>
      <c r="C14" s="88">
        <f t="shared" ref="C14:N14" si="4">C13/C10</f>
        <v>0.08156173051</v>
      </c>
      <c r="D14" s="88">
        <f t="shared" si="4"/>
        <v>0.08544910149</v>
      </c>
      <c r="E14" s="88">
        <f t="shared" si="4"/>
        <v>0.08947321968</v>
      </c>
      <c r="F14" s="88">
        <f t="shared" si="4"/>
        <v>0.082996886</v>
      </c>
      <c r="G14" s="88" t="str">
        <f t="shared" si="4"/>
        <v>#DIV/0!</v>
      </c>
      <c r="H14" s="88" t="str">
        <f t="shared" si="4"/>
        <v>#DIV/0!</v>
      </c>
      <c r="I14" s="88" t="str">
        <f t="shared" si="4"/>
        <v>#DIV/0!</v>
      </c>
      <c r="J14" s="88" t="str">
        <f t="shared" si="4"/>
        <v>#DIV/0!</v>
      </c>
      <c r="K14" s="88" t="str">
        <f t="shared" si="4"/>
        <v>#DIV/0!</v>
      </c>
      <c r="L14" s="88" t="str">
        <f t="shared" si="4"/>
        <v>#DIV/0!</v>
      </c>
      <c r="M14" s="88" t="str">
        <f t="shared" si="4"/>
        <v>#DIV/0!</v>
      </c>
      <c r="N14" s="88" t="str">
        <f t="shared" si="4"/>
        <v>#DIV/0!</v>
      </c>
      <c r="O14" s="89"/>
      <c r="P14" s="88"/>
      <c r="Q14" s="80"/>
      <c r="R14" s="88">
        <v>0.0819</v>
      </c>
      <c r="S14" s="88">
        <f t="shared" si="3"/>
        <v>-0.0003382694946</v>
      </c>
      <c r="T14" s="6"/>
      <c r="U14" s="5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ht="15.75" customHeight="1">
      <c r="A15" s="27" t="s">
        <v>17</v>
      </c>
      <c r="B15" s="12"/>
      <c r="C15" s="28">
        <f t="shared" ref="C15:N15" si="5">C10+C11-C12-C13</f>
        <v>21407470.1</v>
      </c>
      <c r="D15" s="28">
        <f t="shared" si="5"/>
        <v>22708296.6</v>
      </c>
      <c r="E15" s="28">
        <f t="shared" si="5"/>
        <v>21954431.33</v>
      </c>
      <c r="F15" s="29">
        <f t="shared" si="5"/>
        <v>21346759.81</v>
      </c>
      <c r="G15" s="29">
        <f t="shared" si="5"/>
        <v>0</v>
      </c>
      <c r="H15" s="29">
        <f t="shared" si="5"/>
        <v>0</v>
      </c>
      <c r="I15" s="28">
        <f t="shared" si="5"/>
        <v>0</v>
      </c>
      <c r="J15" s="28">
        <f t="shared" si="5"/>
        <v>0</v>
      </c>
      <c r="K15" s="28">
        <f t="shared" si="5"/>
        <v>0</v>
      </c>
      <c r="L15" s="28">
        <f t="shared" si="5"/>
        <v>0</v>
      </c>
      <c r="M15" s="28">
        <f t="shared" si="5"/>
        <v>0</v>
      </c>
      <c r="N15" s="28">
        <f t="shared" si="5"/>
        <v>0</v>
      </c>
      <c r="O15" s="28">
        <f t="shared" ref="O15:O32" si="7">sum(C15:N15)</f>
        <v>87416957.84</v>
      </c>
      <c r="P15" s="30">
        <f t="shared" ref="P15:P32" si="8">O15/$O$15</f>
        <v>1</v>
      </c>
      <c r="Q15" s="84"/>
      <c r="R15" s="28">
        <v>2.0479092E7</v>
      </c>
      <c r="S15" s="28">
        <f t="shared" si="3"/>
        <v>928378.1002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ht="15.75" customHeight="1">
      <c r="A16" s="26" t="s">
        <v>18</v>
      </c>
      <c r="B16" s="90" t="s">
        <v>38</v>
      </c>
      <c r="C16" s="19">
        <f t="shared" ref="C16:N16" si="6">C4+C5-C6-C8</f>
        <v>5996580.12</v>
      </c>
      <c r="D16" s="19">
        <f t="shared" si="6"/>
        <v>6199663.18</v>
      </c>
      <c r="E16" s="19">
        <f t="shared" si="6"/>
        <v>6403216.73</v>
      </c>
      <c r="F16" s="19">
        <f t="shared" si="6"/>
        <v>5957277.63</v>
      </c>
      <c r="G16" s="19">
        <f t="shared" si="6"/>
        <v>5685749.44</v>
      </c>
      <c r="H16" s="19">
        <f t="shared" si="6"/>
        <v>2274658.05</v>
      </c>
      <c r="I16" s="19">
        <f t="shared" si="6"/>
        <v>300476.16</v>
      </c>
      <c r="J16" s="19">
        <f t="shared" si="6"/>
        <v>0</v>
      </c>
      <c r="K16" s="19">
        <f t="shared" si="6"/>
        <v>0</v>
      </c>
      <c r="L16" s="19">
        <f t="shared" si="6"/>
        <v>0</v>
      </c>
      <c r="M16" s="19">
        <f t="shared" si="6"/>
        <v>0</v>
      </c>
      <c r="N16" s="19">
        <f t="shared" si="6"/>
        <v>0</v>
      </c>
      <c r="O16" s="21">
        <f t="shared" si="7"/>
        <v>32817621.31</v>
      </c>
      <c r="P16" s="32">
        <f t="shared" si="8"/>
        <v>0.3754148179</v>
      </c>
      <c r="Q16" s="6"/>
      <c r="R16" s="19">
        <v>5676318.0</v>
      </c>
      <c r="S16" s="19">
        <f t="shared" si="3"/>
        <v>320262.12</v>
      </c>
      <c r="T16" s="5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15.75" customHeight="1">
      <c r="A17" s="26" t="s">
        <v>19</v>
      </c>
      <c r="B17" s="90" t="s">
        <v>38</v>
      </c>
      <c r="C17" s="19">
        <f>'Noida Sec - 18'!B15+'Noida Sec -143'!B15+DLF!B15+'Faridabad Sec15'!B15+'Gurgaon Sec-15'!B15+'Gurgaon Sec - 10'!B15+'Paschim Vihar'!B15+Kalkaji!B15+CP!B15+Rohini!B15+'Model Town'!B15+'Pacific Mall'!B15+'Shalimar Bagh'!B15</f>
        <v>1155579.173</v>
      </c>
      <c r="D17" s="19">
        <f>'Noida Sec - 18'!C15+'Noida Sec -143'!C15+DLF!C15+'Faridabad Sec15'!C15+'Gurgaon Sec-15'!C15+'Gurgaon Sec - 10'!C15+'Paschim Vihar'!C15+Kalkaji!C15+CP!C15+Rohini!C15+'Model Town'!C15+'Pacific Mall'!C15+'Shalimar Bagh'!C15+'Gurgaon Sector 31'!C15</f>
        <v>1249533.91</v>
      </c>
      <c r="E17" s="19">
        <f>'Noida Sec - 18'!D15+'Noida Sec -143'!D15+DLF!D15+'Faridabad Sec15'!D15+'Gurgaon Sec-15'!D15+'Gurgaon Sec - 10'!D15+'Gurgaon Sector 31'!D15+'Paschim Vihar'!D15+Kalkaji!D15+CP!D15+Rohini!D15+'Model Town'!D15+'Pacific Mall'!D15+'Shalimar Bagh'!D15</f>
        <v>1316244.783</v>
      </c>
      <c r="F17" s="19">
        <f>'Noida Sec - 18'!E15+'Noida Sec -143'!E15+DLF!E15+'Faridabad Sec15'!E15+'Gurgaon Sec-15'!E15+'Gurgaon Sec - 10'!E15+'Gurgaon Sector 31'!E15+'Paschim Vihar'!E15+Kalkaji!E15+CP!E15+Rohini!E15+'Model Town'!E15+'Pacific Mall'!E15+'Shalimar Bagh'!E15</f>
        <v>1500529.5</v>
      </c>
      <c r="G17" s="19">
        <f>'Noida Sec - 18'!F15+'Noida Sec -143'!F15+'Faridabad Sec15'!F15+DLF!F15+'Gurgaon Sec-15'!F15+'Paschim Vihar'!F15+Kalkaji!F15+CP!F15+Rohini!F15+'Model Town'!F15+'Pacific Mall'!F15</f>
        <v>0</v>
      </c>
      <c r="H17" s="19">
        <f>'Noida Sec - 18'!G15+'Noida Sec -143'!G15+'Faridabad Sec15'!G15+DLF!G15+'Gurgaon Sec-15'!G15+'Paschim Vihar'!G15+Kalkaji!G15+CP!G15+Rohini!G15+'Model Town'!G15+'Pacific Mall'!G15</f>
        <v>0</v>
      </c>
      <c r="I17" s="19">
        <f>'Noida Sec -143'!H15+'Noida Sec -143'!H15+'Faridabad Sec15'!H15+DLF!H15+'Gurgaon Sec-15'!H15+'Paschim Vihar'!H15+Kalkaji!H15+CP!H15+Rohini!H15+'Model Town'!H15+'Pacific Mall'!H15</f>
        <v>0</v>
      </c>
      <c r="J17" s="19">
        <f>'Noida Sec - 18'!I15+'Noida Sec -143'!I15+'Faridabad Sec15'!I15+DLF!I15+'Gurgaon Sec-15'!I15+'Paschim Vihar'!I15+Kalkaji!I15+CP!I15+Rohini!I15+'Model Town'!I15+'Pacific Mall'!I15</f>
        <v>0</v>
      </c>
      <c r="K17" s="19">
        <f>'Noida Sec - 18'!J15+'Noida Sec -143'!J15+'Faridabad Sec15'!J15+DLF!J15+'Gurgaon Sec-15'!J15+'Paschim Vihar'!J15+Kalkaji!J15+CP!J15+Rohini!J15+'Model Town'!J15+'Pacific Mall'!J15+'Gurgaon Sec - 10'!J15</f>
        <v>0</v>
      </c>
      <c r="L17" s="19">
        <f>'Noida Sec - 18'!K15+'Noida Sec -143'!K15+DLF!K15+'Faridabad Sec15'!K15+'Gurgaon Sec-15'!K15+'Gurgaon Sec - 10'!K15+'Paschim Vihar'!K15+Kalkaji!K15+CP!K15+Rohini!K15+'Model Town'!K15+'Pacific Mall'!K15</f>
        <v>0</v>
      </c>
      <c r="M17" s="19">
        <f>'Noida Sec - 18'!L15+'Noida Sec -143'!L15+DLF!L15+'Faridabad Sec15'!L15+'Gurgaon Sec-15'!L15+'Gurgaon Sec - 10'!L15+'Paschim Vihar'!L15+Kalkaji!L15+CP!L15+Rohini!L15+'Model Town'!L15+'Pacific Mall'!L15</f>
        <v>0</v>
      </c>
      <c r="N17" s="19">
        <f>'Noida Sec - 18'!M15+'Noida Sec -143'!M15+DLF!M15+'Faridabad Sec15'!M15+'Gurgaon Sec-15'!M15+'Gurgaon Sec - 10'!M15+'Paschim Vihar'!M15+Kalkaji!M15+CP!M15+Rohini!M15+'Model Town'!M15+'Pacific Mall'!M15+'Shalimar Bagh'!M15</f>
        <v>0</v>
      </c>
      <c r="O17" s="21">
        <f t="shared" si="7"/>
        <v>5221887.367</v>
      </c>
      <c r="P17" s="32">
        <f t="shared" si="8"/>
        <v>0.05973540484</v>
      </c>
      <c r="Q17" s="6"/>
      <c r="R17" s="19">
        <v>960724.0</v>
      </c>
      <c r="S17" s="19">
        <f t="shared" si="3"/>
        <v>194855.1733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ht="15.75" customHeight="1">
      <c r="A18" s="26" t="s">
        <v>20</v>
      </c>
      <c r="B18" s="90" t="s">
        <v>38</v>
      </c>
      <c r="C18" s="19">
        <f>'Noida Sec - 18'!B16+'Noida Sec -143'!B16+DLF!B16+'Faridabad Sec15'!B16+'Gurgaon Sec-15'!B16+'Gurgaon Sec - 10'!B16+'Paschim Vihar'!B16+Kalkaji!B16+CP!B16+Rohini!B16+'Model Town'!B16+'Pacific Mall'!B16+'Shalimar Bagh'!B16</f>
        <v>19069.5</v>
      </c>
      <c r="D18" s="19">
        <f>'Noida Sec - 18'!C16+'Noida Sec -143'!C16+DLF!C16+'Faridabad Sec15'!C16+'Gurgaon Sec-15'!C16+'Gurgaon Sec - 10'!C16+'Paschim Vihar'!C16+Kalkaji!C16+CP!C16+Rohini!C16+'Model Town'!C16+'Pacific Mall'!C16+'Shalimar Bagh'!C16+'Gurgaon Sector 31'!C16</f>
        <v>18608.5</v>
      </c>
      <c r="E18" s="19">
        <f>'Noida Sec - 18'!D16+'Noida Sec -143'!D16+DLF!D16+'Faridabad Sec15'!D16+'Gurgaon Sec-15'!D16+'Gurgaon Sec - 10'!D16+'Gurgaon Sector 31'!D16+'Paschim Vihar'!D16+Kalkaji!D16+CP!D16+Rohini!D16+'Model Town'!D16+'Pacific Mall'!D16+'Shalimar Bagh'!D16</f>
        <v>19011.5</v>
      </c>
      <c r="F18" s="19">
        <f>'Noida Sec - 18'!E16+'Noida Sec -143'!E16+DLF!E16+'Faridabad Sec15'!E16+'Gurgaon Sec-15'!E16+'Gurgaon Sec - 10'!E16+'Gurgaon Sector 31'!E16+'Paschim Vihar'!E16+Kalkaji!E16+CP!E16+Rohini!E16+'Model Town'!E16+'Pacific Mall'!E16+'Shalimar Bagh'!E16</f>
        <v>18644.5</v>
      </c>
      <c r="G18" s="19">
        <f>'Noida Sec - 18'!F16+'Noida Sec -143'!F16+'Faridabad Sec15'!F16+DLF!F16+'Gurgaon Sec-15'!F16+'Paschim Vihar'!F16+Kalkaji!F16+CP!F16+Rohini!F16+'Model Town'!F16+'Pacific Mall'!F16</f>
        <v>2006</v>
      </c>
      <c r="H18" s="19">
        <f>'Noida Sec - 18'!G16+'Noida Sec -143'!G16+'Faridabad Sec15'!G16+DLF!G16+'Gurgaon Sec-15'!G16+'Paschim Vihar'!G16+Kalkaji!G16+CP!G16+Rohini!G16+'Model Town'!G16+'Pacific Mall'!G16</f>
        <v>2006</v>
      </c>
      <c r="I18" s="19">
        <f>'Noida Sec - 18'!H16+'Noida Sec -143'!H16+'Faridabad Sec15'!H16+DLF!H16+'Gurgaon Sec-15'!H16+'Paschim Vihar'!H16+Kalkaji!H16+CP!H16+Rohini!H16+'Model Town'!H16+'Pacific Mall'!H16</f>
        <v>0</v>
      </c>
      <c r="J18" s="19">
        <f>'Noida Sec - 18'!I16+'Noida Sec -143'!I16+'Faridabad Sec15'!I16+DLF!I16+'Gurgaon Sec-15'!I16+'Paschim Vihar'!I16+Kalkaji!I16+CP!I16+Rohini!I16+'Model Town'!I16+'Pacific Mall'!I16</f>
        <v>0</v>
      </c>
      <c r="K18" s="19">
        <f>'Noida Sec - 18'!J16+'Noida Sec -143'!J16+'Faridabad Sec15'!J16+DLF!J16+'Gurgaon Sec-15'!J16+'Paschim Vihar'!J16+Kalkaji!J16+CP!J16+Rohini!J16+'Model Town'!J16+'Pacific Mall'!J16+'Gurgaon Sec - 10'!J16</f>
        <v>0</v>
      </c>
      <c r="L18" s="19">
        <f>'Noida Sec - 18'!K16+'Noida Sec -143'!K16+DLF!K16+'Faridabad Sec15'!K16+'Gurgaon Sec-15'!K16+'Gurgaon Sec - 10'!K16+'Paschim Vihar'!K16+Kalkaji!K16+CP!K16+Rohini!K16+'Model Town'!K16+'Pacific Mall'!K16</f>
        <v>0</v>
      </c>
      <c r="M18" s="19">
        <f>'Noida Sec - 18'!L16+'Noida Sec -143'!L16+DLF!L16+'Faridabad Sec15'!L16+'Gurgaon Sec-15'!L16+'Gurgaon Sec - 10'!L16+'Paschim Vihar'!L16+Kalkaji!L16+CP!L16+Rohini!L16+'Model Town'!L16+'Pacific Mall'!L16</f>
        <v>0</v>
      </c>
      <c r="N18" s="19">
        <f>'Noida Sec - 18'!M16+'Noida Sec -143'!M16+DLF!M16+'Faridabad Sec15'!M16+'Gurgaon Sec-15'!M16+'Gurgaon Sec - 10'!M16+'Paschim Vihar'!M16+Kalkaji!M16+CP!M16+Rohini!M16+'Model Town'!M16+'Pacific Mall'!M16+'Shalimar Bagh'!M16</f>
        <v>0</v>
      </c>
      <c r="O18" s="21">
        <f t="shared" si="7"/>
        <v>79346</v>
      </c>
      <c r="P18" s="32">
        <f t="shared" si="8"/>
        <v>0.0009076728585</v>
      </c>
      <c r="Q18" s="6"/>
      <c r="R18" s="19">
        <v>16959.0</v>
      </c>
      <c r="S18" s="19">
        <f t="shared" si="3"/>
        <v>2110.5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ht="15.75" customHeight="1">
      <c r="A19" s="26" t="s">
        <v>21</v>
      </c>
      <c r="B19" s="90" t="s">
        <v>38</v>
      </c>
      <c r="C19" s="19">
        <f>'Noida Sec - 18'!B17+'Noida Sec -143'!B17+DLF!B17+'Faridabad Sec15'!B17+'Gurgaon Sec-15'!B17+'Gurgaon Sec - 10'!B17+'Paschim Vihar'!B17+Kalkaji!B17+CP!B17+Rohini!B17+'Model Town'!B17+'Pacific Mall'!B17+'Shalimar Bagh'!B17</f>
        <v>635379.18</v>
      </c>
      <c r="D19" s="19">
        <f>'Noida Sec - 18'!C17+'Noida Sec -143'!C17+DLF!C17+'Faridabad Sec15'!C17+'Gurgaon Sec-15'!C17+'Gurgaon Sec - 10'!C17+'Paschim Vihar'!C17+Kalkaji!C17+CP!C17+Rohini!C17+'Model Town'!C17+'Pacific Mall'!C17+'Shalimar Bagh'!C17+'Gurgaon Sector 31'!C17</f>
        <v>658801.19</v>
      </c>
      <c r="E19" s="19">
        <f>'Noida Sec - 18'!D17+'Noida Sec -143'!D17+DLF!D17+'Faridabad Sec15'!D17+'Gurgaon Sec-15'!D17+'Gurgaon Sec - 10'!D17+'Gurgaon Sector 31'!D17+'Paschim Vihar'!D17+Kalkaji!D17+CP!D17+Rohini!D17+'Model Town'!D17+'Pacific Mall'!D17+'Shalimar Bagh'!D17</f>
        <v>647709</v>
      </c>
      <c r="F19" s="19">
        <f>'Noida Sec - 18'!E17+'Noida Sec -143'!E17+DLF!E17+'Faridabad Sec15'!E17+'Gurgaon Sec-15'!E17+'Gurgaon Sec - 10'!E17+'Gurgaon Sector 31'!E17+'Paschim Vihar'!E17+Kalkaji!E17+CP!E17+Rohini!E17+'Model Town'!E17+'Pacific Mall'!E17+'Shalimar Bagh'!E17</f>
        <v>762281</v>
      </c>
      <c r="G19" s="19">
        <f>'Noida Sec - 18'!F17+'Noida Sec -143'!F17+'Faridabad Sec15'!F17+DLF!F17+'Gurgaon Sec-15'!F17+'Paschim Vihar'!F17+Kalkaji!F17+CP!F17+Rohini!F17+'Model Town'!F17+'Pacific Mall'!F17</f>
        <v>0</v>
      </c>
      <c r="H19" s="19">
        <f>'Noida Sec - 18'!G17+'Noida Sec -143'!G17+'Faridabad Sec15'!G17+DLF!G17+'Gurgaon Sec-15'!G17+'Paschim Vihar'!G17+Kalkaji!G17+CP!G17+Rohini!G17+'Model Town'!G17+'Pacific Mall'!G17</f>
        <v>0</v>
      </c>
      <c r="I19" s="19">
        <f>'Noida Sec - 18'!H17+'Noida Sec -143'!H17+'Faridabad Sec15'!H17+DLF!H17+'Gurgaon Sec-15'!H17+'Paschim Vihar'!H17+Kalkaji!H17+CP!H17+Rohini!H17+'Model Town'!H17+'Pacific Mall'!H17</f>
        <v>0</v>
      </c>
      <c r="J19" s="19">
        <f>'Noida Sec - 18'!I17+'Noida Sec -143'!I17+'Faridabad Sec15'!I17+DLF!I17+'Gurgaon Sec-15'!I17+'Paschim Vihar'!I17+Kalkaji!I17+CP!I17+Rohini!I17+'Model Town'!I17+'Pacific Mall'!I17</f>
        <v>0</v>
      </c>
      <c r="K19" s="19">
        <f>'Noida Sec - 18'!J17+'Noida Sec -143'!J17+'Faridabad Sec15'!J17+DLF!J17+'Gurgaon Sec-15'!J17+'Paschim Vihar'!J17+Kalkaji!J17+CP!J17+Rohini!J17+'Model Town'!J17+'Pacific Mall'!J17+'Gurgaon Sec - 10'!J17</f>
        <v>0</v>
      </c>
      <c r="L19" s="19">
        <f>'Noida Sec - 18'!K17+'Noida Sec -143'!K17+DLF!K17+'Faridabad Sec15'!K17+'Gurgaon Sec-15'!K17+'Gurgaon Sec - 10'!K17+'Paschim Vihar'!K17+Kalkaji!K17+CP!K17+Rohini!K17+'Model Town'!K17+'Pacific Mall'!K17</f>
        <v>0</v>
      </c>
      <c r="M19" s="19">
        <f>'Noida Sec - 18'!L17+'Noida Sec -143'!L17+DLF!L17+'Faridabad Sec15'!L17+'Gurgaon Sec-15'!L17+'Gurgaon Sec - 10'!L17+'Paschim Vihar'!L17+Kalkaji!L17+CP!L17+Rohini!L17+'Model Town'!L17+'Pacific Mall'!L17</f>
        <v>0</v>
      </c>
      <c r="N19" s="19">
        <f>'Noida Sec - 18'!M17+'Noida Sec -143'!M17+DLF!M17+'Faridabad Sec15'!M17+'Gurgaon Sec-15'!M17+'Gurgaon Sec - 10'!M17+'Paschim Vihar'!M17+Kalkaji!M17+CP!M17+Rohini!M17+'Model Town'!M17+'Pacific Mall'!M17+'Shalimar Bagh'!M17</f>
        <v>0</v>
      </c>
      <c r="O19" s="21">
        <f t="shared" si="7"/>
        <v>2704170.37</v>
      </c>
      <c r="P19" s="32">
        <f t="shared" si="8"/>
        <v>0.0309341624</v>
      </c>
      <c r="Q19" s="6"/>
      <c r="R19" s="19">
        <v>569161.0</v>
      </c>
      <c r="S19" s="19">
        <f t="shared" si="3"/>
        <v>66218.18</v>
      </c>
      <c r="T19" s="55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ht="15.75" customHeight="1">
      <c r="A20" s="26" t="s">
        <v>22</v>
      </c>
      <c r="B20" s="90" t="s">
        <v>48</v>
      </c>
      <c r="C20" s="19">
        <f>'Noida Sec - 18'!B18+'Noida Sec -143'!B18+DLF!B18+'Faridabad Sec15'!B18+'Gurgaon Sec-15'!B18+'Gurgaon Sec - 10'!B18+'Paschim Vihar'!B18+Kalkaji!B18+CP!B18+Rohini!B18+'Model Town'!B18+'Pacific Mall'!B18+'Shalimar Bagh'!B18</f>
        <v>4147999.51</v>
      </c>
      <c r="D20" s="19">
        <f>'Noida Sec - 18'!C18+'Noida Sec -143'!C18+DLF!C18+'Faridabad Sec15'!C18+'Gurgaon Sec-15'!C18+'Gurgaon Sec - 10'!C18+'Paschim Vihar'!C18+Kalkaji!C18+CP!C18+Rohini!C18+'Model Town'!C18+'Pacific Mall'!C18+'Shalimar Bagh'!C18+'Gurgaon Sector 31'!C18</f>
        <v>4174744.389</v>
      </c>
      <c r="E20" s="19">
        <f>'Noida Sec - 18'!D18+'Noida Sec -143'!D18+DLF!D18+'Faridabad Sec15'!D18+'Gurgaon Sec-15'!D18+'Gurgaon Sec - 10'!D18+'Gurgaon Sector 31'!D18+'Paschim Vihar'!D18+Kalkaji!D18+CP!D18+Rohini!D18+'Model Town'!D18+'Pacific Mall'!D18+'Shalimar Bagh'!D18</f>
        <v>4471419.7</v>
      </c>
      <c r="F20" s="19">
        <f>'Noida Sec - 18'!E18+'Noida Sec -143'!E18+DLF!E18+'Faridabad Sec15'!E18+'Gurgaon Sec-15'!E18+'Gurgaon Sec - 10'!E18+'Gurgaon Sector 31'!E18+'Paschim Vihar'!E18+Kalkaji!E18+CP!E18+Rohini!E18+'Model Town'!E18+'Pacific Mall'!E18+'Shalimar Bagh'!E18</f>
        <v>4565197.48</v>
      </c>
      <c r="G20" s="19">
        <f>'Noida Sec - 18'!F18+'Noida Sec -143'!F18+'Faridabad Sec15'!F18+DLF!F18+'Gurgaon Sec-15'!F18+'Paschim Vihar'!F18+Kalkaji!F18+CP!F18+Rohini!F18+'Model Town'!F18+'Pacific Mall'!F18</f>
        <v>0</v>
      </c>
      <c r="H20" s="19">
        <f>'Noida Sec - 18'!G18+'Noida Sec -143'!G18+'Faridabad Sec15'!G18+DLF!G18+'Gurgaon Sec-15'!G18+'Paschim Vihar'!G18+Kalkaji!G18+CP!G18+Rohini!G18+'Model Town'!G18+'Pacific Mall'!G18</f>
        <v>0</v>
      </c>
      <c r="I20" s="19">
        <f>'Noida Sec - 18'!H18+'Noida Sec -143'!H18+'Faridabad Sec15'!H18+DLF!H18+'Gurgaon Sec-15'!H18+'Paschim Vihar'!H18+Kalkaji!H18+CP!H18+Rohini!H18+'Model Town'!H18+'Pacific Mall'!H18</f>
        <v>0</v>
      </c>
      <c r="J20" s="19">
        <f>'Noida Sec - 18'!I18+'Noida Sec -143'!I18+'Faridabad Sec15'!I18+DLF!I18+'Gurgaon Sec-15'!I18+'Paschim Vihar'!I18+Kalkaji!I18+CP!I18+Rohini!I18+'Model Town'!I18+'Pacific Mall'!I18</f>
        <v>0</v>
      </c>
      <c r="K20" s="19">
        <f>'Noida Sec - 18'!J18+'Noida Sec -143'!J18+'Faridabad Sec15'!J18+DLF!J18+'Gurgaon Sec-15'!J18+'Paschim Vihar'!J18+Kalkaji!J18+CP!J18+Rohini!J18+'Model Town'!J18+'Pacific Mall'!J18+'Gurgaon Sec - 10'!J18</f>
        <v>0</v>
      </c>
      <c r="L20" s="19">
        <f>'Noida Sec - 18'!K18+'Noida Sec -143'!K18+DLF!K18+'Faridabad Sec15'!K18+'Gurgaon Sec-15'!K18+'Gurgaon Sec - 10'!K18+'Paschim Vihar'!K18+Kalkaji!K18+CP!K18+Rohini!K18+'Model Town'!K18+'Pacific Mall'!K18</f>
        <v>0</v>
      </c>
      <c r="M20" s="19">
        <f>'Noida Sec - 18'!L18+'Noida Sec -143'!L18+DLF!L18+'Faridabad Sec15'!L18+'Gurgaon Sec-15'!L18+'Gurgaon Sec - 10'!L18+'Paschim Vihar'!L18+Kalkaji!L18+CP!L18+Rohini!L18+'Model Town'!L18+'Pacific Mall'!L18</f>
        <v>0</v>
      </c>
      <c r="N20" s="19">
        <f>'Noida Sec - 18'!M18+'Noida Sec -143'!M18+DLF!M18+'Faridabad Sec15'!M18+'Gurgaon Sec-15'!M18+'Gurgaon Sec - 10'!M18+'Paschim Vihar'!M18+Kalkaji!M18+CP!M18+Rohini!M18+'Model Town'!M18+'Pacific Mall'!M18+'Shalimar Bagh'!M18</f>
        <v>0</v>
      </c>
      <c r="O20" s="21">
        <f t="shared" si="7"/>
        <v>17359361.08</v>
      </c>
      <c r="P20" s="32">
        <f t="shared" si="8"/>
        <v>0.1985811622</v>
      </c>
      <c r="Q20" s="6"/>
      <c r="R20" s="19">
        <v>3821495.0</v>
      </c>
      <c r="S20" s="19">
        <f t="shared" si="3"/>
        <v>326504.51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ht="15.75" customHeight="1">
      <c r="A21" s="34" t="s">
        <v>23</v>
      </c>
      <c r="B21" s="90" t="s">
        <v>48</v>
      </c>
      <c r="C21" s="19">
        <f>'Noida Sec - 18'!B19+'Noida Sec -143'!B19+DLF!B19+'Faridabad Sec15'!B19+'Gurgaon Sec-15'!B19+'Gurgaon Sec - 10'!B19+'Paschim Vihar'!B19+Kalkaji!B19+CP!B19+Rohini!B19+'Model Town'!B19+'Pacific Mall'!B19+'Shalimar Bagh'!B19</f>
        <v>15666</v>
      </c>
      <c r="D21" s="19">
        <f>'Noida Sec - 18'!C19+'Noida Sec -143'!C19+DLF!C19+'Faridabad Sec15'!C19+'Gurgaon Sec-15'!C19+'Gurgaon Sec - 10'!C19+'Paschim Vihar'!C19+Kalkaji!C19+CP!C19+Rohini!C19+'Model Town'!C19+'Pacific Mall'!C19+'Shalimar Bagh'!C19</f>
        <v>15296.01271</v>
      </c>
      <c r="E21" s="19">
        <f>'Noida Sec - 18'!D19+'Noida Sec -143'!D19+DLF!D19+'Faridabad Sec15'!D19+'Gurgaon Sec-15'!D19+'Gurgaon Sec - 10'!D19+'Gurgaon Sector 31'!D19+'Paschim Vihar'!D19+Kalkaji!D19+CP!D19+Rohini!D19+'Model Town'!D19+'Pacific Mall'!D19+'Shalimar Bagh'!D19</f>
        <v>15296.01271</v>
      </c>
      <c r="F21" s="19">
        <f>'Noida Sec - 18'!E19+'Noida Sec -143'!E19+DLF!E19+'Faridabad Sec15'!E19+'Gurgaon Sec-15'!E19+'Gurgaon Sec - 10'!E19+'Gurgaon Sector 31'!E19+'Paschim Vihar'!E19+Kalkaji!E19+CP!E19+Rohini!E19+'Model Town'!E19+'Pacific Mall'!E19+'Shalimar Bagh'!E19</f>
        <v>15296.01271</v>
      </c>
      <c r="G21" s="19">
        <f>'Noida Sec - 18'!F19+'Noida Sec -143'!F19+'Faridabad Sec15'!F19+DLF!F19+'Gurgaon Sec-15'!F19+'Paschim Vihar'!F19+Kalkaji!F19+CP!F19+Rohini!F19+'Model Town'!F19+'Pacific Mall'!F19</f>
        <v>13102.04979</v>
      </c>
      <c r="H21" s="19">
        <f>'Noida Sec - 18'!G19+'Noida Sec -143'!G19+'Faridabad Sec15'!G19+DLF!G19+'Gurgaon Sec-15'!G19+'Paschim Vihar'!G19+Kalkaji!G19+CP!G19+Rohini!G19+'Model Town'!G19+'Pacific Mall'!G19</f>
        <v>13102.04979</v>
      </c>
      <c r="I21" s="19">
        <f>'Noida Sec - 18'!H19+'Noida Sec -143'!H19+'Faridabad Sec15'!H19+DLF!H19+'Gurgaon Sec-15'!H19+'Paschim Vihar'!H19+Kalkaji!H19+CP!H19+Rohini!H19+'Model Town'!H19+'Pacific Mall'!H19</f>
        <v>13102.04979</v>
      </c>
      <c r="J21" s="19">
        <f>'Noida Sec - 18'!I19+'Noida Sec -143'!I19+'Faridabad Sec15'!I19+DLF!I19+'Gurgaon Sec-15'!I19+'Paschim Vihar'!I19+Kalkaji!I19+CP!I19+Rohini!I19+'Model Town'!I19+'Pacific Mall'!I19</f>
        <v>13102.04979</v>
      </c>
      <c r="K21" s="19">
        <f>'Noida Sec - 18'!J19+'Noida Sec -143'!J19+'Faridabad Sec15'!J19+DLF!J19+'Gurgaon Sec-15'!J19+'Paschim Vihar'!J19+Kalkaji!J19+CP!J19+Rohini!J19+'Model Town'!J19+'Pacific Mall'!J19+'Gurgaon Sec - 10'!J19</f>
        <v>13871.88</v>
      </c>
      <c r="L21" s="19">
        <f>'Noida Sec - 18'!K19+'Noida Sec -143'!K19+DLF!K19+'Faridabad Sec15'!K19+'Gurgaon Sec-15'!K19+'Gurgaon Sec - 10'!K19+'Paschim Vihar'!K19+Kalkaji!K19+CP!K19+Rohini!K19+'Model Town'!K19+'Pacific Mall'!K19</f>
        <v>13871.88</v>
      </c>
      <c r="M21" s="19">
        <f>'Noida Sec - 18'!L19+'Noida Sec -143'!L19+DLF!L19+'Faridabad Sec15'!L19+'Gurgaon Sec-15'!L19+'Gurgaon Sec - 10'!L19+'Paschim Vihar'!L19+Kalkaji!L19+CP!L19+Rohini!L19+'Model Town'!L19+'Pacific Mall'!L19</f>
        <v>13871.88</v>
      </c>
      <c r="N21" s="19">
        <f>'Noida Sec - 18'!M19+'Noida Sec -143'!M19+DLF!M19+'Faridabad Sec15'!M19+'Gurgaon Sec-15'!M19+'Gurgaon Sec - 10'!M19+'Paschim Vihar'!M19+Kalkaji!M19+CP!M19+Rohini!M19+'Model Town'!M19+'Pacific Mall'!M19+'Shalimar Bagh'!M19</f>
        <v>15296.01271</v>
      </c>
      <c r="O21" s="21">
        <f t="shared" si="7"/>
        <v>170873.89</v>
      </c>
      <c r="P21" s="32">
        <f t="shared" si="8"/>
        <v>0.001954699571</v>
      </c>
      <c r="Q21" s="6"/>
      <c r="R21" s="19">
        <v>14417.0</v>
      </c>
      <c r="S21" s="19">
        <f t="shared" si="3"/>
        <v>1249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ht="15.75" customHeight="1">
      <c r="A22" s="26" t="s">
        <v>24</v>
      </c>
      <c r="B22" s="90" t="s">
        <v>38</v>
      </c>
      <c r="C22" s="19">
        <f>'Noida Sec - 18'!B20+'Noida Sec -143'!B20+DLF!B20+'Faridabad Sec15'!B20+'Gurgaon Sec-15'!B20+'Gurgaon Sec - 10'!B20+'Paschim Vihar'!B20+Kalkaji!B20+CP!B20+Rohini!B20+'Model Town'!B20+'Pacific Mall'!B20+'Shalimar Bagh'!B20</f>
        <v>86713</v>
      </c>
      <c r="D22" s="19">
        <f>'Noida Sec - 18'!C20+'Noida Sec -143'!C20+DLF!C20+'Faridabad Sec15'!C20+'Gurgaon Sec-15'!C20+'Gurgaon Sec - 10'!C20+'Paschim Vihar'!C20+Kalkaji!C20+CP!C20+Rohini!C20+'Model Town'!C20+'Pacific Mall'!C20+'Shalimar Bagh'!C20+'Gurgaon Sector 31'!C20</f>
        <v>94570</v>
      </c>
      <c r="E22" s="19">
        <f>'Noida Sec - 18'!D20+'Noida Sec -143'!D20+DLF!D20+'Faridabad Sec15'!D20+'Gurgaon Sec-15'!D20+'Gurgaon Sec - 10'!D20+'Gurgaon Sector 31'!D20+'Paschim Vihar'!D20+Kalkaji!D20+CP!D20+Rohini!D20+'Model Town'!D20+'Pacific Mall'!D20+'Shalimar Bagh'!D20</f>
        <v>94570</v>
      </c>
      <c r="F22" s="19">
        <f>'Noida Sec - 18'!E20+'Noida Sec -143'!E20+DLF!E20+'Faridabad Sec15'!E20+'Gurgaon Sec-15'!E20+'Gurgaon Sec - 10'!E20+'Gurgaon Sector 31'!E20+'Paschim Vihar'!E20+Kalkaji!E20+CP!E20+Rohini!E20+'Model Town'!E20+'Pacific Mall'!E20+'Shalimar Bagh'!E20</f>
        <v>94570</v>
      </c>
      <c r="G22" s="19">
        <f>'Noida Sec - 18'!F20+'Noida Sec -143'!F20+'Faridabad Sec15'!F20+DLF!F20+'Gurgaon Sec-15'!F20+'Paschim Vihar'!F20+Kalkaji!F20+CP!F20+Rohini!F20+'Model Town'!F20+'Pacific Mall'!F20</f>
        <v>0</v>
      </c>
      <c r="H22" s="19">
        <f>'Noida Sec - 18'!G20+'Noida Sec -143'!G20+'Faridabad Sec15'!G20+DLF!G20+'Gurgaon Sec-15'!G20+'Paschim Vihar'!G20+Kalkaji!G20+CP!G20+Rohini!G20+'Model Town'!G20+'Pacific Mall'!G20</f>
        <v>0</v>
      </c>
      <c r="I22" s="19">
        <f>'Noida Sec - 18'!H20+'Noida Sec -143'!H20+'Faridabad Sec15'!H20+DLF!H20+'Gurgaon Sec-15'!H20+'Paschim Vihar'!H20+Kalkaji!H20+CP!H20+Rohini!H20+'Model Town'!H20+'Pacific Mall'!H20</f>
        <v>0</v>
      </c>
      <c r="J22" s="19">
        <f>'Noida Sec - 18'!I20+'Noida Sec -143'!I20+'Faridabad Sec15'!I20+DLF!I20+'Gurgaon Sec-15'!I20+'Paschim Vihar'!I20+Kalkaji!I20+CP!I20+Rohini!I20+'Model Town'!I20+'Pacific Mall'!I20</f>
        <v>0</v>
      </c>
      <c r="K22" s="19">
        <f>'Noida Sec - 18'!J20+'Noida Sec -143'!J20+'Faridabad Sec15'!J20+DLF!J20+'Gurgaon Sec-15'!J20+'Paschim Vihar'!J20+Kalkaji!J20+CP!J20+Rohini!J20+'Model Town'!J20+'Pacific Mall'!J20+'Gurgaon Sec - 10'!J20</f>
        <v>0</v>
      </c>
      <c r="L22" s="19">
        <f>'Noida Sec - 18'!K20+'Noida Sec -143'!K20+DLF!K20+'Faridabad Sec15'!K20+'Gurgaon Sec-15'!K20+'Gurgaon Sec - 10'!K20+'Paschim Vihar'!K20+Kalkaji!K20+CP!K20+Rohini!K20+'Model Town'!K20+'Pacific Mall'!K20</f>
        <v>0</v>
      </c>
      <c r="M22" s="19">
        <f>'Noida Sec - 18'!L20+'Noida Sec -143'!L20+DLF!L20+'Faridabad Sec15'!L20+'Gurgaon Sec-15'!L20+'Gurgaon Sec - 10'!L20+'Paschim Vihar'!L20+Kalkaji!L20+CP!L20+Rohini!L20+'Model Town'!L20+'Pacific Mall'!L20</f>
        <v>0</v>
      </c>
      <c r="N22" s="19">
        <f>'Noida Sec - 18'!M20+'Noida Sec -143'!M20+DLF!M20+'Faridabad Sec15'!M20+'Gurgaon Sec-15'!M20+'Gurgaon Sec - 10'!M20+'Paschim Vihar'!M20+Kalkaji!M20+CP!M20+Rohini!M20+'Model Town'!M20+'Pacific Mall'!M20+'Shalimar Bagh'!M20</f>
        <v>0</v>
      </c>
      <c r="O22" s="21">
        <f t="shared" si="7"/>
        <v>370423</v>
      </c>
      <c r="P22" s="32">
        <f t="shared" si="8"/>
        <v>0.004237427259</v>
      </c>
      <c r="Q22" s="6"/>
      <c r="R22" s="19">
        <v>80948.0</v>
      </c>
      <c r="S22" s="19">
        <f t="shared" si="3"/>
        <v>5765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ht="15.75" customHeight="1">
      <c r="A23" s="26" t="s">
        <v>25</v>
      </c>
      <c r="B23" s="90" t="s">
        <v>78</v>
      </c>
      <c r="C23" s="19">
        <f>'Noida Sec - 18'!B21+'Noida Sec -143'!B21+DLF!B21+'Faridabad Sec15'!B21+'Gurgaon Sec-15'!B21+'Gurgaon Sec - 10'!B21+'Paschim Vihar'!B21+Kalkaji!B21+CP!B21+Rohini!B21+'Model Town'!B21+'Pacific Mall'!B21+'Shalimar Bagh'!B21</f>
        <v>4447913</v>
      </c>
      <c r="D23" s="19">
        <f>'Noida Sec - 18'!C21+'Noida Sec -143'!C21+DLF!C21+'Faridabad Sec15'!C21+'Gurgaon Sec-15'!C21+'Gurgaon Sec - 10'!C21+'Paschim Vihar'!C21+Kalkaji!C21+CP!C21+Rohini!C21+'Model Town'!C21+'Pacific Mall'!C21+'Shalimar Bagh'!C21+'Gurgaon Sector 31'!C21</f>
        <v>4540935.635</v>
      </c>
      <c r="E23" s="19">
        <f>'Noida Sec - 18'!D21+'Noida Sec -143'!D21+DLF!D21+'Faridabad Sec15'!D21+'Gurgaon Sec-15'!D21+'Gurgaon Sec - 10'!D21+'Gurgaon Sector 31'!D21+'Paschim Vihar'!D21+Kalkaji!D21+CP!D21+Rohini!D21+'Model Town'!D21+'Pacific Mall'!D21+'Shalimar Bagh'!D21</f>
        <v>4826186.46</v>
      </c>
      <c r="F23" s="19">
        <f>'Noida Sec - 18'!E21+'Noida Sec -143'!E21+DLF!E21+'Faridabad Sec15'!E21+'Gurgaon Sec-15'!E21+'Gurgaon Sec - 10'!E21+'Gurgaon Sector 31'!E21+'Paschim Vihar'!E21+Kalkaji!E21+CP!E21+Rohini!E21+'Model Town'!E21+'Pacific Mall'!E21+'Shalimar Bagh'!E21</f>
        <v>4815183.94</v>
      </c>
      <c r="G23" s="19">
        <f>'Noida Sec - 18'!F21+'Noida Sec -143'!F21+'Faridabad Sec15'!F21+DLF!F21+'Gurgaon Sec-15'!F21+'Paschim Vihar'!F21+Kalkaji!F21+CP!F21+Rohini!F21+'Model Town'!F21+'Pacific Mall'!F21</f>
        <v>0</v>
      </c>
      <c r="H23" s="19">
        <f>'Noida Sec - 18'!G21+'Noida Sec -143'!G21+'Faridabad Sec15'!G21+DLF!G21+'Gurgaon Sec-15'!G21+'Paschim Vihar'!G21+Kalkaji!G21+CP!G21+Rohini!G21+'Model Town'!G21+'Pacific Mall'!G21</f>
        <v>0</v>
      </c>
      <c r="I23" s="19">
        <f>'Noida Sec - 18'!H21+'Noida Sec -143'!H21+'Faridabad Sec15'!H21+DLF!H21+'Gurgaon Sec-15'!H21+'Paschim Vihar'!H21+Kalkaji!H21+CP!H21+Rohini!H21+'Model Town'!H21+'Pacific Mall'!H21</f>
        <v>0</v>
      </c>
      <c r="J23" s="19">
        <f>'Noida Sec - 18'!I21+'Noida Sec -143'!I21+'Faridabad Sec15'!I21+DLF!I21+'Gurgaon Sec-15'!I21+'Paschim Vihar'!I21+Kalkaji!I21+CP!I21+Rohini!I21+'Model Town'!I21+'Pacific Mall'!I21</f>
        <v>0</v>
      </c>
      <c r="K23" s="19">
        <f>'Noida Sec - 18'!J21+'Noida Sec -143'!J21+'Faridabad Sec15'!J21+DLF!J21+'Gurgaon Sec-15'!J21+'Paschim Vihar'!J21+Kalkaji!J21+CP!J21+Rohini!J21+'Model Town'!J21+'Pacific Mall'!J21+'Gurgaon Sec - 10'!J21</f>
        <v>0</v>
      </c>
      <c r="L23" s="19">
        <f>'Noida Sec - 18'!K21+'Noida Sec -143'!K21+DLF!K21+'Faridabad Sec15'!K21+'Gurgaon Sec-15'!K21+'Gurgaon Sec - 10'!K21+'Paschim Vihar'!K21+Kalkaji!K21+CP!K21+Rohini!K21+'Model Town'!K21+'Pacific Mall'!K21</f>
        <v>0</v>
      </c>
      <c r="M23" s="19">
        <f>'Noida Sec - 18'!L21+'Noida Sec -143'!L21+DLF!L21+'Faridabad Sec15'!L21+'Gurgaon Sec-15'!L21+'Gurgaon Sec - 10'!L21+'Paschim Vihar'!L21+Kalkaji!L21+CP!L21+Rohini!L21+'Model Town'!L21+'Pacific Mall'!L21</f>
        <v>0</v>
      </c>
      <c r="N23" s="19">
        <f>'Noida Sec - 18'!M21+'Noida Sec -143'!M21+DLF!M21+'Faridabad Sec15'!M21+'Gurgaon Sec-15'!M21+'Gurgaon Sec - 10'!M21+'Paschim Vihar'!M21+Kalkaji!M21+CP!M21+Rohini!M21+'Model Town'!M21+'Pacific Mall'!M21+'Shalimar Bagh'!M21</f>
        <v>0</v>
      </c>
      <c r="O23" s="21">
        <f t="shared" si="7"/>
        <v>18630219.04</v>
      </c>
      <c r="P23" s="32">
        <f t="shared" si="8"/>
        <v>0.2131190503</v>
      </c>
      <c r="Q23" s="6"/>
      <c r="R23" s="19">
        <v>3840779.0</v>
      </c>
      <c r="S23" s="19">
        <f t="shared" si="3"/>
        <v>607134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ht="15.75" customHeight="1">
      <c r="A24" s="14" t="s">
        <v>26</v>
      </c>
      <c r="B24" s="90" t="s">
        <v>38</v>
      </c>
      <c r="C24" s="19">
        <f>'Noida Sec - 18'!B22+'Noida Sec -143'!B22+DLF!B22+'Faridabad Sec15'!B22+'Gurgaon Sec-15'!B22+'Gurgaon Sec - 10'!B22+'Paschim Vihar'!B22+Kalkaji!B22+CP!B22+Rohini!B22+'Model Town'!B22+'Pacific Mall'!B22+'Shalimar Bagh'!B22</f>
        <v>99545</v>
      </c>
      <c r="D24" s="19">
        <f>'Noida Sec - 18'!C22+'Noida Sec -143'!C22+DLF!C22+'Faridabad Sec15'!C22+'Gurgaon Sec-15'!C22+'Gurgaon Sec - 10'!C22+'Paschim Vihar'!C22+Kalkaji!C22+CP!C22+Rohini!C22+'Model Town'!C22+'Pacific Mall'!C22+'Shalimar Bagh'!C22+'Gurgaon Sector 31'!C22</f>
        <v>99545</v>
      </c>
      <c r="E24" s="19">
        <f>'Noida Sec - 18'!D22+'Noida Sec -143'!D22+DLF!D22+'Faridabad Sec15'!D22+'Gurgaon Sec-15'!D22+'Gurgaon Sec - 10'!D22+'Gurgaon Sector 31'!D22+'Paschim Vihar'!D22+Kalkaji!D22+CP!D22+Rohini!D22+'Model Town'!D22+'Pacific Mall'!D22+'Shalimar Bagh'!D22</f>
        <v>107050</v>
      </c>
      <c r="F24" s="19">
        <f>'Noida Sec - 18'!E22+'Noida Sec -143'!E22+DLF!E22+'Faridabad Sec15'!E22+'Gurgaon Sec-15'!E22+'Gurgaon Sec - 10'!E22+'Gurgaon Sector 31'!E22+'Paschim Vihar'!E22+Kalkaji!E22+CP!E22+Rohini!E22+'Model Town'!E22+'Pacific Mall'!E22+'Shalimar Bagh'!E22</f>
        <v>107050</v>
      </c>
      <c r="G24" s="19">
        <f>'Noida Sec - 18'!F22+'Noida Sec -143'!F22+'Faridabad Sec15'!F22+DLF!F22+'Gurgaon Sec-15'!F22+'Paschim Vihar'!F22+Kalkaji!F22+CP!F22+Rohini!F22+'Model Town'!F22+'Pacific Mall'!F22</f>
        <v>0</v>
      </c>
      <c r="H24" s="19">
        <f>'Noida Sec - 18'!G22+'Noida Sec -143'!G22+'Faridabad Sec15'!G22+DLF!G22+'Gurgaon Sec-15'!G22+'Paschim Vihar'!G22+Kalkaji!G22+CP!G22+Rohini!G22+'Model Town'!G22+'Pacific Mall'!G22</f>
        <v>0</v>
      </c>
      <c r="I24" s="19">
        <f>'Noida Sec - 18'!H22+'Noida Sec -143'!H22+'Faridabad Sec15'!H22+DLF!H22+'Gurgaon Sec-15'!H22+'Paschim Vihar'!H22+Kalkaji!H22+CP!H22+Rohini!H22+'Model Town'!H22+'Pacific Mall'!H22</f>
        <v>0</v>
      </c>
      <c r="J24" s="19">
        <f>'Noida Sec - 18'!I22+'Noida Sec -143'!I22+'Faridabad Sec15'!I22+DLF!I22+'Gurgaon Sec-15'!I22+'Paschim Vihar'!I22+Kalkaji!I22+CP!I22+Rohini!I22+'Model Town'!I22+'Pacific Mall'!I22</f>
        <v>0</v>
      </c>
      <c r="K24" s="19">
        <f>'Noida Sec - 18'!J22+'Noida Sec -143'!J22+'Faridabad Sec15'!J22+DLF!J22+'Gurgaon Sec-15'!J22+'Paschim Vihar'!J22+Kalkaji!J22+CP!J22+Rohini!J22+'Model Town'!J22+'Pacific Mall'!J22+'Gurgaon Sec - 10'!J22</f>
        <v>0</v>
      </c>
      <c r="L24" s="19">
        <f>'Noida Sec - 18'!K22+'Noida Sec -143'!K22+DLF!K22+'Faridabad Sec15'!K22+'Gurgaon Sec-15'!K22+'Gurgaon Sec - 10'!K22+'Paschim Vihar'!K22+Kalkaji!K22+CP!K22+Rohini!K22+'Model Town'!K22+'Pacific Mall'!K22</f>
        <v>0</v>
      </c>
      <c r="M24" s="19">
        <f>'Noida Sec - 18'!L22+'Noida Sec -143'!L22+DLF!L22+'Faridabad Sec15'!L22+'Gurgaon Sec-15'!L22+'Gurgaon Sec - 10'!L22+'Paschim Vihar'!L22+Kalkaji!L22+CP!L22+Rohini!L22+'Model Town'!L22+'Pacific Mall'!L22</f>
        <v>0</v>
      </c>
      <c r="N24" s="19">
        <f>'Noida Sec - 18'!M22+'Noida Sec -143'!M22+DLF!M22+'Faridabad Sec15'!M22+'Gurgaon Sec-15'!M22+'Gurgaon Sec - 10'!M22+'Paschim Vihar'!M22+Kalkaji!M22+CP!M22+Rohini!M22+'Model Town'!M22+'Pacific Mall'!M22+'Shalimar Bagh'!M22</f>
        <v>0</v>
      </c>
      <c r="O24" s="21">
        <f t="shared" si="7"/>
        <v>413190</v>
      </c>
      <c r="P24" s="32">
        <f t="shared" si="8"/>
        <v>0.004726657278</v>
      </c>
      <c r="Q24" s="6"/>
      <c r="R24" s="19">
        <v>104978.0</v>
      </c>
      <c r="S24" s="19">
        <f t="shared" si="3"/>
        <v>-5433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15.75" customHeight="1">
      <c r="A25" s="39" t="s">
        <v>27</v>
      </c>
      <c r="B25" s="90" t="s">
        <v>38</v>
      </c>
      <c r="C25" s="19">
        <f>'Noida Sec - 18'!B23+'Noida Sec -143'!B23+DLF!B23+'Faridabad Sec15'!B23+'Gurgaon Sec-15'!B23+'Gurgaon Sec - 10'!B23+'Paschim Vihar'!B23+Kalkaji!B23+CP!B23+Rohini!B23+'Model Town'!B23+'Pacific Mall'!B23+'Shalimar Bagh'!B23</f>
        <v>14254.84667</v>
      </c>
      <c r="D25" s="19">
        <f>'Noida Sec - 18'!C23+'Noida Sec -143'!C23+DLF!C23+'Faridabad Sec15'!C23+'Gurgaon Sec-15'!C23+'Gurgaon Sec - 10'!C23+'Paschim Vihar'!C23+Kalkaji!C23+CP!C23+Rohini!C23+'Model Town'!C23+'Pacific Mall'!C23+'Shalimar Bagh'!C23+'Gurgaon Sector 31'!C23</f>
        <v>14561.68</v>
      </c>
      <c r="E25" s="19">
        <f>'Noida Sec - 18'!D23+'Noida Sec -143'!D23+DLF!D23+'Faridabad Sec15'!D23+'Gurgaon Sec-15'!D23+'Gurgaon Sec - 10'!D23+'Gurgaon Sector 31'!D23+'Paschim Vihar'!D23+Kalkaji!D23+CP!D23+Rohini!D23+'Model Town'!D23+'Pacific Mall'!D23+'Shalimar Bagh'!D23</f>
        <v>14561.68</v>
      </c>
      <c r="F25" s="19">
        <f>'Noida Sec - 18'!E23+'Noida Sec -143'!E23+DLF!E23+'Faridabad Sec15'!E23+'Gurgaon Sec-15'!E23+'Gurgaon Sec - 10'!E23+'Gurgaon Sector 31'!E23+'Paschim Vihar'!E23+Kalkaji!E23+CP!E23+Rohini!E23+'Model Town'!E23+'Pacific Mall'!E23+'Shalimar Bagh'!E23</f>
        <v>16920.67</v>
      </c>
      <c r="G25" s="19">
        <f>'Noida Sec - 18'!F23+'Noida Sec -143'!F23+'Faridabad Sec15'!F23+DLF!F23+'Gurgaon Sec-15'!F23+'Paschim Vihar'!F23+Kalkaji!F23+CP!F23+Rohini!F23+'Model Town'!F23+'Pacific Mall'!F23</f>
        <v>13975.83333</v>
      </c>
      <c r="H25" s="19">
        <f>'Noida Sec - 18'!G23+'Noida Sec -143'!G23+'Faridabad Sec15'!G23+DLF!G23+'Gurgaon Sec-15'!G23+'Paschim Vihar'!G23+Kalkaji!G23+CP!G23+Rohini!G23+'Model Town'!G23+'Pacific Mall'!G23</f>
        <v>13975.83333</v>
      </c>
      <c r="I25" s="19">
        <f>'Noida Sec - 18'!H23+'Noida Sec -143'!H23+'Faridabad Sec15'!H23+DLF!H23+'Gurgaon Sec-15'!H23+'Paschim Vihar'!H23+Kalkaji!H23+CP!H23+Rohini!H23+'Model Town'!H23+'Pacific Mall'!H23</f>
        <v>4059.5</v>
      </c>
      <c r="J25" s="19">
        <f>'Noida Sec - 18'!I23+'Noida Sec -143'!I23+'Faridabad Sec15'!I23+DLF!I23+'Gurgaon Sec-15'!I23+'Paschim Vihar'!I23+Kalkaji!I23+CP!I23+Rohini!I23+'Model Town'!I23+'Pacific Mall'!I23</f>
        <v>4059.5</v>
      </c>
      <c r="K25" s="19">
        <f>'Noida Sec - 18'!J23+'Noida Sec -143'!J23+'Faridabad Sec15'!J23+DLF!J23+'Gurgaon Sec-15'!J23+'Paschim Vihar'!J23+Kalkaji!J23+CP!J23+Rohini!J23+'Model Town'!J23+'Pacific Mall'!J23+'Gurgaon Sec - 10'!J23</f>
        <v>4059.5</v>
      </c>
      <c r="L25" s="19">
        <f>'Noida Sec - 18'!K23+'Noida Sec -143'!K23+DLF!K23+'Faridabad Sec15'!K23+'Gurgaon Sec-15'!K23+'Gurgaon Sec - 10'!K23+'Paschim Vihar'!K23+Kalkaji!K23+CP!K23+Rohini!K23+'Model Town'!K23+'Pacific Mall'!K23</f>
        <v>4059.5</v>
      </c>
      <c r="M25" s="19">
        <f>'Noida Sec - 18'!L23+'Noida Sec -143'!L23+DLF!L23+'Faridabad Sec15'!L23+'Gurgaon Sec-15'!L23+'Gurgaon Sec - 10'!L23+'Paschim Vihar'!L23+Kalkaji!L23+CP!L23+Rohini!L23+'Model Town'!L23+'Pacific Mall'!L23</f>
        <v>4059.5</v>
      </c>
      <c r="N25" s="19">
        <f>'Noida Sec - 18'!M23+'Noida Sec -143'!M23+DLF!M23+'Faridabad Sec15'!M23+'Gurgaon Sec-15'!M23+'Gurgaon Sec - 10'!M23+'Paschim Vihar'!M23+Kalkaji!M23+CP!M23+Rohini!M23+'Model Town'!M23+'Pacific Mall'!M23+'Shalimar Bagh'!M23</f>
        <v>4059.5</v>
      </c>
      <c r="O25" s="21">
        <f t="shared" si="7"/>
        <v>112607.5433</v>
      </c>
      <c r="P25" s="32">
        <f t="shared" si="8"/>
        <v>0.00128816589</v>
      </c>
      <c r="Q25" s="6"/>
      <c r="R25" s="19">
        <v>14822.0</v>
      </c>
      <c r="S25" s="19">
        <f t="shared" si="3"/>
        <v>-567.1533333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ht="15.75" customHeight="1">
      <c r="A26" s="26" t="s">
        <v>28</v>
      </c>
      <c r="B26" s="90" t="s">
        <v>38</v>
      </c>
      <c r="C26" s="19">
        <f>'Noida Sec - 18'!B24+'Noida Sec -143'!B24+DLF!B24+'Faridabad Sec15'!B24+'Gurgaon Sec-15'!B24+'Gurgaon Sec - 10'!B24+'Paschim Vihar'!B24+Kalkaji!B24+CP!B24+Rohini!B24+'Model Town'!B24+'Pacific Mall'!B24+'Shalimar Bagh'!B24</f>
        <v>13924</v>
      </c>
      <c r="D26" s="19">
        <f>'Noida Sec - 18'!C24+'Noida Sec -143'!C24+DLF!C24+'Faridabad Sec15'!C24+'Gurgaon Sec-15'!C24+'Gurgaon Sec - 10'!C24+'Paschim Vihar'!C24+Kalkaji!C24+CP!C24+Rohini!C24+'Model Town'!C24+'Pacific Mall'!C24+'Shalimar Bagh'!C24+'Gurgaon Sector 31'!C24</f>
        <v>16297</v>
      </c>
      <c r="E26" s="19">
        <f>'Noida Sec - 18'!D24+'Noida Sec -143'!D24+DLF!D24+'Faridabad Sec15'!D24+'Gurgaon Sec-15'!D24+'Gurgaon Sec - 10'!D24+'Gurgaon Sector 31'!D24+'Paschim Vihar'!D24+Kalkaji!D24+CP!D24+Rohini!D24+'Model Town'!D24+'Pacific Mall'!D24+'Shalimar Bagh'!D24</f>
        <v>137550</v>
      </c>
      <c r="F26" s="19">
        <f>'Noida Sec - 18'!E24+'Noida Sec -143'!E24+DLF!E24+'Faridabad Sec15'!E24+'Gurgaon Sec-15'!E24+'Gurgaon Sec - 10'!E24+'Gurgaon Sector 31'!E24+'Paschim Vihar'!E24+Kalkaji!E24+CP!E24+Rohini!E24+'Model Town'!E24+'Pacific Mall'!E24+'Shalimar Bagh'!E24</f>
        <v>147961</v>
      </c>
      <c r="G26" s="19">
        <f>'Noida Sec - 18'!F24+'Noida Sec -143'!F24+'Faridabad Sec15'!F24+DLF!F24+'Gurgaon Sec-15'!F24+'Paschim Vihar'!F24+Kalkaji!F24+CP!F24+Rohini!F24+'Model Town'!F24+'Pacific Mall'!F24</f>
        <v>0</v>
      </c>
      <c r="H26" s="19">
        <f>'Noida Sec - 18'!G24+'Noida Sec -143'!G24+'Faridabad Sec15'!G24+DLF!G24+'Gurgaon Sec-15'!G24+'Paschim Vihar'!G24+Kalkaji!G24+CP!G24+Rohini!G24+'Model Town'!G24+'Pacific Mall'!G24</f>
        <v>0</v>
      </c>
      <c r="I26" s="19">
        <f>'Noida Sec - 18'!H24+'Noida Sec -143'!H24+'Faridabad Sec15'!H24+DLF!H24+'Gurgaon Sec-15'!H24+'Paschim Vihar'!H24+Kalkaji!H24+CP!H24+Rohini!H24+'Model Town'!H24+'Pacific Mall'!H24</f>
        <v>0</v>
      </c>
      <c r="J26" s="19">
        <f>'Noida Sec - 18'!I24+'Noida Sec -143'!I24+'Faridabad Sec15'!I24+DLF!I24+'Gurgaon Sec-15'!I24+'Paschim Vihar'!I24+Kalkaji!I24+CP!I24+Rohini!I24+'Model Town'!I24+'Pacific Mall'!I24</f>
        <v>0</v>
      </c>
      <c r="K26" s="19">
        <f>'Noida Sec - 18'!J24+'Noida Sec -143'!J24+'Faridabad Sec15'!J24+DLF!J24+'Gurgaon Sec-15'!J24+'Paschim Vihar'!J24+Kalkaji!J24+CP!J24+Rohini!J24+'Model Town'!J24+'Pacific Mall'!J24</f>
        <v>0</v>
      </c>
      <c r="L26" s="19">
        <f>'Noida Sec - 18'!K24+'Noida Sec -143'!K24+DLF!K24+'Faridabad Sec15'!K24+'Gurgaon Sec-15'!K24+'Gurgaon Sec - 10'!K24+'Paschim Vihar'!K24+Kalkaji!K24+CP!K24+Rohini!K24+'Model Town'!K24+'Pacific Mall'!K24</f>
        <v>0</v>
      </c>
      <c r="M26" s="19">
        <f>'Noida Sec - 18'!L24+'Noida Sec -143'!L24+DLF!L24+'Faridabad Sec15'!L24+'Gurgaon Sec-15'!L24+'Gurgaon Sec - 10'!L24+'Paschim Vihar'!L24+Kalkaji!L24+CP!L24+Rohini!L24+'Model Town'!L24+'Pacific Mall'!L24</f>
        <v>0</v>
      </c>
      <c r="N26" s="19">
        <f>'Noida Sec - 18'!M24+'Noida Sec -143'!M24+DLF!M24+'Faridabad Sec15'!M24+'Gurgaon Sec-15'!M24+'Gurgaon Sec - 10'!M24+'Paschim Vihar'!M24+Kalkaji!M24+CP!M24+Rohini!M24+'Model Town'!M24+'Pacific Mall'!M24+'Shalimar Bagh'!M24</f>
        <v>0</v>
      </c>
      <c r="O26" s="21">
        <f t="shared" si="7"/>
        <v>315732</v>
      </c>
      <c r="P26" s="32">
        <f t="shared" si="8"/>
        <v>0.003611793499</v>
      </c>
      <c r="Q26" s="6"/>
      <c r="R26" s="19">
        <v>64439.0</v>
      </c>
      <c r="S26" s="19">
        <f t="shared" si="3"/>
        <v>-50515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ht="15.75" customHeight="1">
      <c r="A27" s="26" t="s">
        <v>29</v>
      </c>
      <c r="B27" s="90" t="s">
        <v>48</v>
      </c>
      <c r="C27" s="19">
        <f>'Noida Sec - 18'!B25+'Noida Sec -143'!B25+DLF!B25+'Faridabad Sec15'!B25+'Gurgaon Sec-15'!B25+'Gurgaon Sec - 10'!B25+'Paschim Vihar'!B25+Kalkaji!B25+CP!B25+Rohini!B25+'Model Town'!B25+'Pacific Mall'!B25+'Shalimar Bagh'!B25</f>
        <v>226936.17</v>
      </c>
      <c r="D27" s="19">
        <f>'Noida Sec - 18'!C25+'Noida Sec -143'!C25+DLF!C25+'Faridabad Sec15'!C25+'Gurgaon Sec-15'!C25+'Gurgaon Sec - 10'!C25+'Paschim Vihar'!C25+Kalkaji!C25+CP!C25+Rohini!C25+'Model Town'!C25+'Pacific Mall'!C25+'Shalimar Bagh'!C25+'Gurgaon Sector 31'!C25</f>
        <v>234720.5067</v>
      </c>
      <c r="E27" s="19">
        <f>'Noida Sec - 18'!D25+'Noida Sec -143'!D25+DLF!D25+'Faridabad Sec15'!D25+'Gurgaon Sec-15'!D25+'Gurgaon Sec - 10'!D25+'Gurgaon Sector 31'!D25+'Paschim Vihar'!D25+Kalkaji!D25+CP!D25+Rohini!D25+'Model Town'!D25+'Pacific Mall'!D25+'Shalimar Bagh'!D25</f>
        <v>263807.0967</v>
      </c>
      <c r="F27" s="19">
        <f>'Noida Sec - 18'!E25+'Noida Sec -143'!E25+DLF!E25+'Faridabad Sec15'!E25+'Gurgaon Sec-15'!E25+'Gurgaon Sec - 10'!E25+'Gurgaon Sector 31'!E25+'Paschim Vihar'!E25+Kalkaji!E25+CP!E25+Rohini!E25+'Model Town'!E25+'Pacific Mall'!E25+'Shalimar Bagh'!E25</f>
        <v>249489.7667</v>
      </c>
      <c r="G27" s="19">
        <f>'Noida Sec - 18'!F25+'Noida Sec -143'!F25+'Faridabad Sec15'!F25+DLF!F25+'Gurgaon Sec-15'!F25+'Paschim Vihar'!F25+Kalkaji!F25+CP!F25+Rohini!F25+'Model Town'!F25+'Pacific Mall'!F25</f>
        <v>0</v>
      </c>
      <c r="H27" s="19">
        <f>'Noida Sec - 18'!G25+'Noida Sec -143'!G25+'Faridabad Sec15'!G25+DLF!G25+'Gurgaon Sec-15'!G25+'Paschim Vihar'!G25+Kalkaji!G25+CP!G25+Rohini!G25+'Model Town'!G25+'Pacific Mall'!G25</f>
        <v>0</v>
      </c>
      <c r="I27" s="19">
        <f>'Noida Sec - 18'!H25+'Noida Sec -143'!H25+'Faridabad Sec15'!H25+DLF!H25+'Gurgaon Sec-15'!H25+'Paschim Vihar'!H25+Kalkaji!H25+CP!H25+Rohini!H25+'Model Town'!H25+'Pacific Mall'!H25</f>
        <v>0</v>
      </c>
      <c r="J27" s="19">
        <f>'Noida Sec - 18'!I25+'Noida Sec -143'!I25+'Faridabad Sec15'!I25+DLF!I25+'Gurgaon Sec-15'!I25+'Paschim Vihar'!I25+Kalkaji!I25+CP!I25+Rohini!I25+'Model Town'!I25+'Pacific Mall'!I25</f>
        <v>0</v>
      </c>
      <c r="K27" s="19">
        <f>'Noida Sec - 18'!J25+'Noida Sec -143'!J25+'Faridabad Sec15'!J25+DLF!J25+'Gurgaon Sec-15'!J25+'Paschim Vihar'!J25+Kalkaji!J25+CP!J25+Rohini!J25+'Model Town'!J25+'Pacific Mall'!J25</f>
        <v>0</v>
      </c>
      <c r="L27" s="19">
        <f>'Noida Sec - 18'!K25+'Noida Sec -143'!K25+DLF!K25+'Faridabad Sec15'!K25+'Gurgaon Sec-15'!K25+'Gurgaon Sec - 10'!K25+'Paschim Vihar'!K25+Kalkaji!K25+CP!K25+Rohini!K25+'Model Town'!K25+'Pacific Mall'!K25</f>
        <v>0</v>
      </c>
      <c r="M27" s="19">
        <f>'Noida Sec - 18'!L25+'Noida Sec -143'!L25+DLF!L25+'Faridabad Sec15'!L25+'Gurgaon Sec-15'!L25+'Gurgaon Sec - 10'!L25+'Paschim Vihar'!L25+Kalkaji!L25+CP!L25+Rohini!L25+'Model Town'!L25+'Pacific Mall'!L25</f>
        <v>0</v>
      </c>
      <c r="N27" s="19">
        <f>'Noida Sec - 18'!M25+'Noida Sec -143'!M25+DLF!M25+'Faridabad Sec15'!M25+'Gurgaon Sec-15'!M25+'Gurgaon Sec - 10'!M25+'Paschim Vihar'!M25+Kalkaji!M25+CP!M25+Rohini!M25+'Model Town'!M25+'Pacific Mall'!M25+'Shalimar Bagh'!M25</f>
        <v>0</v>
      </c>
      <c r="O27" s="21">
        <f t="shared" si="7"/>
        <v>974953.54</v>
      </c>
      <c r="P27" s="32">
        <f t="shared" si="8"/>
        <v>0.01115291088</v>
      </c>
      <c r="Q27" s="6"/>
      <c r="R27" s="19">
        <v>187135.0</v>
      </c>
      <c r="S27" s="19">
        <f t="shared" si="3"/>
        <v>39801.17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ht="15.75" customHeight="1">
      <c r="A28" s="26" t="s">
        <v>30</v>
      </c>
      <c r="B28" s="90" t="s">
        <v>48</v>
      </c>
      <c r="C28" s="19">
        <f>'Noida Sec - 18'!B26+'Noida Sec -143'!B26+DLF!B26+'Faridabad Sec15'!B26+'Gurgaon Sec-15'!B26+'Gurgaon Sec - 10'!B26+'Paschim Vihar'!B26+Kalkaji!B26+CP!B26+Rohini!B26+'Model Town'!B26+'Pacific Mall'!B26+'Shalimar Bagh'!B26</f>
        <v>222667.39</v>
      </c>
      <c r="D28" s="19">
        <f>'Noida Sec - 18'!C26+'Noida Sec -143'!C26+DLF!C26+'Faridabad Sec15'!C26+'Gurgaon Sec-15'!C26+'Gurgaon Sec - 10'!C26+'Paschim Vihar'!C26+Kalkaji!C26+CP!C26+Rohini!C26+'Model Town'!C26+'Pacific Mall'!C26+'Shalimar Bagh'!C26+'Gurgaon Sector 31'!C26</f>
        <v>225937.39</v>
      </c>
      <c r="E28" s="19">
        <f>'Noida Sec - 18'!D26+'Noida Sec -143'!D26+DLF!D26+'Faridabad Sec15'!D26+'Gurgaon Sec-15'!D26+'Gurgaon Sec - 10'!D26+'Gurgaon Sector 31'!D26+'Paschim Vihar'!D26+Kalkaji!D26+CP!D26+Rohini!D26+'Model Town'!D26+'Pacific Mall'!D26+'Shalimar Bagh'!D26</f>
        <v>228043.39</v>
      </c>
      <c r="F28" s="19">
        <f>'Noida Sec - 18'!E26+'Noida Sec -143'!E26+DLF!E26+'Faridabad Sec15'!E26+'Gurgaon Sec-15'!E26+'Gurgaon Sec - 10'!E26+'Gurgaon Sector 31'!E26+'Paschim Vihar'!E26+Kalkaji!E26+CP!E26+Rohini!E26+'Model Town'!E26+'Pacific Mall'!E26+'Shalimar Bagh'!E26</f>
        <v>232843.39</v>
      </c>
      <c r="G28" s="19">
        <f>'Noida Sec - 18'!F26+'Noida Sec -143'!F26+'Faridabad Sec15'!F26+DLF!F26+'Gurgaon Sec-15'!F26+'Paschim Vihar'!F26+Kalkaji!F26+CP!F26+Rohini!F26+'Model Town'!F26+'Pacific Mall'!F26</f>
        <v>0</v>
      </c>
      <c r="H28" s="19">
        <f>'Noida Sec - 18'!G26+'Noida Sec -143'!G26+'Faridabad Sec15'!G26+DLF!G26+'Gurgaon Sec-15'!G26+'Paschim Vihar'!G26+Kalkaji!G26+CP!G26+Rohini!G26+'Model Town'!G26+'Pacific Mall'!G26</f>
        <v>0</v>
      </c>
      <c r="I28" s="19">
        <f>'Noida Sec - 18'!H26+'Noida Sec -143'!H26+'Faridabad Sec15'!H26+DLF!H26+'Gurgaon Sec-15'!H26+'Paschim Vihar'!H26+Kalkaji!H26+CP!H26+Rohini!H26+'Model Town'!H26+'Pacific Mall'!H26</f>
        <v>0</v>
      </c>
      <c r="J28" s="19">
        <f>'Noida Sec - 18'!I26+'Noida Sec -143'!I26+'Faridabad Sec15'!I26+DLF!I26+'Gurgaon Sec-15'!I26+'Paschim Vihar'!I26+Kalkaji!I26+CP!I26+Rohini!I26+'Model Town'!I26+'Pacific Mall'!I26</f>
        <v>0</v>
      </c>
      <c r="K28" s="19">
        <f>'Noida Sec - 18'!J26+'Noida Sec -143'!J26+'Faridabad Sec15'!J26+DLF!J26+'Gurgaon Sec-15'!J26+'Paschim Vihar'!J26+Kalkaji!J26+CP!J26+Rohini!J26+'Model Town'!J26+'Pacific Mall'!J26</f>
        <v>0</v>
      </c>
      <c r="L28" s="19">
        <f>'Noida Sec - 18'!K26+'Noida Sec -143'!K26+DLF!K26+'Faridabad Sec15'!K26+'Gurgaon Sec-15'!K26+'Gurgaon Sec - 10'!K26+'Paschim Vihar'!K26+Kalkaji!K26+CP!K26+Rohini!K26+'Model Town'!K26+'Pacific Mall'!K26</f>
        <v>0</v>
      </c>
      <c r="M28" s="19">
        <f>'Noida Sec - 18'!L26+'Noida Sec -143'!L26+DLF!L26+'Faridabad Sec15'!L26+'Gurgaon Sec-15'!L26+'Gurgaon Sec - 10'!L26+'Paschim Vihar'!L26+Kalkaji!L26+CP!L26+Rohini!L26+'Model Town'!L26+'Pacific Mall'!L26</f>
        <v>0</v>
      </c>
      <c r="N28" s="19">
        <f>'Noida Sec - 18'!M26+'Noida Sec -143'!M26+DLF!M26+'Faridabad Sec15'!M26+'Gurgaon Sec-15'!M26+'Gurgaon Sec - 10'!M26+'Paschim Vihar'!M26+Kalkaji!M26+CP!M26+Rohini!M26+'Model Town'!M26+'Pacific Mall'!M26+'Shalimar Bagh'!M26</f>
        <v>0</v>
      </c>
      <c r="O28" s="21">
        <f t="shared" si="7"/>
        <v>909491.56</v>
      </c>
      <c r="P28" s="32">
        <f t="shared" si="8"/>
        <v>0.01040406327</v>
      </c>
      <c r="Q28" s="6"/>
      <c r="R28" s="19">
        <v>221907.0</v>
      </c>
      <c r="S28" s="19">
        <f t="shared" si="3"/>
        <v>760.39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ht="15.75" customHeight="1">
      <c r="A29" s="34" t="s">
        <v>199</v>
      </c>
      <c r="B29" s="90" t="s">
        <v>48</v>
      </c>
      <c r="C29" s="19">
        <f>'Ads Account'!B17</f>
        <v>769400.9424</v>
      </c>
      <c r="D29" s="19">
        <f>'Ads Account'!C17</f>
        <v>808635.4362</v>
      </c>
      <c r="E29" s="19">
        <f>'Ads Account'!D17</f>
        <v>661870.3458</v>
      </c>
      <c r="F29" s="19">
        <f>'Ads Account'!E17</f>
        <v>995300.261</v>
      </c>
      <c r="G29" s="19">
        <f>'Ads Account'!F17</f>
        <v>25283.91917</v>
      </c>
      <c r="H29" s="19">
        <f>'Ads Account'!G17</f>
        <v>25283.91917</v>
      </c>
      <c r="I29" s="19">
        <f>'Ads Account'!H17</f>
        <v>25283.91917</v>
      </c>
      <c r="J29" s="19">
        <f>'Ads Account'!I17</f>
        <v>25283.91917</v>
      </c>
      <c r="K29" s="19">
        <f>'Ads Account'!J17</f>
        <v>25283.91917</v>
      </c>
      <c r="L29" s="19">
        <f>'Ads Account'!K17</f>
        <v>25283.91917</v>
      </c>
      <c r="M29" s="19">
        <f>'Ads Account'!L17</f>
        <v>25283.91917</v>
      </c>
      <c r="N29" s="19">
        <f>'Ads Account'!M17</f>
        <v>25283.91917</v>
      </c>
      <c r="O29" s="21">
        <f t="shared" si="7"/>
        <v>3437478.339</v>
      </c>
      <c r="P29" s="32">
        <f t="shared" si="8"/>
        <v>0.03932278615</v>
      </c>
      <c r="Q29" s="6"/>
      <c r="R29" s="19">
        <v>711696.0</v>
      </c>
      <c r="S29" s="19">
        <f t="shared" si="3"/>
        <v>57704.94237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A30" s="26" t="s">
        <v>31</v>
      </c>
      <c r="B30" s="90" t="s">
        <v>48</v>
      </c>
      <c r="C30" s="19">
        <f>'Noida Sec - 18'!B27+'Noida Sec -143'!B27+DLF!B27+'Faridabad Sec15'!B27+'Gurgaon Sec-15'!B27+'Gurgaon Sec - 10'!B27+'Paschim Vihar'!B27+Kalkaji!B27+CP!B27+Rohini!B27+'Model Town'!B27+'Pacific Mall'!B27+'Shalimar Bagh'!B27</f>
        <v>3254735.39</v>
      </c>
      <c r="D30" s="19">
        <f>'Noida Sec - 18'!C27+'Noida Sec -143'!C27+DLF!C27+'Faridabad Sec15'!C27+'Gurgaon Sec-15'!C27+'Gurgaon Sec - 10'!C27+'Paschim Vihar'!C27+Kalkaji!C27+CP!C27+Rohini!C27+'Model Town'!C27+'Pacific Mall'!C27+'Shalimar Bagh'!C27+'Gurgaon Sector 31'!C27</f>
        <v>3298023.143</v>
      </c>
      <c r="E30" s="19">
        <f>'Noida Sec - 18'!D27+'Noida Sec -143'!D27+DLF!D27+'Faridabad Sec15'!D27+'Gurgaon Sec-15'!D27+'Gurgaon Sec - 10'!D27+'Paschim Vihar'!D27+Kalkaji!D27+CP!D27+Rohini!D27+'Model Town'!D27+'Pacific Mall'!D27+'Shalimar Bagh'!D27+'Gurgaon Sector 31'!D27</f>
        <v>3131106.663</v>
      </c>
      <c r="F30" s="19">
        <f>'Noida Sec - 18'!E27+'Noida Sec -143'!E27+DLF!E27+'Faridabad Sec15'!E27+'Gurgaon Sec-15'!E27+'Gurgaon Sec - 10'!E27+'Paschim Vihar'!E27+Kalkaji!E27+CP!E27+Rohini!E27+'Model Town'!E27+'Pacific Mall'!E27+'Shalimar Bagh'!E27+'Gurgaon Sector 31'!E27</f>
        <v>3060446.963</v>
      </c>
      <c r="G30" s="19" t="str">
        <f>'Noida Sec - 18'!F27+'Noida Sec -143'!F27+'Faridabad Sec15'!F27+DLF!F27+'Gurgaon Sec-15'!F27+'Paschim Vihar'!F27+Kalkaji!F27+CP!F27+Rohini!F27+'Model Town'!F27+'Pacific Mall'!F27</f>
        <v>#DIV/0!</v>
      </c>
      <c r="H30" s="19" t="str">
        <f>'Noida Sec - 18'!G27+'Noida Sec -143'!G27+'Faridabad Sec15'!G27+DLF!G27+'Gurgaon Sec-15'!G27+'Paschim Vihar'!G27+Kalkaji!G27+CP!G27+Rohini!G27+'Model Town'!G27+'Pacific Mall'!G27</f>
        <v>#DIV/0!</v>
      </c>
      <c r="I30" s="19" t="str">
        <f>'Noida Sec - 18'!H27+'Noida Sec -143'!H27+'Faridabad Sec15'!H27+DLF!H27+'Gurgaon Sec-15'!H27+'Paschim Vihar'!H27+Kalkaji!H27+CP!H27+Rohini!H27+'Model Town'!H27+'Pacific Mall'!H27</f>
        <v>#DIV/0!</v>
      </c>
      <c r="J30" s="19" t="str">
        <f>'Noida Sec - 18'!I27+'Noida Sec -143'!I27+'Faridabad Sec15'!I27+DLF!I27+'Gurgaon Sec-15'!I27+'Paschim Vihar'!I27+Kalkaji!I27+CP!I27+Rohini!I27+'Model Town'!I27+'Pacific Mall'!I27</f>
        <v>#DIV/0!</v>
      </c>
      <c r="K30" s="19" t="str">
        <f>'Noida Sec - 18'!J27+'Noida Sec -143'!J27+'Faridabad Sec15'!J27+DLF!J27+'Gurgaon Sec-15'!J27+'Paschim Vihar'!J27+Kalkaji!J27+CP!J27+Rohini!J27+'Model Town'!J27+'Pacific Mall'!J27+'Gurgaon Sec - 10'!J27</f>
        <v>#DIV/0!</v>
      </c>
      <c r="L30" s="19" t="str">
        <f>'Noida Sec - 18'!K27+'Noida Sec -143'!K27+DLF!K27+'Faridabad Sec15'!K27+'Gurgaon Sec-15'!K27+'Gurgaon Sec - 10'!K27+'Paschim Vihar'!K27+Kalkaji!K27+CP!K27+Rohini!K27+'Model Town'!K27+'Pacific Mall'!K27</f>
        <v>#DIV/0!</v>
      </c>
      <c r="M30" s="19" t="str">
        <f>'Noida Sec - 18'!L27+'Noida Sec -143'!L27+DLF!L27+'Faridabad Sec15'!L27+'Gurgaon Sec-15'!L27+'Gurgaon Sec - 10'!L27+'Paschim Vihar'!L27+Kalkaji!L27+CP!L27+Rohini!L27+'Model Town'!L27+'Pacific Mall'!L27</f>
        <v>#DIV/0!</v>
      </c>
      <c r="N30" s="19" t="str">
        <f>'Noida Sec - 18'!M27+'Noida Sec -143'!M27+DLF!M27+'Faridabad Sec15'!M27+'Gurgaon Sec-15'!M27+'Gurgaon Sec - 10'!M27+'Paschim Vihar'!M27+Kalkaji!M27+CP!M27+Rohini!M27+'Model Town'!M27+'Pacific Mall'!M27+'Shalimar Bagh'!M27</f>
        <v>#DIV/0!</v>
      </c>
      <c r="O30" s="21" t="str">
        <f t="shared" si="7"/>
        <v>#DIV/0!</v>
      </c>
      <c r="P30" s="32" t="str">
        <f t="shared" si="8"/>
        <v>#DIV/0!</v>
      </c>
      <c r="Q30" s="6"/>
      <c r="R30" s="19">
        <v>3242872.0</v>
      </c>
      <c r="S30" s="19">
        <f t="shared" si="3"/>
        <v>11863.39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A31" s="41" t="s">
        <v>32</v>
      </c>
      <c r="B31" s="192"/>
      <c r="C31" s="42">
        <f t="shared" ref="C31:N31" si="9">+SUM(C16:C30)</f>
        <v>21106363.22</v>
      </c>
      <c r="D31" s="42">
        <f t="shared" si="9"/>
        <v>21649872.97</v>
      </c>
      <c r="E31" s="42">
        <f t="shared" si="9"/>
        <v>22337643.36</v>
      </c>
      <c r="F31" s="42">
        <f t="shared" si="9"/>
        <v>22538992.11</v>
      </c>
      <c r="G31" s="43" t="str">
        <f t="shared" si="9"/>
        <v>#DIV/0!</v>
      </c>
      <c r="H31" s="43" t="str">
        <f t="shared" si="9"/>
        <v>#DIV/0!</v>
      </c>
      <c r="I31" s="43" t="str">
        <f t="shared" si="9"/>
        <v>#DIV/0!</v>
      </c>
      <c r="J31" s="43" t="str">
        <f t="shared" si="9"/>
        <v>#DIV/0!</v>
      </c>
      <c r="K31" s="43" t="str">
        <f t="shared" si="9"/>
        <v>#DIV/0!</v>
      </c>
      <c r="L31" s="43" t="str">
        <f t="shared" si="9"/>
        <v>#DIV/0!</v>
      </c>
      <c r="M31" s="43" t="str">
        <f t="shared" si="9"/>
        <v>#DIV/0!</v>
      </c>
      <c r="N31" s="43" t="str">
        <f t="shared" si="9"/>
        <v>#DIV/0!</v>
      </c>
      <c r="O31" s="42" t="str">
        <f t="shared" si="7"/>
        <v>#DIV/0!</v>
      </c>
      <c r="P31" s="44" t="str">
        <f t="shared" si="8"/>
        <v>#DIV/0!</v>
      </c>
      <c r="Q31" s="6"/>
      <c r="R31" s="43">
        <v>1.9528649E7</v>
      </c>
      <c r="S31" s="43">
        <f>SUM(S16:S30)</f>
        <v>1577713.222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A32" s="45" t="s">
        <v>33</v>
      </c>
      <c r="B32" s="193"/>
      <c r="C32" s="46">
        <f t="shared" ref="C32:N32" si="10">C15-C31</f>
        <v>301106.8778</v>
      </c>
      <c r="D32" s="46">
        <f t="shared" si="10"/>
        <v>1058423.627</v>
      </c>
      <c r="E32" s="46">
        <f t="shared" si="10"/>
        <v>-383212.033</v>
      </c>
      <c r="F32" s="46">
        <f t="shared" si="10"/>
        <v>-1192232.304</v>
      </c>
      <c r="G32" s="46" t="str">
        <f t="shared" si="10"/>
        <v>#DIV/0!</v>
      </c>
      <c r="H32" s="46" t="str">
        <f t="shared" si="10"/>
        <v>#DIV/0!</v>
      </c>
      <c r="I32" s="46" t="str">
        <f t="shared" si="10"/>
        <v>#DIV/0!</v>
      </c>
      <c r="J32" s="46" t="str">
        <f t="shared" si="10"/>
        <v>#DIV/0!</v>
      </c>
      <c r="K32" s="46" t="str">
        <f t="shared" si="10"/>
        <v>#DIV/0!</v>
      </c>
      <c r="L32" s="46" t="str">
        <f t="shared" si="10"/>
        <v>#DIV/0!</v>
      </c>
      <c r="M32" s="46" t="str">
        <f t="shared" si="10"/>
        <v>#DIV/0!</v>
      </c>
      <c r="N32" s="46" t="str">
        <f t="shared" si="10"/>
        <v>#DIV/0!</v>
      </c>
      <c r="O32" s="46" t="str">
        <f t="shared" si="7"/>
        <v>#DIV/0!</v>
      </c>
      <c r="P32" s="47" t="str">
        <f t="shared" si="8"/>
        <v>#DIV/0!</v>
      </c>
      <c r="Q32" s="6"/>
      <c r="R32" s="46">
        <v>950443.44</v>
      </c>
      <c r="S32" s="46">
        <f t="shared" ref="S32:S34" si="12">C32-R32</f>
        <v>-649336.5622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ht="15.75" customHeight="1">
      <c r="A33" s="85" t="s">
        <v>204</v>
      </c>
      <c r="B33" s="21"/>
      <c r="C33" s="32">
        <f t="shared" ref="C33:N33" si="11">C32/C15</f>
        <v>0.014065505</v>
      </c>
      <c r="D33" s="32">
        <f t="shared" si="11"/>
        <v>0.0466095562</v>
      </c>
      <c r="E33" s="32">
        <f t="shared" si="11"/>
        <v>-0.01745488313</v>
      </c>
      <c r="F33" s="32">
        <f t="shared" si="11"/>
        <v>-0.05585073868</v>
      </c>
      <c r="G33" s="32" t="str">
        <f t="shared" si="11"/>
        <v>#DIV/0!</v>
      </c>
      <c r="H33" s="32" t="str">
        <f t="shared" si="11"/>
        <v>#DIV/0!</v>
      </c>
      <c r="I33" s="32" t="str">
        <f t="shared" si="11"/>
        <v>#DIV/0!</v>
      </c>
      <c r="J33" s="32" t="str">
        <f t="shared" si="11"/>
        <v>#DIV/0!</v>
      </c>
      <c r="K33" s="32" t="str">
        <f t="shared" si="11"/>
        <v>#DIV/0!</v>
      </c>
      <c r="L33" s="32" t="str">
        <f t="shared" si="11"/>
        <v>#DIV/0!</v>
      </c>
      <c r="M33" s="32" t="str">
        <f t="shared" si="11"/>
        <v>#DIV/0!</v>
      </c>
      <c r="N33" s="32" t="str">
        <f t="shared" si="11"/>
        <v>#DIV/0!</v>
      </c>
      <c r="O33" s="21"/>
      <c r="P33" s="32"/>
      <c r="Q33" s="6"/>
      <c r="R33" s="32">
        <v>0.0464</v>
      </c>
      <c r="S33" s="32">
        <f t="shared" si="12"/>
        <v>-0.032334495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A34" s="195" t="s">
        <v>34</v>
      </c>
      <c r="B34" s="22"/>
      <c r="C34" s="88">
        <f t="shared" ref="C34:N34" si="13">(C16/C15)</f>
        <v>0.2801162441</v>
      </c>
      <c r="D34" s="88">
        <f t="shared" si="13"/>
        <v>0.2730131321</v>
      </c>
      <c r="E34" s="88">
        <f t="shared" si="13"/>
        <v>0.291659421</v>
      </c>
      <c r="F34" s="88">
        <f t="shared" si="13"/>
        <v>0.2790717506</v>
      </c>
      <c r="G34" s="198" t="str">
        <f t="shared" si="13"/>
        <v>#DIV/0!</v>
      </c>
      <c r="H34" s="88" t="str">
        <f t="shared" si="13"/>
        <v>#DIV/0!</v>
      </c>
      <c r="I34" s="88" t="str">
        <f t="shared" si="13"/>
        <v>#DIV/0!</v>
      </c>
      <c r="J34" s="88" t="str">
        <f t="shared" si="13"/>
        <v>#DIV/0!</v>
      </c>
      <c r="K34" s="88" t="str">
        <f t="shared" si="13"/>
        <v>#DIV/0!</v>
      </c>
      <c r="L34" s="88" t="str">
        <f t="shared" si="13"/>
        <v>#DIV/0!</v>
      </c>
      <c r="M34" s="88" t="str">
        <f t="shared" si="13"/>
        <v>#DIV/0!</v>
      </c>
      <c r="N34" s="88" t="str">
        <f t="shared" si="13"/>
        <v>#DIV/0!</v>
      </c>
      <c r="O34" s="22"/>
      <c r="P34" s="22"/>
      <c r="Q34" s="6"/>
      <c r="R34" s="88">
        <v>0.2772</v>
      </c>
      <c r="S34" s="88">
        <f t="shared" si="12"/>
        <v>0.002916244093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A36" s="55"/>
      <c r="B36" s="6"/>
      <c r="C36" s="200"/>
      <c r="D36" s="200"/>
      <c r="E36" s="200"/>
      <c r="F36" s="200"/>
      <c r="G36" s="200"/>
      <c r="H36" s="200"/>
      <c r="I36" s="200"/>
      <c r="J36" s="200"/>
      <c r="K36" s="200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5.75" customHeight="1">
      <c r="A37" s="55"/>
      <c r="B37" s="6"/>
      <c r="C37" s="56">
        <f t="shared" ref="C37:F37" si="14">C32+C30</f>
        <v>3555842.268</v>
      </c>
      <c r="D37" s="56">
        <f t="shared" si="14"/>
        <v>4356446.769</v>
      </c>
      <c r="E37" s="56">
        <f t="shared" si="14"/>
        <v>2747894.63</v>
      </c>
      <c r="F37" s="56">
        <f t="shared" si="14"/>
        <v>1868214.659</v>
      </c>
      <c r="G37" s="56"/>
      <c r="H37" s="56" t="str">
        <f t="shared" ref="H37:N37" si="15">H32+H30</f>
        <v>#DIV/0!</v>
      </c>
      <c r="I37" s="56" t="str">
        <f t="shared" si="15"/>
        <v>#DIV/0!</v>
      </c>
      <c r="J37" s="56" t="str">
        <f t="shared" si="15"/>
        <v>#DIV/0!</v>
      </c>
      <c r="K37" s="56" t="str">
        <f t="shared" si="15"/>
        <v>#DIV/0!</v>
      </c>
      <c r="L37" s="56" t="str">
        <f t="shared" si="15"/>
        <v>#DIV/0!</v>
      </c>
      <c r="M37" s="56" t="str">
        <f t="shared" si="15"/>
        <v>#DIV/0!</v>
      </c>
      <c r="N37" s="56" t="str">
        <f t="shared" si="15"/>
        <v>#DIV/0!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ht="15.75" customHeight="1">
      <c r="A38" s="201"/>
      <c r="B38" s="6"/>
      <c r="C38" s="202"/>
      <c r="D38" s="202"/>
      <c r="E38" s="202"/>
      <c r="F38" s="202"/>
      <c r="G38" s="202"/>
      <c r="H38" s="202"/>
      <c r="I38" s="202"/>
      <c r="J38" s="6"/>
      <c r="K38" s="6"/>
      <c r="L38" s="5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ht="15.75" customHeight="1">
      <c r="A40" s="203"/>
      <c r="B40" s="6"/>
      <c r="C40" s="202"/>
      <c r="D40" s="202"/>
      <c r="E40" s="202"/>
      <c r="F40" s="202"/>
      <c r="G40" s="202"/>
      <c r="H40" s="202"/>
      <c r="I40" s="20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15.75" customHeight="1">
      <c r="A41" s="165"/>
      <c r="B41" s="6"/>
      <c r="C41" s="6"/>
      <c r="D41" s="6"/>
      <c r="E41" s="6"/>
      <c r="F41" s="6"/>
      <c r="G41" s="204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ht="15.75" customHeight="1">
      <c r="A42" s="6"/>
      <c r="B42" s="6"/>
      <c r="C42" s="6"/>
      <c r="D42" s="6"/>
      <c r="E42" s="6"/>
      <c r="F42" s="6"/>
      <c r="G42" s="20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ht="15.75" customHeight="1">
      <c r="A43" s="6"/>
      <c r="B43" s="6"/>
      <c r="C43" s="6"/>
      <c r="D43" s="6"/>
      <c r="E43" s="6"/>
      <c r="F43" s="6"/>
      <c r="G43" s="20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15.75" customHeight="1">
      <c r="A44" s="6"/>
      <c r="B44" s="6"/>
      <c r="C44" s="6"/>
      <c r="D44" s="6"/>
      <c r="E44" s="6"/>
      <c r="F44" s="6"/>
      <c r="G44" s="20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A45" s="6"/>
      <c r="B45" s="6"/>
      <c r="C45" s="6"/>
      <c r="D45" s="6"/>
      <c r="E45" s="6"/>
      <c r="F45" s="6"/>
      <c r="G45" s="20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A46" s="6"/>
      <c r="B46" s="6"/>
      <c r="C46" s="6"/>
      <c r="D46" s="6"/>
      <c r="E46" s="6"/>
      <c r="F46" s="6"/>
      <c r="G46" s="204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A47" s="6"/>
      <c r="B47" s="6"/>
      <c r="C47" s="6"/>
      <c r="D47" s="6"/>
      <c r="E47" s="6"/>
      <c r="F47" s="6"/>
      <c r="G47" s="204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A48" s="6"/>
      <c r="B48" s="6"/>
      <c r="C48" s="6"/>
      <c r="D48" s="6"/>
      <c r="E48" s="6"/>
      <c r="F48" s="6"/>
      <c r="G48" s="20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A49" s="6"/>
      <c r="B49" s="6"/>
      <c r="C49" s="6"/>
      <c r="D49" s="6"/>
      <c r="E49" s="6"/>
      <c r="F49" s="6"/>
      <c r="G49" s="204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A50" s="6"/>
      <c r="B50" s="6"/>
      <c r="C50" s="6"/>
      <c r="D50" s="6"/>
      <c r="E50" s="6"/>
      <c r="F50" s="6"/>
      <c r="G50" s="204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A51" s="6"/>
      <c r="B51" s="6"/>
      <c r="C51" s="6"/>
      <c r="D51" s="6"/>
      <c r="E51" s="6"/>
      <c r="F51" s="6"/>
      <c r="G51" s="20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6"/>
      <c r="B52" s="6"/>
      <c r="C52" s="6"/>
      <c r="D52" s="6"/>
      <c r="E52" s="6"/>
      <c r="F52" s="6"/>
      <c r="G52" s="204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A53" s="6"/>
      <c r="B53" s="6"/>
      <c r="C53" s="6"/>
      <c r="D53" s="6"/>
      <c r="E53" s="6"/>
      <c r="F53" s="6"/>
      <c r="G53" s="20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A54" s="6"/>
      <c r="B54" s="6"/>
      <c r="C54" s="6"/>
      <c r="D54" s="6"/>
      <c r="E54" s="6"/>
      <c r="F54" s="6"/>
      <c r="G54" s="20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">
    <mergeCell ref="O2:P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0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f>76058</f>
        <v>76058</v>
      </c>
      <c r="C3" s="17">
        <f t="shared" ref="C3:M3" si="1">B7</f>
        <v>71874.97</v>
      </c>
      <c r="D3" s="19">
        <f t="shared" si="1"/>
        <v>67029.28</v>
      </c>
      <c r="E3" s="19">
        <f t="shared" si="1"/>
        <v>61102</v>
      </c>
      <c r="F3" s="19">
        <f t="shared" si="1"/>
        <v>65481</v>
      </c>
      <c r="G3" s="19">
        <f t="shared" si="1"/>
        <v>71128.04</v>
      </c>
      <c r="H3" s="19">
        <f t="shared" si="1"/>
        <v>63923</v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445442.0</v>
      </c>
      <c r="C4" s="24">
        <v>537529.7</v>
      </c>
      <c r="D4" s="20">
        <v>539928.0</v>
      </c>
      <c r="E4" s="20">
        <v>520803.0</v>
      </c>
      <c r="F4" s="20">
        <v>611035.0</v>
      </c>
      <c r="G4" s="20">
        <v>456993.0</v>
      </c>
      <c r="H4" s="20"/>
      <c r="I4" s="19"/>
      <c r="J4" s="20"/>
      <c r="K4" s="20"/>
      <c r="L4" s="19"/>
      <c r="M4" s="20"/>
      <c r="N4" s="21">
        <f>sum(B4:M4)</f>
        <v>3111730.7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0">
        <v>0.0</v>
      </c>
      <c r="E5" s="20">
        <v>0.0</v>
      </c>
      <c r="F5" s="20">
        <v>0.0</v>
      </c>
      <c r="G5" s="20">
        <v>0.0</v>
      </c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16553.61</v>
      </c>
      <c r="C6" s="24">
        <v>21266.47</v>
      </c>
      <c r="D6" s="20">
        <v>17540.0</v>
      </c>
      <c r="E6" s="20">
        <v>18994.0</v>
      </c>
      <c r="F6" s="20">
        <v>18614.0</v>
      </c>
      <c r="G6" s="20">
        <v>16055.0</v>
      </c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71874.97</v>
      </c>
      <c r="C7" s="24">
        <v>67029.28</v>
      </c>
      <c r="D7" s="20">
        <v>61102.0</v>
      </c>
      <c r="E7" s="20">
        <v>65481.0</v>
      </c>
      <c r="F7" s="20">
        <v>71128.04</v>
      </c>
      <c r="G7" s="20">
        <v>63923.0</v>
      </c>
      <c r="H7" s="20"/>
      <c r="I7" s="20"/>
      <c r="J7" s="20"/>
      <c r="K7" s="20"/>
      <c r="L7" s="20"/>
      <c r="M7" s="20"/>
      <c r="N7" s="21">
        <f>sum(B7:M7)</f>
        <v>400538.29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1903407.75*1.05+68692.32*1.05</f>
        <v>2070705.074</v>
      </c>
      <c r="C9" s="19">
        <f>2204637.53*1.05+84321.4*1.05</f>
        <v>2403406.877</v>
      </c>
      <c r="D9" s="19">
        <f>2083600*1.05+70*1.05+76928.26*1.05</f>
        <v>2268628.173</v>
      </c>
      <c r="E9" s="19">
        <f>2031470*1.05+68621*1.05</f>
        <v>2205095.55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8947835.673</v>
      </c>
      <c r="O9" s="22"/>
    </row>
    <row r="10" ht="15.75" customHeight="1">
      <c r="A10" s="26" t="s">
        <v>14</v>
      </c>
      <c r="B10" s="20">
        <v>0.0</v>
      </c>
      <c r="C10" s="20">
        <v>0.0</v>
      </c>
      <c r="D10" s="20">
        <v>0.0</v>
      </c>
      <c r="E10" s="20">
        <v>0.0</v>
      </c>
      <c r="F10" s="20"/>
      <c r="G10" s="20"/>
      <c r="H10" s="20"/>
      <c r="I10" s="20"/>
      <c r="J10" s="20"/>
      <c r="K10" s="20"/>
      <c r="L10" s="20"/>
      <c r="M10" s="20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98605.0035</v>
      </c>
      <c r="C11" s="19">
        <f t="shared" si="4"/>
        <v>114447.9465</v>
      </c>
      <c r="D11" s="19">
        <f t="shared" si="4"/>
        <v>108029.913</v>
      </c>
      <c r="E11" s="19">
        <f t="shared" si="4"/>
        <v>105004.55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426087.413</v>
      </c>
      <c r="O11" s="22"/>
    </row>
    <row r="12" ht="15.75" customHeight="1">
      <c r="A12" s="26" t="s">
        <v>16</v>
      </c>
      <c r="B12" s="20">
        <f>160729.41*1.18+47417.8*1.18+2434.86*1.18+28.196</f>
        <v>248515.0386</v>
      </c>
      <c r="C12" s="19">
        <f>197927.66*1.18+53792.41*1.18+3414.39*1.18+29.48</f>
        <v>301088.1428</v>
      </c>
      <c r="D12" s="19">
        <f>185158.76*1.18+72646.36*1.18+3484*1.18+74.48*1.18</f>
        <v>308409.048</v>
      </c>
      <c r="E12" s="19">
        <f>54695.54*1.18+161066.49*1.18+1835.85*1.18+35.02</f>
        <v>256800.5184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1114812.748</v>
      </c>
      <c r="O12" s="22"/>
    </row>
    <row r="13" ht="15.75" customHeight="1">
      <c r="A13" s="27" t="s">
        <v>17</v>
      </c>
      <c r="B13" s="28">
        <f t="shared" ref="B13:M13" si="5">B9+B10-B11-B12</f>
        <v>1723585.031</v>
      </c>
      <c r="C13" s="28">
        <f t="shared" si="5"/>
        <v>1987870.787</v>
      </c>
      <c r="D13" s="28">
        <f t="shared" si="5"/>
        <v>1852189.212</v>
      </c>
      <c r="E13" s="28">
        <f t="shared" si="5"/>
        <v>1843290.482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7406935.512</v>
      </c>
      <c r="O13" s="30">
        <f>N13/$N$7</f>
        <v>18.49245302</v>
      </c>
    </row>
    <row r="14" ht="15.75" customHeight="1">
      <c r="A14" s="26" t="s">
        <v>18</v>
      </c>
      <c r="B14" s="20">
        <f t="shared" ref="B14:M14" si="6">+B3+B4-B5-B7</f>
        <v>449625.03</v>
      </c>
      <c r="C14" s="20">
        <f t="shared" si="6"/>
        <v>542375.39</v>
      </c>
      <c r="D14" s="20">
        <f t="shared" si="6"/>
        <v>545855.28</v>
      </c>
      <c r="E14" s="20">
        <f t="shared" si="6"/>
        <v>516424</v>
      </c>
      <c r="F14" s="20">
        <f t="shared" si="6"/>
        <v>605387.96</v>
      </c>
      <c r="G14" s="31">
        <f t="shared" si="6"/>
        <v>464198.04</v>
      </c>
      <c r="H14" s="31">
        <f t="shared" si="6"/>
        <v>63923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3187788.7</v>
      </c>
      <c r="O14" s="32">
        <f t="shared" ref="O14:O29" si="8">N14/$N$13</f>
        <v>0.4303788922</v>
      </c>
    </row>
    <row r="15" ht="15.75" customHeight="1">
      <c r="A15" s="26" t="s">
        <v>19</v>
      </c>
      <c r="B15" s="20">
        <f>64840+2000</f>
        <v>66840</v>
      </c>
      <c r="C15" s="20">
        <f>76622</f>
        <v>76622</v>
      </c>
      <c r="D15" s="20">
        <v>70514.0</v>
      </c>
      <c r="E15" s="20">
        <f>75358</f>
        <v>75358</v>
      </c>
      <c r="F15" s="20"/>
      <c r="G15" s="19"/>
      <c r="H15" s="19"/>
      <c r="I15" s="20"/>
      <c r="J15" s="20"/>
      <c r="K15" s="19"/>
      <c r="L15" s="20"/>
      <c r="M15" s="20"/>
      <c r="N15" s="21">
        <f t="shared" si="7"/>
        <v>289334</v>
      </c>
      <c r="O15" s="32">
        <f t="shared" si="8"/>
        <v>0.03906257851</v>
      </c>
    </row>
    <row r="16" ht="15.75" customHeight="1">
      <c r="A16" s="26" t="s">
        <v>20</v>
      </c>
      <c r="B16" s="20">
        <f t="shared" ref="B16:C16" si="9">6018/3+300</f>
        <v>2306</v>
      </c>
      <c r="C16" s="20">
        <f t="shared" si="9"/>
        <v>2306</v>
      </c>
      <c r="D16" s="20">
        <f t="shared" ref="D16:G16" si="10">6018/3</f>
        <v>2006</v>
      </c>
      <c r="E16" s="20">
        <f t="shared" si="10"/>
        <v>2006</v>
      </c>
      <c r="F16" s="20">
        <f t="shared" si="10"/>
        <v>2006</v>
      </c>
      <c r="G16" s="20">
        <f t="shared" si="10"/>
        <v>2006</v>
      </c>
      <c r="H16" s="19"/>
      <c r="I16" s="19"/>
      <c r="J16" s="19"/>
      <c r="K16" s="19"/>
      <c r="L16" s="19"/>
      <c r="M16" s="19"/>
      <c r="N16" s="21">
        <f t="shared" si="7"/>
        <v>12636</v>
      </c>
      <c r="O16" s="32">
        <f t="shared" si="8"/>
        <v>0.00170596868</v>
      </c>
    </row>
    <row r="17" ht="15.75" customHeight="1">
      <c r="A17" s="26" t="s">
        <v>21</v>
      </c>
      <c r="B17" s="20">
        <v>70765.91</v>
      </c>
      <c r="C17" s="20">
        <v>86617.61</v>
      </c>
      <c r="D17" s="20">
        <v>93622.0</v>
      </c>
      <c r="E17" s="20">
        <v>99777.0</v>
      </c>
      <c r="F17" s="20"/>
      <c r="G17" s="20"/>
      <c r="H17" s="20"/>
      <c r="I17" s="20"/>
      <c r="J17" s="20"/>
      <c r="K17" s="20"/>
      <c r="L17" s="19"/>
      <c r="M17" s="19"/>
      <c r="N17" s="21">
        <f t="shared" si="7"/>
        <v>350782.52</v>
      </c>
      <c r="O17" s="32">
        <f t="shared" si="8"/>
        <v>0.04735865722</v>
      </c>
    </row>
    <row r="18" ht="15.75" customHeight="1">
      <c r="A18" s="26" t="s">
        <v>22</v>
      </c>
      <c r="B18" s="20">
        <f t="shared" ref="B18:E18" si="11">393530</f>
        <v>393530</v>
      </c>
      <c r="C18" s="20">
        <f t="shared" si="11"/>
        <v>393530</v>
      </c>
      <c r="D18" s="20">
        <f t="shared" si="11"/>
        <v>393530</v>
      </c>
      <c r="E18" s="20">
        <f t="shared" si="11"/>
        <v>393530</v>
      </c>
      <c r="F18" s="20"/>
      <c r="G18" s="20"/>
      <c r="H18" s="20"/>
      <c r="I18" s="20"/>
      <c r="J18" s="19"/>
      <c r="K18" s="19"/>
      <c r="L18" s="19"/>
      <c r="M18" s="19"/>
      <c r="N18" s="21">
        <f t="shared" si="7"/>
        <v>1574120</v>
      </c>
      <c r="O18" s="32">
        <f t="shared" si="8"/>
        <v>0.2125197388</v>
      </c>
    </row>
    <row r="19" ht="15.75" customHeight="1">
      <c r="A19" s="34" t="s">
        <v>23</v>
      </c>
      <c r="B19" s="20">
        <f>1016</f>
        <v>1016</v>
      </c>
      <c r="C19" s="20">
        <f t="shared" ref="C19:M19" si="12">26973.31/2/12</f>
        <v>1123.887917</v>
      </c>
      <c r="D19" s="20">
        <f t="shared" si="12"/>
        <v>1123.887917</v>
      </c>
      <c r="E19" s="20">
        <f t="shared" si="12"/>
        <v>1123.887917</v>
      </c>
      <c r="F19" s="20">
        <f t="shared" si="12"/>
        <v>1123.887917</v>
      </c>
      <c r="G19" s="20">
        <f t="shared" si="12"/>
        <v>1123.887917</v>
      </c>
      <c r="H19" s="20">
        <f t="shared" si="12"/>
        <v>1123.887917</v>
      </c>
      <c r="I19" s="20">
        <f t="shared" si="12"/>
        <v>1123.887917</v>
      </c>
      <c r="J19" s="20">
        <f t="shared" si="12"/>
        <v>1123.887917</v>
      </c>
      <c r="K19" s="20">
        <f t="shared" si="12"/>
        <v>1123.887917</v>
      </c>
      <c r="L19" s="20">
        <f t="shared" si="12"/>
        <v>1123.887917</v>
      </c>
      <c r="M19" s="20">
        <f t="shared" si="12"/>
        <v>1123.887917</v>
      </c>
      <c r="N19" s="21">
        <f t="shared" si="7"/>
        <v>13378.76708</v>
      </c>
      <c r="O19" s="32">
        <f t="shared" si="8"/>
        <v>0.001806248625</v>
      </c>
    </row>
    <row r="20" ht="15.75" customHeight="1">
      <c r="A20" s="26" t="s">
        <v>24</v>
      </c>
      <c r="B20" s="20">
        <v>6018.0</v>
      </c>
      <c r="C20" s="20">
        <v>6018.0</v>
      </c>
      <c r="D20" s="20">
        <v>6018.0</v>
      </c>
      <c r="E20" s="20">
        <v>6018.0</v>
      </c>
      <c r="F20" s="20"/>
      <c r="G20" s="20"/>
      <c r="H20" s="20"/>
      <c r="I20" s="20"/>
      <c r="J20" s="20"/>
      <c r="K20" s="20"/>
      <c r="L20" s="20"/>
      <c r="M20" s="20"/>
      <c r="N20" s="21">
        <f t="shared" si="7"/>
        <v>24072</v>
      </c>
      <c r="O20" s="32">
        <f t="shared" si="8"/>
        <v>0.003249927039</v>
      </c>
    </row>
    <row r="21" ht="15.75" customHeight="1">
      <c r="A21" s="26" t="s">
        <v>25</v>
      </c>
      <c r="B21" s="20">
        <f>403490</f>
        <v>403490</v>
      </c>
      <c r="C21" s="20">
        <f>414264.44</f>
        <v>414264.44</v>
      </c>
      <c r="D21" s="20">
        <f>405615.36</f>
        <v>405615.36</v>
      </c>
      <c r="E21" s="20">
        <f>405467.1</f>
        <v>405467.1</v>
      </c>
      <c r="F21" s="20"/>
      <c r="G21" s="19"/>
      <c r="H21" s="19"/>
      <c r="I21" s="19"/>
      <c r="J21" s="19"/>
      <c r="K21" s="19"/>
      <c r="L21" s="19"/>
      <c r="M21" s="19"/>
      <c r="N21" s="21">
        <f t="shared" si="7"/>
        <v>1628836.9</v>
      </c>
      <c r="O21" s="32">
        <f t="shared" si="8"/>
        <v>0.2199069909</v>
      </c>
    </row>
    <row r="22" ht="15.75" customHeight="1">
      <c r="A22" s="14" t="s">
        <v>26</v>
      </c>
      <c r="B22" s="20">
        <f t="shared" ref="B22:D22" si="13">4720+2950</f>
        <v>7670</v>
      </c>
      <c r="C22" s="20">
        <f t="shared" si="13"/>
        <v>7670</v>
      </c>
      <c r="D22" s="20">
        <f t="shared" si="13"/>
        <v>7670</v>
      </c>
      <c r="E22" s="20">
        <f>2950+4720</f>
        <v>7670</v>
      </c>
      <c r="F22" s="20"/>
      <c r="G22" s="19"/>
      <c r="H22" s="20"/>
      <c r="I22" s="19"/>
      <c r="J22" s="19"/>
      <c r="K22" s="19"/>
      <c r="L22" s="19"/>
      <c r="M22" s="19"/>
      <c r="N22" s="21">
        <f t="shared" si="7"/>
        <v>30680</v>
      </c>
      <c r="O22" s="32">
        <f t="shared" si="8"/>
        <v>0.004142063874</v>
      </c>
    </row>
    <row r="23" ht="15.75" customHeight="1">
      <c r="A23" s="39" t="s">
        <v>27</v>
      </c>
      <c r="B23" s="20">
        <f t="shared" ref="B23:G23" si="14">2549/3</f>
        <v>849.6666667</v>
      </c>
      <c r="C23" s="20">
        <f t="shared" si="14"/>
        <v>849.6666667</v>
      </c>
      <c r="D23" s="20">
        <f t="shared" si="14"/>
        <v>849.6666667</v>
      </c>
      <c r="E23" s="20">
        <f t="shared" si="14"/>
        <v>849.6666667</v>
      </c>
      <c r="F23" s="20">
        <f t="shared" si="14"/>
        <v>849.6666667</v>
      </c>
      <c r="G23" s="20">
        <f t="shared" si="14"/>
        <v>849.6666667</v>
      </c>
      <c r="H23" s="19"/>
      <c r="I23" s="19"/>
      <c r="J23" s="19"/>
      <c r="K23" s="19"/>
      <c r="L23" s="19"/>
      <c r="M23" s="19"/>
      <c r="N23" s="21">
        <f t="shared" si="7"/>
        <v>5098</v>
      </c>
      <c r="O23" s="32">
        <f t="shared" si="8"/>
        <v>0.0006882738471</v>
      </c>
    </row>
    <row r="24" ht="15.75" customHeight="1">
      <c r="A24" s="26" t="s">
        <v>28</v>
      </c>
      <c r="B24" s="20">
        <v>0.0</v>
      </c>
      <c r="C24" s="20">
        <v>0.0</v>
      </c>
      <c r="D24" s="20">
        <v>21375.0</v>
      </c>
      <c r="E24" s="20">
        <f>'Misc Exp'!B43</f>
        <v>2950</v>
      </c>
      <c r="F24" s="20"/>
      <c r="G24" s="20"/>
      <c r="H24" s="20"/>
      <c r="I24" s="20"/>
      <c r="J24" s="20"/>
      <c r="K24" s="20"/>
      <c r="L24" s="20"/>
      <c r="M24" s="20"/>
      <c r="N24" s="21">
        <f t="shared" si="7"/>
        <v>24325</v>
      </c>
      <c r="O24" s="32">
        <f t="shared" si="8"/>
        <v>0.003284084215</v>
      </c>
    </row>
    <row r="25" ht="15.75" customHeight="1">
      <c r="A25" s="26" t="s">
        <v>29</v>
      </c>
      <c r="B25" s="20">
        <v>7509.22</v>
      </c>
      <c r="C25" s="20">
        <f>14490.88</f>
        <v>14490.88</v>
      </c>
      <c r="D25" s="20">
        <v>15968.0</v>
      </c>
      <c r="E25" s="20">
        <f>'Misc Exp'!B37</f>
        <v>20941.92</v>
      </c>
      <c r="F25" s="20"/>
      <c r="G25" s="20"/>
      <c r="H25" s="20"/>
      <c r="I25" s="20"/>
      <c r="J25" s="20"/>
      <c r="K25" s="19"/>
      <c r="L25" s="20"/>
      <c r="M25" s="19"/>
      <c r="N25" s="21">
        <f t="shared" si="7"/>
        <v>58910.02</v>
      </c>
      <c r="O25" s="32">
        <f t="shared" si="8"/>
        <v>0.007953359376</v>
      </c>
    </row>
    <row r="26" ht="15.75" customHeight="1">
      <c r="A26" s="26" t="s">
        <v>30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1">
        <f t="shared" si="7"/>
        <v>0</v>
      </c>
      <c r="O26" s="32">
        <f t="shared" si="8"/>
        <v>0</v>
      </c>
    </row>
    <row r="27" ht="15.75" customHeight="1">
      <c r="A27" s="26" t="s">
        <v>31</v>
      </c>
      <c r="B27" s="20">
        <f>HO!D29</f>
        <v>262049.3301</v>
      </c>
      <c r="C27" s="20">
        <f>HO!H29</f>
        <v>288706.9857</v>
      </c>
      <c r="D27" s="20">
        <f>HO!L29</f>
        <v>264156.3289</v>
      </c>
      <c r="E27" s="20">
        <f>HO!P29</f>
        <v>264269.2758</v>
      </c>
      <c r="F27" s="20" t="str">
        <f>HO!D45</f>
        <v>#DIV/0!</v>
      </c>
      <c r="G27" s="20" t="str">
        <f>HO!H45</f>
        <v>#DIV/0!</v>
      </c>
      <c r="H27" s="20" t="str">
        <f>HO!L45</f>
        <v>#DIV/0!</v>
      </c>
      <c r="I27" s="20" t="str">
        <f>HO!P45</f>
        <v>#DIV/0!</v>
      </c>
      <c r="J27" s="19" t="str">
        <f>HO!D60</f>
        <v>#DIV/0!</v>
      </c>
      <c r="K27" s="19" t="str">
        <f>HO!H60</f>
        <v>#DIV/0!</v>
      </c>
      <c r="L27" s="19" t="str">
        <f>HO!L60</f>
        <v>#DIV/0!</v>
      </c>
      <c r="M27" s="19" t="str">
        <f>HO!P60</f>
        <v>#DIV/0!</v>
      </c>
      <c r="N27" s="21" t="str">
        <f t="shared" si="7"/>
        <v>#DIV/0!</v>
      </c>
      <c r="O27" s="32" t="str">
        <f t="shared" si="8"/>
        <v>#DIV/0!</v>
      </c>
    </row>
    <row r="28" ht="15.75" customHeight="1">
      <c r="A28" s="41" t="s">
        <v>32</v>
      </c>
      <c r="B28" s="42">
        <f t="shared" ref="B28:M28" si="15">+SUM(B14:B27)</f>
        <v>1671669.157</v>
      </c>
      <c r="C28" s="42">
        <f t="shared" si="15"/>
        <v>1834574.86</v>
      </c>
      <c r="D28" s="42">
        <f t="shared" si="15"/>
        <v>1828303.523</v>
      </c>
      <c r="E28" s="42">
        <f t="shared" si="15"/>
        <v>1796384.85</v>
      </c>
      <c r="F28" s="43" t="str">
        <f t="shared" si="15"/>
        <v>#DIV/0!</v>
      </c>
      <c r="G28" s="42" t="str">
        <f t="shared" si="15"/>
        <v>#DIV/0!</v>
      </c>
      <c r="H28" s="42" t="str">
        <f t="shared" si="15"/>
        <v>#DIV/0!</v>
      </c>
      <c r="I28" s="42" t="str">
        <f t="shared" si="15"/>
        <v>#DIV/0!</v>
      </c>
      <c r="J28" s="42" t="str">
        <f t="shared" si="15"/>
        <v>#DIV/0!</v>
      </c>
      <c r="K28" s="42" t="str">
        <f t="shared" si="15"/>
        <v>#DIV/0!</v>
      </c>
      <c r="L28" s="42" t="str">
        <f t="shared" si="15"/>
        <v>#DIV/0!</v>
      </c>
      <c r="M28" s="42" t="str">
        <f t="shared" si="15"/>
        <v>#DIV/0!</v>
      </c>
      <c r="N28" s="42" t="str">
        <f t="shared" si="7"/>
        <v>#DIV/0!</v>
      </c>
      <c r="O28" s="44" t="str">
        <f t="shared" si="8"/>
        <v>#DIV/0!</v>
      </c>
    </row>
    <row r="29" ht="15.75" customHeight="1">
      <c r="A29" s="45" t="s">
        <v>33</v>
      </c>
      <c r="B29" s="46">
        <f t="shared" ref="B29:M29" si="16">B13-B28</f>
        <v>51915.87461</v>
      </c>
      <c r="C29" s="46">
        <f t="shared" si="16"/>
        <v>153295.9269</v>
      </c>
      <c r="D29" s="46">
        <f t="shared" si="16"/>
        <v>23885.68854</v>
      </c>
      <c r="E29" s="46">
        <f t="shared" si="16"/>
        <v>46905.6312</v>
      </c>
      <c r="F29" s="46" t="str">
        <f t="shared" si="16"/>
        <v>#DIV/0!</v>
      </c>
      <c r="G29" s="46" t="str">
        <f t="shared" si="16"/>
        <v>#DIV/0!</v>
      </c>
      <c r="H29" s="46" t="str">
        <f t="shared" si="16"/>
        <v>#DIV/0!</v>
      </c>
      <c r="I29" s="46" t="str">
        <f t="shared" si="16"/>
        <v>#DIV/0!</v>
      </c>
      <c r="J29" s="46" t="str">
        <f t="shared" si="16"/>
        <v>#DIV/0!</v>
      </c>
      <c r="K29" s="46" t="str">
        <f t="shared" si="16"/>
        <v>#DIV/0!</v>
      </c>
      <c r="L29" s="46" t="str">
        <f t="shared" si="16"/>
        <v>#DIV/0!</v>
      </c>
      <c r="M29" s="46" t="str">
        <f t="shared" si="16"/>
        <v>#DIV/0!</v>
      </c>
      <c r="N29" s="46" t="str">
        <f t="shared" si="7"/>
        <v>#DIV/0!</v>
      </c>
      <c r="O29" s="47" t="str">
        <f t="shared" si="8"/>
        <v>#DIV/0!</v>
      </c>
    </row>
    <row r="30" ht="15.75" customHeight="1">
      <c r="A30" s="48" t="s">
        <v>34</v>
      </c>
      <c r="B30" s="49">
        <f t="shared" ref="B30:M30" si="17">(B14/B13)</f>
        <v>0.2608661724</v>
      </c>
      <c r="C30" s="49">
        <f t="shared" si="17"/>
        <v>0.2728423766</v>
      </c>
      <c r="D30" s="49">
        <f t="shared" si="17"/>
        <v>0.2947081629</v>
      </c>
      <c r="E30" s="49">
        <f t="shared" si="17"/>
        <v>0.2801641983</v>
      </c>
      <c r="F30" s="50" t="str">
        <f t="shared" si="17"/>
        <v>#DIV/0!</v>
      </c>
      <c r="G30" s="49" t="str">
        <f t="shared" si="17"/>
        <v>#DIV/0!</v>
      </c>
      <c r="H30" s="49" t="str">
        <f t="shared" si="17"/>
        <v>#DIV/0!</v>
      </c>
      <c r="I30" s="49" t="str">
        <f t="shared" si="17"/>
        <v>#DIV/0!</v>
      </c>
      <c r="J30" s="49" t="str">
        <f t="shared" si="17"/>
        <v>#DIV/0!</v>
      </c>
      <c r="K30" s="49" t="str">
        <f t="shared" si="17"/>
        <v>#DIV/0!</v>
      </c>
      <c r="L30" s="49" t="str">
        <f t="shared" si="17"/>
        <v>#DIV/0!</v>
      </c>
      <c r="M30" s="49" t="str">
        <f t="shared" si="17"/>
        <v>#DIV/0!</v>
      </c>
      <c r="N30" s="51"/>
      <c r="O30" s="51"/>
    </row>
    <row r="31" ht="15.75" customHeight="1"/>
    <row r="32" ht="15.75" customHeight="1">
      <c r="B32" s="52">
        <f t="shared" ref="B32:M32" si="18">B29+B27</f>
        <v>313965.2047</v>
      </c>
      <c r="C32" s="52">
        <f t="shared" si="18"/>
        <v>442002.9126</v>
      </c>
      <c r="D32" s="52">
        <f t="shared" si="18"/>
        <v>288042.0174</v>
      </c>
      <c r="E32" s="52">
        <f t="shared" si="18"/>
        <v>311174.907</v>
      </c>
      <c r="F32" s="52" t="str">
        <f t="shared" si="18"/>
        <v>#DIV/0!</v>
      </c>
      <c r="G32" s="52" t="str">
        <f t="shared" si="18"/>
        <v>#DIV/0!</v>
      </c>
      <c r="H32" s="52" t="str">
        <f t="shared" si="18"/>
        <v>#DIV/0!</v>
      </c>
      <c r="I32" s="52" t="str">
        <f t="shared" si="18"/>
        <v>#DIV/0!</v>
      </c>
      <c r="J32" s="52" t="str">
        <f t="shared" si="18"/>
        <v>#DIV/0!</v>
      </c>
      <c r="K32" s="52" t="str">
        <f t="shared" si="18"/>
        <v>#DIV/0!</v>
      </c>
      <c r="L32" s="52" t="str">
        <f t="shared" si="18"/>
        <v>#DIV/0!</v>
      </c>
      <c r="M32" s="52" t="str">
        <f t="shared" si="18"/>
        <v>#DIV/0!</v>
      </c>
    </row>
    <row r="33" ht="15.75" customHeight="1">
      <c r="B33" s="53">
        <f t="shared" ref="B33:M33" si="19">B32/B13</f>
        <v>0.1821582336</v>
      </c>
      <c r="C33" s="53">
        <f t="shared" si="19"/>
        <v>0.2223499211</v>
      </c>
      <c r="D33" s="53">
        <f t="shared" si="19"/>
        <v>0.1555143587</v>
      </c>
      <c r="E33" s="53">
        <f t="shared" si="19"/>
        <v>0.1688149047</v>
      </c>
      <c r="F33" s="53" t="str">
        <f t="shared" si="19"/>
        <v>#DIV/0!</v>
      </c>
      <c r="G33" s="53" t="str">
        <f t="shared" si="19"/>
        <v>#DIV/0!</v>
      </c>
      <c r="H33" s="53" t="str">
        <f t="shared" si="19"/>
        <v>#DIV/0!</v>
      </c>
      <c r="I33" s="53" t="str">
        <f t="shared" si="19"/>
        <v>#DIV/0!</v>
      </c>
      <c r="J33" s="53" t="str">
        <f t="shared" si="19"/>
        <v>#DIV/0!</v>
      </c>
      <c r="K33" s="53" t="str">
        <f t="shared" si="19"/>
        <v>#DIV/0!</v>
      </c>
      <c r="L33" s="53" t="str">
        <f t="shared" si="19"/>
        <v>#DIV/0!</v>
      </c>
      <c r="M33" s="53" t="str">
        <f t="shared" si="19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2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6">
        <v>103840.0</v>
      </c>
      <c r="C3" s="18">
        <f t="shared" ref="C3:M3" si="1">B7</f>
        <v>93450</v>
      </c>
      <c r="D3" s="19">
        <f t="shared" si="1"/>
        <v>74574.48</v>
      </c>
      <c r="E3" s="19">
        <f t="shared" si="1"/>
        <v>81819</v>
      </c>
      <c r="F3" s="19">
        <f t="shared" si="1"/>
        <v>59490</v>
      </c>
      <c r="G3" s="19">
        <f t="shared" si="1"/>
        <v>55544</v>
      </c>
      <c r="H3" s="19">
        <f t="shared" si="1"/>
        <v>58058</v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3">
        <v>276138.0</v>
      </c>
      <c r="C4" s="23">
        <v>277682.85</v>
      </c>
      <c r="D4" s="20">
        <v>278086.0</v>
      </c>
      <c r="E4" s="20">
        <v>281157.0</v>
      </c>
      <c r="F4" s="20">
        <v>287760.71</v>
      </c>
      <c r="G4" s="20">
        <v>276762.4</v>
      </c>
      <c r="H4" s="20"/>
      <c r="I4" s="20"/>
      <c r="J4" s="20"/>
      <c r="K4" s="20"/>
      <c r="L4" s="20"/>
      <c r="M4" s="20"/>
      <c r="N4" s="21">
        <f>sum(B4:M4)</f>
        <v>1677586.96</v>
      </c>
      <c r="O4" s="22"/>
    </row>
    <row r="5" ht="15.75" customHeight="1">
      <c r="A5" s="14" t="s">
        <v>10</v>
      </c>
      <c r="B5" s="25">
        <v>0.0</v>
      </c>
      <c r="C5" s="25">
        <v>0.0</v>
      </c>
      <c r="D5" s="20">
        <v>0.0</v>
      </c>
      <c r="E5" s="20">
        <v>0.0</v>
      </c>
      <c r="F5" s="20">
        <v>0.0</v>
      </c>
      <c r="G5" s="20">
        <v>0.0</v>
      </c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3">
        <v>29115.0</v>
      </c>
      <c r="C6" s="23">
        <v>35849.65</v>
      </c>
      <c r="D6" s="20">
        <v>20052.0</v>
      </c>
      <c r="E6" s="20">
        <v>28593.0</v>
      </c>
      <c r="F6" s="20">
        <v>26455.0</v>
      </c>
      <c r="G6" s="20">
        <v>25345.0</v>
      </c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3">
        <v>93450.0</v>
      </c>
      <c r="C7" s="23">
        <f>74574.48</f>
        <v>74574.48</v>
      </c>
      <c r="D7" s="20">
        <v>81819.0</v>
      </c>
      <c r="E7" s="20">
        <v>59490.0</v>
      </c>
      <c r="F7" s="20">
        <v>55544.0</v>
      </c>
      <c r="G7" s="20">
        <v>58058.0</v>
      </c>
      <c r="H7" s="20"/>
      <c r="I7" s="20"/>
      <c r="J7" s="20"/>
      <c r="K7" s="20"/>
      <c r="L7" s="20"/>
      <c r="M7" s="20"/>
      <c r="N7" s="21">
        <f>sum(B7:M7)</f>
        <v>422935.48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1060925.74*1.05+41547.61*1.05</f>
        <v>1157597.018</v>
      </c>
      <c r="C9" s="19">
        <f>1170213.72*1.05+47396.07*1.05</f>
        <v>1278490.28</v>
      </c>
      <c r="D9" s="19">
        <f>954766.85*1.05+36910.57*1.05</f>
        <v>1041261.291</v>
      </c>
      <c r="E9" s="19">
        <f>1008779*1.05+34966*1.05</f>
        <v>1095932.25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4573280.838</v>
      </c>
      <c r="O9" s="22"/>
    </row>
    <row r="10" ht="15.75" customHeight="1">
      <c r="A10" s="26" t="s">
        <v>14</v>
      </c>
      <c r="B10" s="20">
        <v>0.0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55123.6675</v>
      </c>
      <c r="C11" s="19">
        <f t="shared" si="4"/>
        <v>60880.4895</v>
      </c>
      <c r="D11" s="19">
        <f t="shared" si="4"/>
        <v>49583.871</v>
      </c>
      <c r="E11" s="19">
        <f t="shared" si="4"/>
        <v>52187.25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217775.278</v>
      </c>
      <c r="O11" s="22"/>
    </row>
    <row r="12" ht="15.75" customHeight="1">
      <c r="A12" s="26" t="s">
        <v>16</v>
      </c>
      <c r="B12" s="19">
        <f>96459.46*1.18+28973.35*1.18+4709.26*1.18+1438.19*1.18+89.39</f>
        <v>155354.0968</v>
      </c>
      <c r="C12" s="19">
        <f>110291.55*1.18+34303.75*1.18+900.79*1.18+99.1</f>
        <v>171784.4862</v>
      </c>
      <c r="D12" s="19">
        <f>80955.57*1.18+41528.7*1.18+1288.96*1.18+149.94*1.18</f>
        <v>146229.3406</v>
      </c>
      <c r="E12" s="19">
        <f>30386.73*1.18+81836.12*1.18+1305.9*1.18+51.25</f>
        <v>134015.175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607383.0986</v>
      </c>
      <c r="O12" s="22"/>
    </row>
    <row r="13" ht="15.75" customHeight="1">
      <c r="A13" s="27" t="s">
        <v>17</v>
      </c>
      <c r="B13" s="28">
        <f t="shared" ref="B13:M13" si="5">B9+B10-B11-B12</f>
        <v>947119.2532</v>
      </c>
      <c r="C13" s="28">
        <f t="shared" si="5"/>
        <v>1045825.304</v>
      </c>
      <c r="D13" s="28">
        <f t="shared" si="5"/>
        <v>845448.0794</v>
      </c>
      <c r="E13" s="28">
        <f t="shared" si="5"/>
        <v>909729.825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3748122.461</v>
      </c>
      <c r="O13" s="30">
        <f t="shared" ref="O13:O18" si="8">N13/$N$7</f>
        <v>8.862161343</v>
      </c>
    </row>
    <row r="14" ht="15.75" customHeight="1">
      <c r="A14" s="26" t="s">
        <v>18</v>
      </c>
      <c r="B14" s="31">
        <f t="shared" ref="B14:M14" si="6">+B3+B4-B5-B7</f>
        <v>286528</v>
      </c>
      <c r="C14" s="31">
        <f t="shared" si="6"/>
        <v>296558.37</v>
      </c>
      <c r="D14" s="31">
        <f t="shared" si="6"/>
        <v>270841.48</v>
      </c>
      <c r="E14" s="31">
        <f t="shared" si="6"/>
        <v>303486</v>
      </c>
      <c r="F14" s="31">
        <f t="shared" si="6"/>
        <v>291706.71</v>
      </c>
      <c r="G14" s="31">
        <f t="shared" si="6"/>
        <v>274248.4</v>
      </c>
      <c r="H14" s="31">
        <f t="shared" si="6"/>
        <v>58058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1781426.96</v>
      </c>
      <c r="O14" s="32">
        <f t="shared" si="8"/>
        <v>4.212053716</v>
      </c>
    </row>
    <row r="15" ht="15.75" customHeight="1">
      <c r="A15" s="26" t="s">
        <v>19</v>
      </c>
      <c r="B15" s="20">
        <f>40056</f>
        <v>40056</v>
      </c>
      <c r="C15" s="20">
        <v>45395.0</v>
      </c>
      <c r="D15" s="20">
        <v>49107.0</v>
      </c>
      <c r="E15" s="20">
        <v>45163.0</v>
      </c>
      <c r="F15" s="19"/>
      <c r="G15" s="20"/>
      <c r="H15" s="20"/>
      <c r="I15" s="20"/>
      <c r="J15" s="20"/>
      <c r="K15" s="19"/>
      <c r="L15" s="19"/>
      <c r="M15" s="20"/>
      <c r="N15" s="21">
        <f t="shared" si="7"/>
        <v>179721</v>
      </c>
      <c r="O15" s="32">
        <f t="shared" si="8"/>
        <v>0.4249371559</v>
      </c>
    </row>
    <row r="16" ht="15.75" customHeight="1">
      <c r="A16" s="26" t="s">
        <v>20</v>
      </c>
      <c r="B16" s="20">
        <f t="shared" ref="B16:E16" si="9">1060+489</f>
        <v>1549</v>
      </c>
      <c r="C16" s="20">
        <f t="shared" si="9"/>
        <v>1549</v>
      </c>
      <c r="D16" s="20">
        <f t="shared" si="9"/>
        <v>1549</v>
      </c>
      <c r="E16" s="20">
        <f t="shared" si="9"/>
        <v>1549</v>
      </c>
      <c r="F16" s="19"/>
      <c r="G16" s="20"/>
      <c r="H16" s="19"/>
      <c r="I16" s="19"/>
      <c r="J16" s="20"/>
      <c r="K16" s="19"/>
      <c r="L16" s="20"/>
      <c r="M16" s="19"/>
      <c r="N16" s="21">
        <f t="shared" si="7"/>
        <v>6196</v>
      </c>
      <c r="O16" s="32">
        <f t="shared" si="8"/>
        <v>0.01464998869</v>
      </c>
    </row>
    <row r="17" ht="15.75" customHeight="1">
      <c r="A17" s="26" t="s">
        <v>21</v>
      </c>
      <c r="B17" s="20">
        <v>0.0</v>
      </c>
      <c r="C17" s="20">
        <v>0.0</v>
      </c>
      <c r="D17" s="20">
        <v>0.0</v>
      </c>
      <c r="E17" s="20">
        <v>0.0</v>
      </c>
      <c r="F17" s="20"/>
      <c r="G17" s="20"/>
      <c r="H17" s="20"/>
      <c r="I17" s="20"/>
      <c r="J17" s="20"/>
      <c r="K17" s="20"/>
      <c r="L17" s="20"/>
      <c r="M17" s="20"/>
      <c r="N17" s="21">
        <f t="shared" si="7"/>
        <v>0</v>
      </c>
      <c r="O17" s="32">
        <f t="shared" si="8"/>
        <v>0</v>
      </c>
    </row>
    <row r="18" ht="15.75" customHeight="1">
      <c r="A18" s="26" t="s">
        <v>22</v>
      </c>
      <c r="B18" s="20">
        <f>166416.25</f>
        <v>166416.25</v>
      </c>
      <c r="C18" s="20">
        <f>183645</f>
        <v>183645</v>
      </c>
      <c r="D18" s="20">
        <v>149486.0</v>
      </c>
      <c r="E18" s="33">
        <v>150692.0</v>
      </c>
      <c r="F18" s="20"/>
      <c r="G18" s="20"/>
      <c r="H18" s="20"/>
      <c r="I18" s="20"/>
      <c r="J18" s="19"/>
      <c r="K18" s="19"/>
      <c r="L18" s="19"/>
      <c r="M18" s="19"/>
      <c r="N18" s="21">
        <f t="shared" si="7"/>
        <v>650239.25</v>
      </c>
      <c r="O18" s="32">
        <f t="shared" si="8"/>
        <v>1.537443134</v>
      </c>
    </row>
    <row r="19" ht="15.75" customHeight="1">
      <c r="A19" s="34" t="s">
        <v>23</v>
      </c>
      <c r="B19" s="20">
        <v>809.0</v>
      </c>
      <c r="C19" s="20">
        <f t="shared" ref="C19:M19" si="10">26973/2/12</f>
        <v>1123.875</v>
      </c>
      <c r="D19" s="20">
        <f t="shared" si="10"/>
        <v>1123.875</v>
      </c>
      <c r="E19" s="20">
        <f t="shared" si="10"/>
        <v>1123.875</v>
      </c>
      <c r="F19" s="20">
        <f t="shared" si="10"/>
        <v>1123.875</v>
      </c>
      <c r="G19" s="20">
        <f t="shared" si="10"/>
        <v>1123.875</v>
      </c>
      <c r="H19" s="20">
        <f t="shared" si="10"/>
        <v>1123.875</v>
      </c>
      <c r="I19" s="20">
        <f t="shared" si="10"/>
        <v>1123.875</v>
      </c>
      <c r="J19" s="20">
        <f t="shared" si="10"/>
        <v>1123.875</v>
      </c>
      <c r="K19" s="20">
        <f t="shared" si="10"/>
        <v>1123.875</v>
      </c>
      <c r="L19" s="20">
        <f t="shared" si="10"/>
        <v>1123.875</v>
      </c>
      <c r="M19" s="20">
        <f t="shared" si="10"/>
        <v>1123.875</v>
      </c>
      <c r="N19" s="21">
        <f t="shared" si="7"/>
        <v>13171.625</v>
      </c>
      <c r="O19" s="32"/>
    </row>
    <row r="20" ht="15.75" customHeight="1">
      <c r="A20" s="26" t="s">
        <v>24</v>
      </c>
      <c r="B20" s="20">
        <v>5767.0</v>
      </c>
      <c r="C20" s="20">
        <v>5767.0</v>
      </c>
      <c r="D20" s="20">
        <v>5767.0</v>
      </c>
      <c r="E20" s="20">
        <v>5767.0</v>
      </c>
      <c r="F20" s="20"/>
      <c r="G20" s="20"/>
      <c r="H20" s="20"/>
      <c r="I20" s="20"/>
      <c r="J20" s="20"/>
      <c r="K20" s="20"/>
      <c r="L20" s="19"/>
      <c r="M20" s="19"/>
      <c r="N20" s="21">
        <f t="shared" si="7"/>
        <v>23068</v>
      </c>
      <c r="O20" s="32">
        <f t="shared" ref="O20:O29" si="11">N20/$N$7</f>
        <v>0.05454259832</v>
      </c>
    </row>
    <row r="21" ht="15.75" customHeight="1">
      <c r="A21" s="26" t="s">
        <v>25</v>
      </c>
      <c r="B21" s="19">
        <f>232681+8000</f>
        <v>240681</v>
      </c>
      <c r="C21" s="19">
        <f>8000+2000+238491.56</f>
        <v>248491.56</v>
      </c>
      <c r="D21" s="19">
        <f>10000+232247.56</f>
        <v>242247.56</v>
      </c>
      <c r="E21" s="19">
        <f>240401.22+10000</f>
        <v>250401.22</v>
      </c>
      <c r="F21" s="19"/>
      <c r="G21" s="20"/>
      <c r="H21" s="20"/>
      <c r="I21" s="19"/>
      <c r="J21" s="19"/>
      <c r="K21" s="19"/>
      <c r="L21" s="19"/>
      <c r="M21" s="19"/>
      <c r="N21" s="21">
        <f t="shared" si="7"/>
        <v>981821.34</v>
      </c>
      <c r="O21" s="32">
        <f t="shared" si="11"/>
        <v>2.321444727</v>
      </c>
    </row>
    <row r="22" ht="15.75" customHeight="1">
      <c r="A22" s="14" t="s">
        <v>26</v>
      </c>
      <c r="B22" s="19">
        <f t="shared" ref="B22:D22" si="12">4720+2950</f>
        <v>7670</v>
      </c>
      <c r="C22" s="19">
        <f t="shared" si="12"/>
        <v>7670</v>
      </c>
      <c r="D22" s="19">
        <f t="shared" si="12"/>
        <v>7670</v>
      </c>
      <c r="E22" s="19">
        <f>2950+4720</f>
        <v>7670</v>
      </c>
      <c r="F22" s="19"/>
      <c r="G22" s="19"/>
      <c r="H22" s="20"/>
      <c r="I22" s="19"/>
      <c r="J22" s="19"/>
      <c r="K22" s="19"/>
      <c r="L22" s="19"/>
      <c r="M22" s="19"/>
      <c r="N22" s="21">
        <f t="shared" si="7"/>
        <v>30680</v>
      </c>
      <c r="O22" s="32">
        <f t="shared" si="11"/>
        <v>0.07254061541</v>
      </c>
    </row>
    <row r="23" ht="15.75" customHeight="1">
      <c r="A23" s="39" t="s">
        <v>27</v>
      </c>
      <c r="B23" s="19">
        <f t="shared" ref="B23:G23" si="13">2549/3</f>
        <v>849.6666667</v>
      </c>
      <c r="C23" s="19">
        <f t="shared" si="13"/>
        <v>849.6666667</v>
      </c>
      <c r="D23" s="19">
        <f t="shared" si="13"/>
        <v>849.6666667</v>
      </c>
      <c r="E23" s="19">
        <f t="shared" si="13"/>
        <v>849.6666667</v>
      </c>
      <c r="F23" s="19">
        <f t="shared" si="13"/>
        <v>849.6666667</v>
      </c>
      <c r="G23" s="19">
        <f t="shared" si="13"/>
        <v>849.6666667</v>
      </c>
      <c r="H23" s="19"/>
      <c r="I23" s="19"/>
      <c r="J23" s="19"/>
      <c r="K23" s="19"/>
      <c r="L23" s="19"/>
      <c r="M23" s="19"/>
      <c r="N23" s="21">
        <f t="shared" si="7"/>
        <v>5098</v>
      </c>
      <c r="O23" s="32">
        <f t="shared" si="11"/>
        <v>0.01205384802</v>
      </c>
    </row>
    <row r="24" ht="15.75" customHeight="1">
      <c r="A24" s="26" t="s">
        <v>28</v>
      </c>
      <c r="B24" s="35">
        <v>6608.0</v>
      </c>
      <c r="C24" s="35">
        <v>0.0</v>
      </c>
      <c r="D24" s="35">
        <v>0.0</v>
      </c>
      <c r="E24" s="35">
        <f>'Misc Exp'!C43</f>
        <v>8056</v>
      </c>
      <c r="F24" s="20"/>
      <c r="G24" s="20"/>
      <c r="H24" s="20"/>
      <c r="I24" s="20"/>
      <c r="J24" s="20"/>
      <c r="K24" s="20"/>
      <c r="L24" s="20"/>
      <c r="M24" s="20"/>
      <c r="N24" s="21">
        <f t="shared" si="7"/>
        <v>14664</v>
      </c>
      <c r="O24" s="32">
        <f t="shared" si="11"/>
        <v>0.03467195516</v>
      </c>
    </row>
    <row r="25" ht="15.75" customHeight="1">
      <c r="A25" s="26" t="s">
        <v>29</v>
      </c>
      <c r="B25" s="20">
        <v>3138.71</v>
      </c>
      <c r="C25" s="20">
        <f>8526.63</f>
        <v>8526.63</v>
      </c>
      <c r="D25" s="20">
        <v>5463.0</v>
      </c>
      <c r="E25" s="20">
        <f>'Misc Exp'!C37</f>
        <v>11888</v>
      </c>
      <c r="F25" s="20"/>
      <c r="G25" s="20"/>
      <c r="H25" s="20"/>
      <c r="I25" s="20"/>
      <c r="J25" s="20"/>
      <c r="K25" s="20"/>
      <c r="L25" s="20"/>
      <c r="M25" s="19"/>
      <c r="N25" s="21">
        <f t="shared" si="7"/>
        <v>29016.34</v>
      </c>
      <c r="O25" s="32">
        <f t="shared" si="11"/>
        <v>0.06860701306</v>
      </c>
    </row>
    <row r="26" ht="15.75" customHeight="1">
      <c r="A26" s="26" t="s">
        <v>30</v>
      </c>
      <c r="B26" s="20">
        <f>22732</f>
        <v>22732</v>
      </c>
      <c r="C26" s="20">
        <v>26002.0</v>
      </c>
      <c r="D26" s="20">
        <v>28108.0</v>
      </c>
      <c r="E26" s="20">
        <v>32908.0</v>
      </c>
      <c r="F26" s="20"/>
      <c r="G26" s="20"/>
      <c r="H26" s="20"/>
      <c r="I26" s="20"/>
      <c r="J26" s="20"/>
      <c r="K26" s="20"/>
      <c r="L26" s="20"/>
      <c r="M26" s="20"/>
      <c r="N26" s="21">
        <f t="shared" si="7"/>
        <v>109750</v>
      </c>
      <c r="O26" s="32">
        <f t="shared" si="11"/>
        <v>0.2594958456</v>
      </c>
    </row>
    <row r="27" ht="15.75" customHeight="1">
      <c r="A27" s="26" t="s">
        <v>31</v>
      </c>
      <c r="B27" s="19">
        <f>HO!D30</f>
        <v>143997.5176</v>
      </c>
      <c r="C27" s="19">
        <f>HO!H30</f>
        <v>151889.6867</v>
      </c>
      <c r="D27" s="19">
        <f>HO!L30</f>
        <v>120576.4829</v>
      </c>
      <c r="E27" s="19">
        <f>HO!P30</f>
        <v>130426.346</v>
      </c>
      <c r="F27" s="19" t="str">
        <f>HO!D46</f>
        <v>#DIV/0!</v>
      </c>
      <c r="G27" s="19" t="str">
        <f>HO!H46</f>
        <v>#DIV/0!</v>
      </c>
      <c r="H27" s="19" t="str">
        <f>HO!L46</f>
        <v>#DIV/0!</v>
      </c>
      <c r="I27" s="19" t="str">
        <f>HO!P46</f>
        <v>#DIV/0!</v>
      </c>
      <c r="J27" s="19" t="str">
        <f>HO!D61</f>
        <v>#DIV/0!</v>
      </c>
      <c r="K27" s="19" t="str">
        <f>HO!H61</f>
        <v>#DIV/0!</v>
      </c>
      <c r="L27" s="19" t="str">
        <f>HO!L61</f>
        <v>#DIV/0!</v>
      </c>
      <c r="M27" s="19" t="str">
        <f>HO!P61</f>
        <v>#DIV/0!</v>
      </c>
      <c r="N27" s="21" t="str">
        <f t="shared" si="7"/>
        <v>#DIV/0!</v>
      </c>
      <c r="O27" s="32" t="str">
        <f t="shared" si="11"/>
        <v>#DIV/0!</v>
      </c>
    </row>
    <row r="28" ht="15.75" customHeight="1">
      <c r="A28" s="41" t="s">
        <v>32</v>
      </c>
      <c r="B28" s="42">
        <f t="shared" ref="B28:M28" si="14">+SUM(B14:B27)</f>
        <v>926802.1442</v>
      </c>
      <c r="C28" s="42">
        <f t="shared" si="14"/>
        <v>977467.7883</v>
      </c>
      <c r="D28" s="42">
        <f t="shared" si="14"/>
        <v>882789.0646</v>
      </c>
      <c r="E28" s="42">
        <f t="shared" si="14"/>
        <v>949980.1076</v>
      </c>
      <c r="F28" s="43" t="str">
        <f t="shared" si="14"/>
        <v>#DIV/0!</v>
      </c>
      <c r="G28" s="42" t="str">
        <f t="shared" si="14"/>
        <v>#DIV/0!</v>
      </c>
      <c r="H28" s="42" t="str">
        <f t="shared" si="14"/>
        <v>#DIV/0!</v>
      </c>
      <c r="I28" s="42" t="str">
        <f t="shared" si="14"/>
        <v>#DIV/0!</v>
      </c>
      <c r="J28" s="42" t="str">
        <f t="shared" si="14"/>
        <v>#DIV/0!</v>
      </c>
      <c r="K28" s="42" t="str">
        <f t="shared" si="14"/>
        <v>#DIV/0!</v>
      </c>
      <c r="L28" s="42" t="str">
        <f t="shared" si="14"/>
        <v>#DIV/0!</v>
      </c>
      <c r="M28" s="42" t="str">
        <f t="shared" si="14"/>
        <v>#DIV/0!</v>
      </c>
      <c r="N28" s="42" t="str">
        <f t="shared" si="7"/>
        <v>#DIV/0!</v>
      </c>
      <c r="O28" s="44" t="str">
        <f t="shared" si="11"/>
        <v>#DIV/0!</v>
      </c>
    </row>
    <row r="29" ht="15.75" customHeight="1">
      <c r="A29" s="45" t="s">
        <v>33</v>
      </c>
      <c r="B29" s="46">
        <f t="shared" ref="B29:M29" si="15">B13-B28</f>
        <v>20317.10896</v>
      </c>
      <c r="C29" s="46">
        <f t="shared" si="15"/>
        <v>68357.51547</v>
      </c>
      <c r="D29" s="46">
        <f t="shared" si="15"/>
        <v>-37340.9852</v>
      </c>
      <c r="E29" s="46">
        <f t="shared" si="15"/>
        <v>-40250.28262</v>
      </c>
      <c r="F29" s="46" t="str">
        <f t="shared" si="15"/>
        <v>#DIV/0!</v>
      </c>
      <c r="G29" s="46" t="str">
        <f t="shared" si="15"/>
        <v>#DIV/0!</v>
      </c>
      <c r="H29" s="46" t="str">
        <f t="shared" si="15"/>
        <v>#DIV/0!</v>
      </c>
      <c r="I29" s="46" t="str">
        <f t="shared" si="15"/>
        <v>#DIV/0!</v>
      </c>
      <c r="J29" s="46" t="str">
        <f t="shared" si="15"/>
        <v>#DIV/0!</v>
      </c>
      <c r="K29" s="46" t="str">
        <f t="shared" si="15"/>
        <v>#DIV/0!</v>
      </c>
      <c r="L29" s="46" t="str">
        <f t="shared" si="15"/>
        <v>#DIV/0!</v>
      </c>
      <c r="M29" s="46" t="str">
        <f t="shared" si="15"/>
        <v>#DIV/0!</v>
      </c>
      <c r="N29" s="46" t="str">
        <f t="shared" si="7"/>
        <v>#DIV/0!</v>
      </c>
      <c r="O29" s="47" t="str">
        <f t="shared" si="11"/>
        <v>#DIV/0!</v>
      </c>
    </row>
    <row r="30" ht="15.75" customHeight="1">
      <c r="A30" s="48" t="s">
        <v>34</v>
      </c>
      <c r="B30" s="49">
        <f t="shared" ref="B30:M30" si="16">(B14/B13)</f>
        <v>0.3025257897</v>
      </c>
      <c r="C30" s="49">
        <f t="shared" si="16"/>
        <v>0.2835639652</v>
      </c>
      <c r="D30" s="49">
        <f t="shared" si="16"/>
        <v>0.3203525877</v>
      </c>
      <c r="E30" s="49">
        <f t="shared" si="16"/>
        <v>0.3336001433</v>
      </c>
      <c r="F30" s="50" t="str">
        <f t="shared" si="16"/>
        <v>#DIV/0!</v>
      </c>
      <c r="G30" s="49" t="str">
        <f t="shared" si="16"/>
        <v>#DIV/0!</v>
      </c>
      <c r="H30" s="49" t="str">
        <f t="shared" si="16"/>
        <v>#DIV/0!</v>
      </c>
      <c r="I30" s="49" t="str">
        <f t="shared" si="16"/>
        <v>#DIV/0!</v>
      </c>
      <c r="J30" s="49" t="str">
        <f t="shared" si="16"/>
        <v>#DIV/0!</v>
      </c>
      <c r="K30" s="49" t="str">
        <f t="shared" si="16"/>
        <v>#DIV/0!</v>
      </c>
      <c r="L30" s="49" t="str">
        <f t="shared" si="16"/>
        <v>#DIV/0!</v>
      </c>
      <c r="M30" s="49" t="str">
        <f t="shared" si="16"/>
        <v>#DIV/0!</v>
      </c>
      <c r="N30" s="51"/>
      <c r="O30" s="51"/>
    </row>
    <row r="31" ht="15.75" customHeight="1"/>
    <row r="32" ht="15.75" customHeight="1">
      <c r="B32" s="54">
        <f t="shared" ref="B32:M32" si="17">B29+B27</f>
        <v>164314.6265</v>
      </c>
      <c r="C32" s="54">
        <f t="shared" si="17"/>
        <v>220247.2021</v>
      </c>
      <c r="D32" s="54">
        <f t="shared" si="17"/>
        <v>83235.49773</v>
      </c>
      <c r="E32" s="54">
        <f t="shared" si="17"/>
        <v>90176.06333</v>
      </c>
      <c r="F32" s="54" t="str">
        <f t="shared" si="17"/>
        <v>#DIV/0!</v>
      </c>
      <c r="G32" s="54" t="str">
        <f t="shared" si="17"/>
        <v>#DIV/0!</v>
      </c>
      <c r="H32" s="54" t="str">
        <f t="shared" si="17"/>
        <v>#DIV/0!</v>
      </c>
      <c r="I32" s="54" t="str">
        <f t="shared" si="17"/>
        <v>#DIV/0!</v>
      </c>
      <c r="J32" s="54" t="str">
        <f t="shared" si="17"/>
        <v>#DIV/0!</v>
      </c>
      <c r="K32" s="54" t="str">
        <f t="shared" si="17"/>
        <v>#DIV/0!</v>
      </c>
      <c r="L32" s="54" t="str">
        <f t="shared" si="17"/>
        <v>#DIV/0!</v>
      </c>
      <c r="M32" s="54" t="str">
        <f t="shared" si="17"/>
        <v>#DIV/0!</v>
      </c>
    </row>
    <row r="33" ht="15.75" customHeight="1">
      <c r="B33" s="53">
        <f t="shared" ref="B33:M33" si="18">B32/B13</f>
        <v>0.1734888463</v>
      </c>
      <c r="C33" s="53">
        <f t="shared" si="18"/>
        <v>0.2105965512</v>
      </c>
      <c r="D33" s="53">
        <f t="shared" si="18"/>
        <v>0.09845134167</v>
      </c>
      <c r="E33" s="53">
        <f t="shared" si="18"/>
        <v>0.09912400457</v>
      </c>
      <c r="F33" s="53" t="str">
        <f t="shared" si="18"/>
        <v>#DIV/0!</v>
      </c>
      <c r="G33" s="53" t="str">
        <f t="shared" si="18"/>
        <v>#DIV/0!</v>
      </c>
      <c r="H33" s="53" t="str">
        <f t="shared" si="18"/>
        <v>#DIV/0!</v>
      </c>
      <c r="I33" s="53" t="str">
        <f t="shared" si="18"/>
        <v>#DIV/0!</v>
      </c>
      <c r="J33" s="53" t="str">
        <f t="shared" si="18"/>
        <v>#DIV/0!</v>
      </c>
      <c r="K33" s="53" t="str">
        <f t="shared" si="18"/>
        <v>#DIV/0!</v>
      </c>
      <c r="L33" s="53" t="str">
        <f t="shared" si="18"/>
        <v>#DIV/0!</v>
      </c>
      <c r="M33" s="53" t="str">
        <f t="shared" si="18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1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53663.0</v>
      </c>
      <c r="C3" s="17">
        <f t="shared" ref="C3:M3" si="1">B7</f>
        <v>69458.96</v>
      </c>
      <c r="D3" s="19">
        <f t="shared" si="1"/>
        <v>67234.11</v>
      </c>
      <c r="E3" s="19">
        <f t="shared" si="1"/>
        <v>70784</v>
      </c>
      <c r="F3" s="19">
        <f t="shared" si="1"/>
        <v>59607.8</v>
      </c>
      <c r="G3" s="19">
        <f t="shared" si="1"/>
        <v>52984</v>
      </c>
      <c r="H3" s="19">
        <f t="shared" si="1"/>
        <v>51744</v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20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f>401116.14</f>
        <v>401116.14</v>
      </c>
      <c r="C4" s="24">
        <v>410387.41</v>
      </c>
      <c r="D4" s="20">
        <f>420420+947</f>
        <v>421367</v>
      </c>
      <c r="E4" s="20">
        <v>419823.0</v>
      </c>
      <c r="F4" s="20">
        <f>426942</f>
        <v>426942</v>
      </c>
      <c r="G4" s="20">
        <v>439629.0</v>
      </c>
      <c r="H4" s="20"/>
      <c r="I4" s="19"/>
      <c r="J4" s="20"/>
      <c r="K4" s="20"/>
      <c r="L4" s="20"/>
      <c r="M4" s="20"/>
      <c r="N4" s="21">
        <f>sum(B4:M4)</f>
        <v>2519264.55</v>
      </c>
      <c r="O4" s="22"/>
    </row>
    <row r="5" ht="15.75" customHeight="1">
      <c r="A5" s="14" t="s">
        <v>10</v>
      </c>
      <c r="B5" s="24">
        <v>1412.0</v>
      </c>
      <c r="C5" s="24">
        <v>255.24</v>
      </c>
      <c r="D5" s="20">
        <v>0.0</v>
      </c>
      <c r="E5" s="20">
        <v>0.0</v>
      </c>
      <c r="F5" s="20">
        <v>0.0</v>
      </c>
      <c r="G5" s="20">
        <v>0.0</v>
      </c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15060.0</v>
      </c>
      <c r="C6" s="24">
        <v>36497.57</v>
      </c>
      <c r="D6" s="20">
        <v>11792.0</v>
      </c>
      <c r="E6" s="20">
        <v>17340.96</v>
      </c>
      <c r="F6" s="20">
        <v>16120.0</v>
      </c>
      <c r="G6" s="20">
        <v>17661.0</v>
      </c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69458.96</v>
      </c>
      <c r="C7" s="24">
        <v>67234.11</v>
      </c>
      <c r="D7" s="20">
        <v>70784.0</v>
      </c>
      <c r="E7" s="20">
        <v>59607.8</v>
      </c>
      <c r="F7" s="20">
        <v>52984.0</v>
      </c>
      <c r="G7" s="20">
        <v>51744.0</v>
      </c>
      <c r="H7" s="20"/>
      <c r="I7" s="20"/>
      <c r="J7" s="20"/>
      <c r="K7" s="20"/>
      <c r="L7" s="20"/>
      <c r="M7" s="20"/>
      <c r="N7" s="21">
        <f>sum(B7:M7)</f>
        <v>371812.87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1873928.31*1.05+58447.08*1.05</f>
        <v>2028994.16</v>
      </c>
      <c r="C9" s="19">
        <f>1816551.76*1.05+62979.41*1.05</f>
        <v>1973507.729</v>
      </c>
      <c r="D9" s="19">
        <f>1761995*1.05+61948.72*1.05</f>
        <v>1915140.906</v>
      </c>
      <c r="E9" s="19">
        <f>1845676.89*1.05+58122*1.05</f>
        <v>1998988.835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7916631.629</v>
      </c>
      <c r="O9" s="22"/>
    </row>
    <row r="10" ht="15.75" customHeight="1">
      <c r="A10" s="26" t="s">
        <v>14</v>
      </c>
      <c r="B10" s="20">
        <v>0.0</v>
      </c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96618.7695</v>
      </c>
      <c r="C11" s="19">
        <f t="shared" si="4"/>
        <v>93976.5585</v>
      </c>
      <c r="D11" s="19">
        <f t="shared" si="4"/>
        <v>91197.186</v>
      </c>
      <c r="E11" s="19">
        <f t="shared" si="4"/>
        <v>95189.9445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7">
        <f t="shared" si="4"/>
        <v>0</v>
      </c>
      <c r="J11" s="17">
        <f t="shared" si="4"/>
        <v>0</v>
      </c>
      <c r="K11" s="17">
        <f t="shared" si="4"/>
        <v>0</v>
      </c>
      <c r="L11" s="17">
        <f t="shared" si="4"/>
        <v>0</v>
      </c>
      <c r="M11" s="17">
        <f t="shared" si="4"/>
        <v>0</v>
      </c>
      <c r="N11" s="21">
        <f t="shared" si="3"/>
        <v>376982.4585</v>
      </c>
      <c r="O11" s="22"/>
    </row>
    <row r="12" ht="15.75" customHeight="1">
      <c r="A12" s="26" t="s">
        <v>16</v>
      </c>
      <c r="B12" s="19">
        <f>135807.74*1.18+42649.53*1.18+1003.8*1.18</f>
        <v>211764.0626</v>
      </c>
      <c r="C12" s="19">
        <f>145580.42*1.18+49289.16*1.18+944.15*1.18</f>
        <v>231060.2014</v>
      </c>
      <c r="D12" s="19">
        <f>143525.37*1.18+47978.4*1.18+1022.85*1.18</f>
        <v>227181.4116</v>
      </c>
      <c r="E12" s="19">
        <f>135121.61*1.18+50307.67*1.18+1014.38*1.18</f>
        <v>220003.5188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890009.1944</v>
      </c>
      <c r="O12" s="22"/>
    </row>
    <row r="13" ht="15.75" customHeight="1">
      <c r="A13" s="27" t="s">
        <v>17</v>
      </c>
      <c r="B13" s="28">
        <f t="shared" ref="B13:M13" si="5">B9+B10-B11-B12</f>
        <v>1720611.327</v>
      </c>
      <c r="C13" s="28">
        <f t="shared" si="5"/>
        <v>1648470.969</v>
      </c>
      <c r="D13" s="28">
        <f t="shared" si="5"/>
        <v>1596762.308</v>
      </c>
      <c r="E13" s="28">
        <f t="shared" si="5"/>
        <v>1683795.371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6649639.976</v>
      </c>
      <c r="O13" s="30">
        <f t="shared" ref="O13:O18" si="8">N13/$N$7</f>
        <v>17.88437279</v>
      </c>
    </row>
    <row r="14" ht="15.75" customHeight="1">
      <c r="A14" s="26" t="s">
        <v>18</v>
      </c>
      <c r="B14" s="31">
        <f t="shared" ref="B14:M14" si="6">+B3+B4-B5-B7</f>
        <v>383908.18</v>
      </c>
      <c r="C14" s="31">
        <f t="shared" si="6"/>
        <v>412357.02</v>
      </c>
      <c r="D14" s="31">
        <f t="shared" si="6"/>
        <v>417817.11</v>
      </c>
      <c r="E14" s="31">
        <f t="shared" si="6"/>
        <v>430999.2</v>
      </c>
      <c r="F14" s="31">
        <f t="shared" si="6"/>
        <v>433565.8</v>
      </c>
      <c r="G14" s="31">
        <f t="shared" si="6"/>
        <v>440869</v>
      </c>
      <c r="H14" s="31">
        <f t="shared" si="6"/>
        <v>51744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2571260.31</v>
      </c>
      <c r="O14" s="32">
        <f t="shared" si="8"/>
        <v>6.915468822</v>
      </c>
    </row>
    <row r="15" ht="15.75" customHeight="1">
      <c r="A15" s="26" t="s">
        <v>19</v>
      </c>
      <c r="B15" s="20">
        <f>12169</f>
        <v>12169</v>
      </c>
      <c r="C15" s="20">
        <f>52002</f>
        <v>52002</v>
      </c>
      <c r="D15" s="20">
        <v>57418.95</v>
      </c>
      <c r="E15" s="33">
        <f>113704</f>
        <v>113704</v>
      </c>
      <c r="F15" s="20"/>
      <c r="G15" s="20"/>
      <c r="H15" s="20"/>
      <c r="I15" s="20"/>
      <c r="J15" s="20"/>
      <c r="K15" s="20"/>
      <c r="L15" s="20"/>
      <c r="M15" s="19"/>
      <c r="N15" s="21">
        <f t="shared" si="7"/>
        <v>235293.95</v>
      </c>
      <c r="O15" s="32">
        <f t="shared" si="8"/>
        <v>0.6328289551</v>
      </c>
    </row>
    <row r="16" ht="15.75" customHeight="1">
      <c r="A16" s="26" t="s">
        <v>20</v>
      </c>
      <c r="B16" s="20">
        <v>943.0</v>
      </c>
      <c r="C16" s="20">
        <v>943.0</v>
      </c>
      <c r="D16" s="20">
        <v>943.0</v>
      </c>
      <c r="E16" s="20">
        <v>943.0</v>
      </c>
      <c r="F16" s="20"/>
      <c r="G16" s="19"/>
      <c r="H16" s="19"/>
      <c r="I16" s="19"/>
      <c r="J16" s="19"/>
      <c r="K16" s="19"/>
      <c r="L16" s="19"/>
      <c r="M16" s="19"/>
      <c r="N16" s="21">
        <f t="shared" si="7"/>
        <v>3772</v>
      </c>
      <c r="O16" s="32">
        <f t="shared" si="8"/>
        <v>0.01014488821</v>
      </c>
    </row>
    <row r="17" ht="15.75" customHeight="1">
      <c r="A17" s="26" t="s">
        <v>21</v>
      </c>
      <c r="B17" s="20">
        <v>0.0</v>
      </c>
      <c r="C17" s="20">
        <v>0.0</v>
      </c>
      <c r="D17" s="20">
        <v>0.0</v>
      </c>
      <c r="E17" s="20">
        <v>0.0</v>
      </c>
      <c r="F17" s="19"/>
      <c r="G17" s="19"/>
      <c r="H17" s="19"/>
      <c r="I17" s="19"/>
      <c r="J17" s="19"/>
      <c r="K17" s="19"/>
      <c r="L17" s="19"/>
      <c r="M17" s="19"/>
      <c r="N17" s="21">
        <f t="shared" si="7"/>
        <v>0</v>
      </c>
      <c r="O17" s="32">
        <f t="shared" si="8"/>
        <v>0</v>
      </c>
    </row>
    <row r="18" ht="15.75" customHeight="1">
      <c r="A18" s="26" t="s">
        <v>22</v>
      </c>
      <c r="B18" s="19">
        <f t="shared" ref="B18:E18" si="9">139240</f>
        <v>139240</v>
      </c>
      <c r="C18" s="19">
        <f t="shared" si="9"/>
        <v>139240</v>
      </c>
      <c r="D18" s="19">
        <f t="shared" si="9"/>
        <v>139240</v>
      </c>
      <c r="E18" s="19">
        <f t="shared" si="9"/>
        <v>139240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556960</v>
      </c>
      <c r="O18" s="32">
        <f t="shared" si="8"/>
        <v>1.49795783</v>
      </c>
    </row>
    <row r="19" ht="15.75" customHeight="1">
      <c r="A19" s="34" t="s">
        <v>23</v>
      </c>
      <c r="B19" s="35">
        <v>1055.0</v>
      </c>
      <c r="C19" s="36">
        <f t="shared" ref="C19:M19" si="10">36951.85/4/12</f>
        <v>769.8302083</v>
      </c>
      <c r="D19" s="36">
        <f t="shared" si="10"/>
        <v>769.8302083</v>
      </c>
      <c r="E19" s="36">
        <f t="shared" si="10"/>
        <v>769.8302083</v>
      </c>
      <c r="F19" s="36">
        <f t="shared" si="10"/>
        <v>769.8302083</v>
      </c>
      <c r="G19" s="36">
        <f t="shared" si="10"/>
        <v>769.8302083</v>
      </c>
      <c r="H19" s="36">
        <f t="shared" si="10"/>
        <v>769.8302083</v>
      </c>
      <c r="I19" s="36">
        <f t="shared" si="10"/>
        <v>769.8302083</v>
      </c>
      <c r="J19" s="36">
        <f t="shared" si="10"/>
        <v>769.8302083</v>
      </c>
      <c r="K19" s="36">
        <f t="shared" si="10"/>
        <v>769.8302083</v>
      </c>
      <c r="L19" s="36">
        <f t="shared" si="10"/>
        <v>769.8302083</v>
      </c>
      <c r="M19" s="36">
        <f t="shared" si="10"/>
        <v>769.8302083</v>
      </c>
      <c r="N19" s="21">
        <f t="shared" si="7"/>
        <v>9523.132292</v>
      </c>
      <c r="O19" s="32"/>
    </row>
    <row r="20" ht="15.75" customHeight="1">
      <c r="A20" s="26" t="s">
        <v>24</v>
      </c>
      <c r="B20" s="20">
        <v>4764.0</v>
      </c>
      <c r="C20" s="20">
        <v>4764.0</v>
      </c>
      <c r="D20" s="20">
        <v>4764.0</v>
      </c>
      <c r="E20" s="20">
        <v>4764.0</v>
      </c>
      <c r="F20" s="20"/>
      <c r="G20" s="20"/>
      <c r="H20" s="20"/>
      <c r="I20" s="20"/>
      <c r="J20" s="20"/>
      <c r="K20" s="20"/>
      <c r="L20" s="20"/>
      <c r="M20" s="20"/>
      <c r="N20" s="21">
        <f t="shared" si="7"/>
        <v>19056</v>
      </c>
      <c r="O20" s="32">
        <f t="shared" ref="O20:O29" si="11">N20/$N$7</f>
        <v>0.05125158793</v>
      </c>
    </row>
    <row r="21" ht="15.75" customHeight="1">
      <c r="A21" s="26" t="s">
        <v>25</v>
      </c>
      <c r="B21" s="19">
        <f>262524+9250</f>
        <v>271774</v>
      </c>
      <c r="C21" s="20">
        <f>9250+268844.15</f>
        <v>278094.15</v>
      </c>
      <c r="D21" s="19">
        <f>9250+243531.64</f>
        <v>252781.64</v>
      </c>
      <c r="E21" s="19">
        <f>277022.04+9250</f>
        <v>286272.04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1088921.83</v>
      </c>
      <c r="O21" s="32">
        <f t="shared" si="11"/>
        <v>2.928682458</v>
      </c>
    </row>
    <row r="22" ht="15.75" customHeight="1">
      <c r="A22" s="14" t="s">
        <v>26</v>
      </c>
      <c r="B22" s="20">
        <f t="shared" ref="B22:D22" si="12">4720+2950</f>
        <v>7670</v>
      </c>
      <c r="C22" s="19">
        <f t="shared" si="12"/>
        <v>7670</v>
      </c>
      <c r="D22" s="19">
        <f t="shared" si="12"/>
        <v>7670</v>
      </c>
      <c r="E22" s="19">
        <f>2950+4720</f>
        <v>7670</v>
      </c>
      <c r="F22" s="19"/>
      <c r="G22" s="19"/>
      <c r="H22" s="19"/>
      <c r="I22" s="19"/>
      <c r="J22" s="19"/>
      <c r="K22" s="19"/>
      <c r="L22" s="19"/>
      <c r="M22" s="19"/>
      <c r="N22" s="21">
        <f t="shared" si="7"/>
        <v>30680</v>
      </c>
      <c r="O22" s="32">
        <f t="shared" si="11"/>
        <v>0.08251462624</v>
      </c>
    </row>
    <row r="23" ht="15.75" customHeight="1">
      <c r="A23" s="39" t="s">
        <v>27</v>
      </c>
      <c r="B23" s="40">
        <f t="shared" ref="B23:D23" si="13">2548.75/3</f>
        <v>849.5833333</v>
      </c>
      <c r="C23" s="40">
        <f t="shared" si="13"/>
        <v>849.5833333</v>
      </c>
      <c r="D23" s="40">
        <f t="shared" si="13"/>
        <v>849.5833333</v>
      </c>
      <c r="E23" s="40">
        <f t="shared" ref="E23:G23" si="14">2537/3</f>
        <v>845.6666667</v>
      </c>
      <c r="F23" s="40">
        <f t="shared" si="14"/>
        <v>845.6666667</v>
      </c>
      <c r="G23" s="40">
        <f t="shared" si="14"/>
        <v>845.6666667</v>
      </c>
      <c r="H23" s="17"/>
      <c r="I23" s="17"/>
      <c r="J23" s="17"/>
      <c r="K23" s="19"/>
      <c r="L23" s="19"/>
      <c r="M23" s="19"/>
      <c r="N23" s="21">
        <f t="shared" si="7"/>
        <v>5085.75</v>
      </c>
      <c r="O23" s="32">
        <f t="shared" si="11"/>
        <v>0.01367825164</v>
      </c>
    </row>
    <row r="24" ht="15.75" customHeight="1">
      <c r="A24" s="26" t="s">
        <v>28</v>
      </c>
      <c r="B24" s="35">
        <v>0.0</v>
      </c>
      <c r="C24" s="35">
        <v>0.0</v>
      </c>
      <c r="D24" s="35">
        <v>11210.0</v>
      </c>
      <c r="E24" s="35">
        <f>'Misc Exp'!D43</f>
        <v>0</v>
      </c>
      <c r="F24" s="19"/>
      <c r="G24" s="20"/>
      <c r="H24" s="20"/>
      <c r="I24" s="20"/>
      <c r="J24" s="20"/>
      <c r="K24" s="20"/>
      <c r="L24" s="20"/>
      <c r="M24" s="20"/>
      <c r="N24" s="21">
        <f t="shared" si="7"/>
        <v>11210</v>
      </c>
      <c r="O24" s="32">
        <f t="shared" si="11"/>
        <v>0.03014957497</v>
      </c>
    </row>
    <row r="25" ht="15.75" customHeight="1">
      <c r="A25" s="26" t="s">
        <v>29</v>
      </c>
      <c r="B25" s="20">
        <v>7190.88</v>
      </c>
      <c r="C25" s="20">
        <v>10642.17</v>
      </c>
      <c r="D25" s="20">
        <v>9227.77</v>
      </c>
      <c r="E25" s="20">
        <f>'Misc Exp'!D37</f>
        <v>10698.94</v>
      </c>
      <c r="F25" s="20"/>
      <c r="G25" s="20"/>
      <c r="H25" s="20"/>
      <c r="I25" s="20"/>
      <c r="J25" s="20"/>
      <c r="K25" s="20"/>
      <c r="L25" s="20"/>
      <c r="M25" s="20"/>
      <c r="N25" s="21">
        <f t="shared" si="7"/>
        <v>37759.76</v>
      </c>
      <c r="O25" s="32">
        <f t="shared" si="11"/>
        <v>0.1015558176</v>
      </c>
    </row>
    <row r="26" ht="15.75" customHeight="1">
      <c r="A26" s="26" t="s">
        <v>30</v>
      </c>
      <c r="B26" s="20">
        <f t="shared" ref="B26:E26" si="15">40031.5</f>
        <v>40031.5</v>
      </c>
      <c r="C26" s="20">
        <f t="shared" si="15"/>
        <v>40031.5</v>
      </c>
      <c r="D26" s="20">
        <f t="shared" si="15"/>
        <v>40031.5</v>
      </c>
      <c r="E26" s="20">
        <f t="shared" si="15"/>
        <v>40031.5</v>
      </c>
      <c r="F26" s="20"/>
      <c r="G26" s="20"/>
      <c r="H26" s="20"/>
      <c r="I26" s="20"/>
      <c r="J26" s="20"/>
      <c r="K26" s="20"/>
      <c r="L26" s="20"/>
      <c r="M26" s="20"/>
      <c r="N26" s="21">
        <f t="shared" si="7"/>
        <v>160126</v>
      </c>
      <c r="O26" s="32">
        <f t="shared" si="11"/>
        <v>0.4306628762</v>
      </c>
    </row>
    <row r="27" ht="15.75" customHeight="1">
      <c r="A27" s="26" t="s">
        <v>31</v>
      </c>
      <c r="B27" s="19">
        <f>HO!D32</f>
        <v>261597.216</v>
      </c>
      <c r="C27" s="19">
        <f>HO!H32</f>
        <v>239414.4968</v>
      </c>
      <c r="D27" s="19">
        <f>HO!L32</f>
        <v>227727.7433</v>
      </c>
      <c r="E27" s="19">
        <f>HO!P32</f>
        <v>241402.7457</v>
      </c>
      <c r="F27" s="19" t="str">
        <f>HO!D48</f>
        <v>#DIV/0!</v>
      </c>
      <c r="G27" s="19" t="str">
        <f>HO!H48</f>
        <v>#DIV/0!</v>
      </c>
      <c r="H27" s="19" t="str">
        <f>HO!L48</f>
        <v>#DIV/0!</v>
      </c>
      <c r="I27" s="19" t="str">
        <f>HO!P48</f>
        <v>#DIV/0!</v>
      </c>
      <c r="J27" s="19" t="str">
        <f>HO!D63</f>
        <v>#DIV/0!</v>
      </c>
      <c r="K27" s="19" t="str">
        <f>HO!H63</f>
        <v>#DIV/0!</v>
      </c>
      <c r="L27" s="19" t="str">
        <f>HO!L63</f>
        <v>#DIV/0!</v>
      </c>
      <c r="M27" s="19" t="str">
        <f>HO!P63</f>
        <v>#DIV/0!</v>
      </c>
      <c r="N27" s="21" t="str">
        <f t="shared" si="7"/>
        <v>#DIV/0!</v>
      </c>
      <c r="O27" s="32" t="str">
        <f t="shared" si="11"/>
        <v>#DIV/0!</v>
      </c>
    </row>
    <row r="28" ht="15.75" customHeight="1">
      <c r="A28" s="41" t="s">
        <v>32</v>
      </c>
      <c r="B28" s="42">
        <f t="shared" ref="B28:M28" si="16">+SUM(B14:B27)</f>
        <v>1131192.359</v>
      </c>
      <c r="C28" s="42">
        <f t="shared" si="16"/>
        <v>1186777.75</v>
      </c>
      <c r="D28" s="42">
        <f t="shared" si="16"/>
        <v>1170451.127</v>
      </c>
      <c r="E28" s="42">
        <f t="shared" si="16"/>
        <v>1277340.923</v>
      </c>
      <c r="F28" s="43" t="str">
        <f t="shared" si="16"/>
        <v>#DIV/0!</v>
      </c>
      <c r="G28" s="42" t="str">
        <f t="shared" si="16"/>
        <v>#DIV/0!</v>
      </c>
      <c r="H28" s="42" t="str">
        <f t="shared" si="16"/>
        <v>#DIV/0!</v>
      </c>
      <c r="I28" s="42" t="str">
        <f t="shared" si="16"/>
        <v>#DIV/0!</v>
      </c>
      <c r="J28" s="42" t="str">
        <f t="shared" si="16"/>
        <v>#DIV/0!</v>
      </c>
      <c r="K28" s="42" t="str">
        <f t="shared" si="16"/>
        <v>#DIV/0!</v>
      </c>
      <c r="L28" s="42" t="str">
        <f t="shared" si="16"/>
        <v>#DIV/0!</v>
      </c>
      <c r="M28" s="42" t="str">
        <f t="shared" si="16"/>
        <v>#DIV/0!</v>
      </c>
      <c r="N28" s="42" t="str">
        <f t="shared" si="7"/>
        <v>#DIV/0!</v>
      </c>
      <c r="O28" s="44" t="str">
        <f t="shared" si="11"/>
        <v>#DIV/0!</v>
      </c>
    </row>
    <row r="29" ht="15.75" customHeight="1">
      <c r="A29" s="45" t="s">
        <v>33</v>
      </c>
      <c r="B29" s="46">
        <f t="shared" ref="B29:M29" si="17">B13-B28</f>
        <v>589418.9681</v>
      </c>
      <c r="C29" s="46">
        <f t="shared" si="17"/>
        <v>461693.2182</v>
      </c>
      <c r="D29" s="46">
        <f t="shared" si="17"/>
        <v>426311.1815</v>
      </c>
      <c r="E29" s="46">
        <f t="shared" si="17"/>
        <v>406454.4486</v>
      </c>
      <c r="F29" s="46" t="str">
        <f t="shared" si="17"/>
        <v>#DIV/0!</v>
      </c>
      <c r="G29" s="46" t="str">
        <f t="shared" si="17"/>
        <v>#DIV/0!</v>
      </c>
      <c r="H29" s="46" t="str">
        <f t="shared" si="17"/>
        <v>#DIV/0!</v>
      </c>
      <c r="I29" s="46" t="str">
        <f t="shared" si="17"/>
        <v>#DIV/0!</v>
      </c>
      <c r="J29" s="46" t="str">
        <f t="shared" si="17"/>
        <v>#DIV/0!</v>
      </c>
      <c r="K29" s="46" t="str">
        <f t="shared" si="17"/>
        <v>#DIV/0!</v>
      </c>
      <c r="L29" s="46" t="str">
        <f t="shared" si="17"/>
        <v>#DIV/0!</v>
      </c>
      <c r="M29" s="46" t="str">
        <f t="shared" si="17"/>
        <v>#DIV/0!</v>
      </c>
      <c r="N29" s="46" t="str">
        <f t="shared" si="7"/>
        <v>#DIV/0!</v>
      </c>
      <c r="O29" s="47" t="str">
        <f t="shared" si="11"/>
        <v>#DIV/0!</v>
      </c>
    </row>
    <row r="30" ht="15.75" customHeight="1">
      <c r="A30" s="48" t="s">
        <v>34</v>
      </c>
      <c r="B30" s="49">
        <f t="shared" ref="B30:M30" si="18">(B14/B13)</f>
        <v>0.2231231272</v>
      </c>
      <c r="C30" s="49">
        <f t="shared" si="18"/>
        <v>0.2501451514</v>
      </c>
      <c r="D30" s="49">
        <f t="shared" si="18"/>
        <v>0.2616651882</v>
      </c>
      <c r="E30" s="49">
        <f t="shared" si="18"/>
        <v>0.2559688709</v>
      </c>
      <c r="F30" s="50" t="str">
        <f t="shared" si="18"/>
        <v>#DIV/0!</v>
      </c>
      <c r="G30" s="49" t="str">
        <f t="shared" si="18"/>
        <v>#DIV/0!</v>
      </c>
      <c r="H30" s="49" t="str">
        <f t="shared" si="18"/>
        <v>#DIV/0!</v>
      </c>
      <c r="I30" s="49" t="str">
        <f t="shared" si="18"/>
        <v>#DIV/0!</v>
      </c>
      <c r="J30" s="49" t="str">
        <f t="shared" si="18"/>
        <v>#DIV/0!</v>
      </c>
      <c r="K30" s="49" t="str">
        <f t="shared" si="18"/>
        <v>#DIV/0!</v>
      </c>
      <c r="L30" s="49" t="str">
        <f t="shared" si="18"/>
        <v>#DIV/0!</v>
      </c>
      <c r="M30" s="49" t="str">
        <f t="shared" si="18"/>
        <v>#DIV/0!</v>
      </c>
      <c r="N30" s="51"/>
      <c r="O30" s="51"/>
    </row>
    <row r="31" ht="15.75" customHeight="1"/>
    <row r="32" ht="15.75" customHeight="1">
      <c r="B32" s="52">
        <f t="shared" ref="B32:M32" si="19">B29+B27</f>
        <v>851016.1841</v>
      </c>
      <c r="C32" s="52">
        <f t="shared" si="19"/>
        <v>701107.7151</v>
      </c>
      <c r="D32" s="52">
        <f t="shared" si="19"/>
        <v>654038.9249</v>
      </c>
      <c r="E32" s="52">
        <f t="shared" si="19"/>
        <v>647857.1943</v>
      </c>
      <c r="F32" s="52" t="str">
        <f t="shared" si="19"/>
        <v>#DIV/0!</v>
      </c>
      <c r="G32" s="52" t="str">
        <f t="shared" si="19"/>
        <v>#DIV/0!</v>
      </c>
      <c r="H32" s="52" t="str">
        <f t="shared" si="19"/>
        <v>#DIV/0!</v>
      </c>
      <c r="I32" s="52" t="str">
        <f t="shared" si="19"/>
        <v>#DIV/0!</v>
      </c>
      <c r="J32" s="52" t="str">
        <f t="shared" si="19"/>
        <v>#DIV/0!</v>
      </c>
      <c r="K32" s="52" t="str">
        <f t="shared" si="19"/>
        <v>#DIV/0!</v>
      </c>
      <c r="L32" s="52" t="str">
        <f t="shared" si="19"/>
        <v>#DIV/0!</v>
      </c>
      <c r="M32" s="52" t="str">
        <f t="shared" si="19"/>
        <v>#DIV/0!</v>
      </c>
    </row>
    <row r="33" ht="15.75" customHeight="1">
      <c r="B33" s="53">
        <f t="shared" ref="B33:M33" si="20">B32/B13</f>
        <v>0.4946010587</v>
      </c>
      <c r="C33" s="53">
        <f t="shared" si="20"/>
        <v>0.4253078934</v>
      </c>
      <c r="D33" s="53">
        <f t="shared" si="20"/>
        <v>0.4096031835</v>
      </c>
      <c r="E33" s="53">
        <f t="shared" si="20"/>
        <v>0.3847600518</v>
      </c>
      <c r="F33" s="53" t="str">
        <f t="shared" si="20"/>
        <v>#DIV/0!</v>
      </c>
      <c r="G33" s="53" t="str">
        <f t="shared" si="20"/>
        <v>#DIV/0!</v>
      </c>
      <c r="H33" s="53" t="str">
        <f t="shared" si="20"/>
        <v>#DIV/0!</v>
      </c>
      <c r="I33" s="53" t="str">
        <f t="shared" si="20"/>
        <v>#DIV/0!</v>
      </c>
      <c r="J33" s="53" t="str">
        <f t="shared" si="20"/>
        <v>#DIV/0!</v>
      </c>
      <c r="K33" s="53" t="str">
        <f t="shared" si="20"/>
        <v>#DIV/0!</v>
      </c>
      <c r="L33" s="53" t="str">
        <f t="shared" si="20"/>
        <v>#DIV/0!</v>
      </c>
      <c r="M33" s="53" t="str">
        <f t="shared" si="20"/>
        <v>#DIV/0!</v>
      </c>
    </row>
    <row r="34" ht="15.75" customHeight="1">
      <c r="G34" s="5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35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58923.0</v>
      </c>
      <c r="C3" s="17">
        <f t="shared" ref="C3:M3" si="1">B7</f>
        <v>48098.96</v>
      </c>
      <c r="D3" s="19">
        <f t="shared" si="1"/>
        <v>45292.3</v>
      </c>
      <c r="E3" s="19">
        <f t="shared" si="1"/>
        <v>61299.75</v>
      </c>
      <c r="F3" s="19">
        <f t="shared" si="1"/>
        <v>51680</v>
      </c>
      <c r="G3" s="19">
        <f t="shared" si="1"/>
        <v>44659.3</v>
      </c>
      <c r="H3" s="19">
        <f t="shared" si="1"/>
        <v>17906</v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271973.16</v>
      </c>
      <c r="C4" s="24">
        <v>303796.0</v>
      </c>
      <c r="D4" s="20">
        <f>331556+3288</f>
        <v>334844</v>
      </c>
      <c r="E4" s="20">
        <v>311448.0</v>
      </c>
      <c r="F4" s="20">
        <v>289536.0</v>
      </c>
      <c r="G4" s="20">
        <v>247318.0</v>
      </c>
      <c r="H4" s="20"/>
      <c r="I4" s="20"/>
      <c r="J4" s="20"/>
      <c r="K4" s="20"/>
      <c r="L4" s="20"/>
      <c r="M4" s="20"/>
      <c r="N4" s="21">
        <f>sum(B4:M4)</f>
        <v>1758915.16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0">
        <v>0.0</v>
      </c>
      <c r="E5" s="20">
        <v>0.0</v>
      </c>
      <c r="F5" s="20">
        <v>0.0</v>
      </c>
      <c r="G5" s="20">
        <v>0.0</v>
      </c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13013.0</v>
      </c>
      <c r="C6" s="24">
        <v>13477.39</v>
      </c>
      <c r="D6" s="20">
        <v>13039.0</v>
      </c>
      <c r="E6" s="20">
        <v>13752.0</v>
      </c>
      <c r="F6" s="20">
        <v>12882.77</v>
      </c>
      <c r="G6" s="20">
        <v>12878.0</v>
      </c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48098.96</v>
      </c>
      <c r="C7" s="24">
        <v>45292.3</v>
      </c>
      <c r="D7" s="20">
        <v>61299.75</v>
      </c>
      <c r="E7" s="20">
        <v>51680.0</v>
      </c>
      <c r="F7" s="20">
        <v>44659.3</v>
      </c>
      <c r="G7" s="20">
        <v>17906.0</v>
      </c>
      <c r="H7" s="20"/>
      <c r="I7" s="20"/>
      <c r="J7" s="20"/>
      <c r="K7" s="20"/>
      <c r="L7" s="20"/>
      <c r="M7" s="20"/>
      <c r="N7" s="21">
        <f>sum(B7:M7)</f>
        <v>268936.31</v>
      </c>
      <c r="O7" s="22"/>
    </row>
    <row r="8" ht="15.75" customHeight="1">
      <c r="A8" s="12"/>
      <c r="B8" s="57"/>
      <c r="C8" s="57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7">
        <f>988553*1.05+42099.96*1.05</f>
        <v>1082185.608</v>
      </c>
      <c r="C9" s="17">
        <f>1110726.95*1.05+46945.07*1.05</f>
        <v>1215555.621</v>
      </c>
      <c r="D9" s="19">
        <f>1146584.06*1.05+43855.79*1.05</f>
        <v>1249961.843</v>
      </c>
      <c r="E9" s="19">
        <f>1010848.2*1.05+36201*1.05</f>
        <v>1099401.66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4647104.732</v>
      </c>
      <c r="O9" s="22"/>
    </row>
    <row r="10" ht="15.75" customHeight="1">
      <c r="A10" s="26" t="s">
        <v>14</v>
      </c>
      <c r="B10" s="24">
        <v>0.0</v>
      </c>
      <c r="C10" s="24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7">
        <f t="shared" ref="B11:M11" si="4">(B9+B10)/1.05*0.05</f>
        <v>51532.648</v>
      </c>
      <c r="C11" s="17">
        <f t="shared" si="4"/>
        <v>57883.601</v>
      </c>
      <c r="D11" s="17">
        <f t="shared" si="4"/>
        <v>59521.9925</v>
      </c>
      <c r="E11" s="17">
        <f t="shared" si="4"/>
        <v>52352.46</v>
      </c>
      <c r="F11" s="17">
        <f t="shared" si="4"/>
        <v>0</v>
      </c>
      <c r="G11" s="17">
        <f t="shared" si="4"/>
        <v>0</v>
      </c>
      <c r="H11" s="17">
        <f t="shared" si="4"/>
        <v>0</v>
      </c>
      <c r="I11" s="17">
        <f t="shared" si="4"/>
        <v>0</v>
      </c>
      <c r="J11" s="17">
        <f t="shared" si="4"/>
        <v>0</v>
      </c>
      <c r="K11" s="17">
        <f t="shared" si="4"/>
        <v>0</v>
      </c>
      <c r="L11" s="17">
        <f t="shared" si="4"/>
        <v>0</v>
      </c>
      <c r="M11" s="17">
        <f t="shared" si="4"/>
        <v>0</v>
      </c>
      <c r="N11" s="21">
        <f t="shared" si="3"/>
        <v>221290.7015</v>
      </c>
      <c r="O11" s="22"/>
    </row>
    <row r="12" ht="15.75" customHeight="1">
      <c r="A12" s="26" t="s">
        <v>16</v>
      </c>
      <c r="B12" s="17">
        <f>97706.12*1.18+27243.84*1.18+1426.18*1.18</f>
        <v>149123.8452</v>
      </c>
      <c r="C12" s="17">
        <f>109290.42*1.18+36414.29*1.18+1608.55*1.18</f>
        <v>173829.6468</v>
      </c>
      <c r="D12" s="19">
        <f>101993.14*1.18+39031.76*1.18+1346.83*1.18</f>
        <v>167998.6414</v>
      </c>
      <c r="E12" s="19">
        <f>84646.2*1.18+43195*1.18+427.52*1.18</f>
        <v>151357.0896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642309.223</v>
      </c>
      <c r="O12" s="22"/>
    </row>
    <row r="13" ht="15.75" customHeight="1">
      <c r="A13" s="27" t="s">
        <v>17</v>
      </c>
      <c r="B13" s="61">
        <f t="shared" ref="B13:M13" si="5">B9+B10-B11-B12</f>
        <v>881529.1148</v>
      </c>
      <c r="C13" s="61">
        <f t="shared" si="5"/>
        <v>983842.3732</v>
      </c>
      <c r="D13" s="28">
        <f t="shared" si="5"/>
        <v>1022441.209</v>
      </c>
      <c r="E13" s="28">
        <f t="shared" si="5"/>
        <v>895692.1104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3783504.807</v>
      </c>
      <c r="O13" s="30">
        <f t="shared" ref="O13:O18" si="8">N13/$N$7</f>
        <v>14.06840455</v>
      </c>
    </row>
    <row r="14" ht="15.75" customHeight="1">
      <c r="A14" s="26" t="s">
        <v>18</v>
      </c>
      <c r="B14" s="40">
        <f t="shared" ref="B14:M14" si="6">+B3+B4-B5-B7</f>
        <v>282797.2</v>
      </c>
      <c r="C14" s="40">
        <f t="shared" si="6"/>
        <v>306602.66</v>
      </c>
      <c r="D14" s="31">
        <f t="shared" si="6"/>
        <v>318836.55</v>
      </c>
      <c r="E14" s="31">
        <f t="shared" si="6"/>
        <v>321067.75</v>
      </c>
      <c r="F14" s="31">
        <f t="shared" si="6"/>
        <v>296556.7</v>
      </c>
      <c r="G14" s="31">
        <f t="shared" si="6"/>
        <v>274071.3</v>
      </c>
      <c r="H14" s="31">
        <f t="shared" si="6"/>
        <v>17906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1817838.16</v>
      </c>
      <c r="O14" s="32">
        <f t="shared" si="8"/>
        <v>6.759363063</v>
      </c>
    </row>
    <row r="15" ht="15.75" customHeight="1">
      <c r="A15" s="26" t="s">
        <v>19</v>
      </c>
      <c r="B15" s="40">
        <f>60228+16520+4700</f>
        <v>81448</v>
      </c>
      <c r="C15" s="40">
        <f>61718+16520+4900</f>
        <v>83138</v>
      </c>
      <c r="D15" s="59">
        <f>78536+4900+16520+7300</f>
        <v>107256</v>
      </c>
      <c r="E15" s="20">
        <f>103640+16520+8400+7400+7300</f>
        <v>143260</v>
      </c>
      <c r="F15" s="19"/>
      <c r="G15" s="19"/>
      <c r="H15" s="19"/>
      <c r="I15" s="19"/>
      <c r="J15" s="19"/>
      <c r="K15" s="19"/>
      <c r="L15" s="19"/>
      <c r="M15" s="19"/>
      <c r="N15" s="21">
        <f t="shared" si="7"/>
        <v>415102</v>
      </c>
      <c r="O15" s="32">
        <f t="shared" si="8"/>
        <v>1.543495558</v>
      </c>
    </row>
    <row r="16" ht="15.75" customHeight="1">
      <c r="A16" s="26" t="s">
        <v>20</v>
      </c>
      <c r="B16" s="15">
        <v>1497.0</v>
      </c>
      <c r="C16" s="40">
        <f>200+1296</f>
        <v>1496</v>
      </c>
      <c r="D16" s="59">
        <f t="shared" ref="D16:E16" si="9">1296+200</f>
        <v>1496</v>
      </c>
      <c r="E16" s="62">
        <f t="shared" si="9"/>
        <v>1496</v>
      </c>
      <c r="F16" s="20"/>
      <c r="G16" s="19"/>
      <c r="H16" s="19"/>
      <c r="I16" s="19"/>
      <c r="J16" s="19"/>
      <c r="K16" s="20"/>
      <c r="L16" s="20"/>
      <c r="M16" s="20"/>
      <c r="N16" s="21">
        <f t="shared" si="7"/>
        <v>5985</v>
      </c>
      <c r="O16" s="32">
        <f t="shared" si="8"/>
        <v>0.0222543397</v>
      </c>
    </row>
    <row r="17" ht="15.75" customHeight="1">
      <c r="A17" s="26" t="s">
        <v>21</v>
      </c>
      <c r="B17" s="15">
        <v>0.0</v>
      </c>
      <c r="C17" s="15">
        <v>0.0</v>
      </c>
      <c r="D17" s="15">
        <v>0.0</v>
      </c>
      <c r="E17" s="19"/>
      <c r="F17" s="19"/>
      <c r="G17" s="19"/>
      <c r="H17" s="19"/>
      <c r="I17" s="19"/>
      <c r="J17" s="19"/>
      <c r="K17" s="19"/>
      <c r="L17" s="19"/>
      <c r="M17" s="19"/>
      <c r="N17" s="21">
        <f t="shared" si="7"/>
        <v>0</v>
      </c>
      <c r="O17" s="32">
        <f t="shared" si="8"/>
        <v>0</v>
      </c>
    </row>
    <row r="18" ht="15.75" customHeight="1">
      <c r="A18" s="26" t="s">
        <v>22</v>
      </c>
      <c r="B18" s="40">
        <f t="shared" ref="B18:C18" si="10">62336.23+62336.23</f>
        <v>124672.46</v>
      </c>
      <c r="C18" s="40">
        <f t="shared" si="10"/>
        <v>124672.46</v>
      </c>
      <c r="D18" s="31">
        <f>64331.77+64331.77</f>
        <v>128663.54</v>
      </c>
      <c r="E18" s="19">
        <f>97350+97350</f>
        <v>194700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572708.46</v>
      </c>
      <c r="O18" s="32">
        <f t="shared" si="8"/>
        <v>2.129531933</v>
      </c>
    </row>
    <row r="19" ht="15.75" customHeight="1">
      <c r="A19" s="34" t="s">
        <v>23</v>
      </c>
      <c r="B19" s="15">
        <v>926.0</v>
      </c>
      <c r="C19" s="36">
        <f t="shared" ref="C19:M19" si="11">36951.85/4/12</f>
        <v>769.8302083</v>
      </c>
      <c r="D19" s="36">
        <f t="shared" si="11"/>
        <v>769.8302083</v>
      </c>
      <c r="E19" s="36">
        <f t="shared" si="11"/>
        <v>769.8302083</v>
      </c>
      <c r="F19" s="36">
        <f t="shared" si="11"/>
        <v>769.8302083</v>
      </c>
      <c r="G19" s="36">
        <f t="shared" si="11"/>
        <v>769.8302083</v>
      </c>
      <c r="H19" s="36">
        <f t="shared" si="11"/>
        <v>769.8302083</v>
      </c>
      <c r="I19" s="36">
        <f t="shared" si="11"/>
        <v>769.8302083</v>
      </c>
      <c r="J19" s="36">
        <f t="shared" si="11"/>
        <v>769.8302083</v>
      </c>
      <c r="K19" s="36">
        <f t="shared" si="11"/>
        <v>769.8302083</v>
      </c>
      <c r="L19" s="36">
        <f t="shared" si="11"/>
        <v>769.8302083</v>
      </c>
      <c r="M19" s="36">
        <f t="shared" si="11"/>
        <v>769.8302083</v>
      </c>
      <c r="N19" s="21">
        <f t="shared" si="7"/>
        <v>9394.132292</v>
      </c>
      <c r="O19" s="32"/>
    </row>
    <row r="20" ht="15.75" customHeight="1">
      <c r="A20" s="26" t="s">
        <v>24</v>
      </c>
      <c r="B20" s="15">
        <v>5767.0</v>
      </c>
      <c r="C20" s="15">
        <v>5767.0</v>
      </c>
      <c r="D20" s="15">
        <v>5767.0</v>
      </c>
      <c r="E20" s="15">
        <v>5767.0</v>
      </c>
      <c r="F20" s="31"/>
      <c r="G20" s="31"/>
      <c r="H20" s="31"/>
      <c r="I20" s="31"/>
      <c r="J20" s="31"/>
      <c r="K20" s="31"/>
      <c r="L20" s="19"/>
      <c r="M20" s="19"/>
      <c r="N20" s="21">
        <f t="shared" si="7"/>
        <v>23068</v>
      </c>
      <c r="O20" s="32">
        <f t="shared" ref="O20:O29" si="12">N20/$N$7</f>
        <v>0.08577495542</v>
      </c>
    </row>
    <row r="21" ht="15.75" customHeight="1">
      <c r="A21" s="26" t="s">
        <v>25</v>
      </c>
      <c r="B21" s="40">
        <f>225287+14500</f>
        <v>239787</v>
      </c>
      <c r="C21" s="40">
        <f>14500+231504.7</f>
        <v>246004.7</v>
      </c>
      <c r="D21" s="31">
        <f>14500+269742.32</f>
        <v>284242.32</v>
      </c>
      <c r="E21" s="19">
        <f>264442.3</f>
        <v>264442.3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1034476.32</v>
      </c>
      <c r="O21" s="32">
        <f t="shared" si="12"/>
        <v>3.846547608</v>
      </c>
    </row>
    <row r="22" ht="15.75" customHeight="1">
      <c r="A22" s="14" t="s">
        <v>26</v>
      </c>
      <c r="B22" s="40">
        <f t="shared" ref="B22:D22" si="13">4720+2950</f>
        <v>7670</v>
      </c>
      <c r="C22" s="40">
        <f t="shared" si="13"/>
        <v>7670</v>
      </c>
      <c r="D22" s="40">
        <f t="shared" si="13"/>
        <v>7670</v>
      </c>
      <c r="E22" s="19">
        <f>2950+4720</f>
        <v>7670</v>
      </c>
      <c r="F22" s="19"/>
      <c r="G22" s="19"/>
      <c r="H22" s="19"/>
      <c r="I22" s="19"/>
      <c r="J22" s="19"/>
      <c r="K22" s="19"/>
      <c r="L22" s="19"/>
      <c r="M22" s="19"/>
      <c r="N22" s="21">
        <f t="shared" si="7"/>
        <v>30680</v>
      </c>
      <c r="O22" s="32">
        <f t="shared" si="12"/>
        <v>0.1140790546</v>
      </c>
    </row>
    <row r="23" ht="15.75" customHeight="1">
      <c r="A23" s="39" t="s">
        <v>27</v>
      </c>
      <c r="B23" s="40">
        <f t="shared" ref="B23:D23" si="14">2548.75/3</f>
        <v>849.5833333</v>
      </c>
      <c r="C23" s="40">
        <f t="shared" si="14"/>
        <v>849.5833333</v>
      </c>
      <c r="D23" s="40">
        <f t="shared" si="14"/>
        <v>849.5833333</v>
      </c>
      <c r="E23" s="40">
        <f t="shared" ref="E23:G23" si="15">2537/3</f>
        <v>845.6666667</v>
      </c>
      <c r="F23" s="40">
        <f t="shared" si="15"/>
        <v>845.6666667</v>
      </c>
      <c r="G23" s="40">
        <f t="shared" si="15"/>
        <v>845.6666667</v>
      </c>
      <c r="H23" s="31"/>
      <c r="I23" s="31"/>
      <c r="J23" s="31"/>
      <c r="K23" s="19"/>
      <c r="L23" s="19"/>
      <c r="M23" s="19"/>
      <c r="N23" s="21">
        <f t="shared" si="7"/>
        <v>5085.75</v>
      </c>
      <c r="O23" s="32">
        <f t="shared" si="12"/>
        <v>0.01891061121</v>
      </c>
    </row>
    <row r="24" ht="15.75" customHeight="1">
      <c r="A24" s="26" t="s">
        <v>28</v>
      </c>
      <c r="B24" s="15">
        <v>0.0</v>
      </c>
      <c r="C24" s="15">
        <v>740.0</v>
      </c>
      <c r="D24" s="15">
        <v>0.0</v>
      </c>
      <c r="E24" s="35">
        <f>'Misc Exp'!E43</f>
        <v>22426</v>
      </c>
      <c r="F24" s="20"/>
      <c r="G24" s="20"/>
      <c r="H24" s="20"/>
      <c r="I24" s="20"/>
      <c r="J24" s="20"/>
      <c r="K24" s="20"/>
      <c r="L24" s="20"/>
      <c r="M24" s="20"/>
      <c r="N24" s="21">
        <f t="shared" si="7"/>
        <v>23166</v>
      </c>
      <c r="O24" s="32">
        <f t="shared" si="12"/>
        <v>0.08613935396</v>
      </c>
    </row>
    <row r="25" ht="15.75" customHeight="1">
      <c r="A25" s="26" t="s">
        <v>29</v>
      </c>
      <c r="B25" s="15">
        <v>2362.0</v>
      </c>
      <c r="C25" s="15">
        <v>14386.83</v>
      </c>
      <c r="D25" s="59">
        <v>22588.19</v>
      </c>
      <c r="E25" s="20">
        <f>'Misc Exp'!E37</f>
        <v>9284.93</v>
      </c>
      <c r="F25" s="19"/>
      <c r="G25" s="20"/>
      <c r="H25" s="20"/>
      <c r="I25" s="20"/>
      <c r="J25" s="20"/>
      <c r="K25" s="20"/>
      <c r="L25" s="20"/>
      <c r="M25" s="20"/>
      <c r="N25" s="21">
        <f t="shared" si="7"/>
        <v>48621.95</v>
      </c>
      <c r="O25" s="32">
        <f t="shared" si="12"/>
        <v>0.1807935492</v>
      </c>
    </row>
    <row r="26" ht="15.75" customHeight="1">
      <c r="A26" s="26" t="s">
        <v>30</v>
      </c>
      <c r="B26" s="59">
        <v>0.0</v>
      </c>
      <c r="C26" s="59">
        <v>0.0</v>
      </c>
      <c r="D26" s="59">
        <v>0.0</v>
      </c>
      <c r="E26" s="59">
        <v>0.0</v>
      </c>
      <c r="F26" s="19"/>
      <c r="G26" s="19"/>
      <c r="H26" s="19"/>
      <c r="I26" s="19"/>
      <c r="J26" s="19"/>
      <c r="K26" s="19"/>
      <c r="L26" s="19"/>
      <c r="M26" s="19"/>
      <c r="N26" s="21">
        <f t="shared" si="7"/>
        <v>0</v>
      </c>
      <c r="O26" s="32">
        <f t="shared" si="12"/>
        <v>0</v>
      </c>
    </row>
    <row r="27" ht="15.75" customHeight="1">
      <c r="A27" s="26" t="s">
        <v>31</v>
      </c>
      <c r="B27" s="40">
        <f>HO!D31</f>
        <v>134025.3656</v>
      </c>
      <c r="C27" s="40">
        <f>HO!H31</f>
        <v>142887.6403</v>
      </c>
      <c r="D27" s="31">
        <f>HO!L31</f>
        <v>145818.9662</v>
      </c>
      <c r="E27" s="31">
        <f>HO!P31</f>
        <v>128413.7838</v>
      </c>
      <c r="F27" s="19" t="str">
        <f>HO!D47</f>
        <v>#DIV/0!</v>
      </c>
      <c r="G27" s="19" t="str">
        <f>HO!H47</f>
        <v>#DIV/0!</v>
      </c>
      <c r="H27" s="19" t="str">
        <f>HO!L47</f>
        <v>#DIV/0!</v>
      </c>
      <c r="I27" s="19" t="str">
        <f>HO!P47</f>
        <v>#DIV/0!</v>
      </c>
      <c r="J27" s="19" t="str">
        <f>HO!D62</f>
        <v>#DIV/0!</v>
      </c>
      <c r="K27" s="19" t="str">
        <f>HO!H62</f>
        <v>#DIV/0!</v>
      </c>
      <c r="L27" s="19" t="str">
        <f>HO!L62</f>
        <v>#DIV/0!</v>
      </c>
      <c r="M27" s="19" t="str">
        <f>HO!P62</f>
        <v>#DIV/0!</v>
      </c>
      <c r="N27" s="21" t="str">
        <f t="shared" si="7"/>
        <v>#DIV/0!</v>
      </c>
      <c r="O27" s="32" t="str">
        <f t="shared" si="12"/>
        <v>#DIV/0!</v>
      </c>
    </row>
    <row r="28" ht="15.75" customHeight="1">
      <c r="A28" s="41" t="s">
        <v>32</v>
      </c>
      <c r="B28" s="63">
        <f t="shared" ref="B28:M28" si="16">+SUM(B14:B27)</f>
        <v>881801.609</v>
      </c>
      <c r="C28" s="42">
        <f t="shared" si="16"/>
        <v>934984.7038</v>
      </c>
      <c r="D28" s="42">
        <f t="shared" si="16"/>
        <v>1023957.98</v>
      </c>
      <c r="E28" s="42">
        <f t="shared" si="16"/>
        <v>1100143.261</v>
      </c>
      <c r="F28" s="43" t="str">
        <f t="shared" si="16"/>
        <v>#DIV/0!</v>
      </c>
      <c r="G28" s="42" t="str">
        <f t="shared" si="16"/>
        <v>#DIV/0!</v>
      </c>
      <c r="H28" s="42" t="str">
        <f t="shared" si="16"/>
        <v>#DIV/0!</v>
      </c>
      <c r="I28" s="42" t="str">
        <f t="shared" si="16"/>
        <v>#DIV/0!</v>
      </c>
      <c r="J28" s="42" t="str">
        <f t="shared" si="16"/>
        <v>#DIV/0!</v>
      </c>
      <c r="K28" s="42" t="str">
        <f t="shared" si="16"/>
        <v>#DIV/0!</v>
      </c>
      <c r="L28" s="42" t="str">
        <f t="shared" si="16"/>
        <v>#DIV/0!</v>
      </c>
      <c r="M28" s="42" t="str">
        <f t="shared" si="16"/>
        <v>#DIV/0!</v>
      </c>
      <c r="N28" s="42" t="str">
        <f t="shared" si="7"/>
        <v>#DIV/0!</v>
      </c>
      <c r="O28" s="44" t="str">
        <f t="shared" si="12"/>
        <v>#DIV/0!</v>
      </c>
    </row>
    <row r="29" ht="15.75" customHeight="1">
      <c r="A29" s="45" t="s">
        <v>33</v>
      </c>
      <c r="B29" s="46">
        <f t="shared" ref="B29:M29" si="17">B13-B28</f>
        <v>-272.4941569</v>
      </c>
      <c r="C29" s="46">
        <f t="shared" si="17"/>
        <v>48857.66939</v>
      </c>
      <c r="D29" s="46">
        <f t="shared" si="17"/>
        <v>-1516.771173</v>
      </c>
      <c r="E29" s="46">
        <f t="shared" si="17"/>
        <v>-204451.1503</v>
      </c>
      <c r="F29" s="46" t="str">
        <f t="shared" si="17"/>
        <v>#DIV/0!</v>
      </c>
      <c r="G29" s="46" t="str">
        <f t="shared" si="17"/>
        <v>#DIV/0!</v>
      </c>
      <c r="H29" s="46" t="str">
        <f t="shared" si="17"/>
        <v>#DIV/0!</v>
      </c>
      <c r="I29" s="46" t="str">
        <f t="shared" si="17"/>
        <v>#DIV/0!</v>
      </c>
      <c r="J29" s="46" t="str">
        <f t="shared" si="17"/>
        <v>#DIV/0!</v>
      </c>
      <c r="K29" s="46" t="str">
        <f t="shared" si="17"/>
        <v>#DIV/0!</v>
      </c>
      <c r="L29" s="46" t="str">
        <f t="shared" si="17"/>
        <v>#DIV/0!</v>
      </c>
      <c r="M29" s="46" t="str">
        <f t="shared" si="17"/>
        <v>#DIV/0!</v>
      </c>
      <c r="N29" s="46" t="str">
        <f t="shared" si="7"/>
        <v>#DIV/0!</v>
      </c>
      <c r="O29" s="47" t="str">
        <f t="shared" si="12"/>
        <v>#DIV/0!</v>
      </c>
    </row>
    <row r="30" ht="15.75" customHeight="1">
      <c r="A30" s="48" t="s">
        <v>34</v>
      </c>
      <c r="B30" s="49">
        <f t="shared" ref="B30:M30" si="18">(B14/B13)</f>
        <v>0.3208030175</v>
      </c>
      <c r="C30" s="49">
        <f t="shared" si="18"/>
        <v>0.3116379903</v>
      </c>
      <c r="D30" s="49">
        <f t="shared" si="18"/>
        <v>0.3118385168</v>
      </c>
      <c r="E30" s="49">
        <f t="shared" si="18"/>
        <v>0.3584577181</v>
      </c>
      <c r="F30" s="50" t="str">
        <f t="shared" si="18"/>
        <v>#DIV/0!</v>
      </c>
      <c r="G30" s="49" t="str">
        <f t="shared" si="18"/>
        <v>#DIV/0!</v>
      </c>
      <c r="H30" s="49" t="str">
        <f t="shared" si="18"/>
        <v>#DIV/0!</v>
      </c>
      <c r="I30" s="49" t="str">
        <f t="shared" si="18"/>
        <v>#DIV/0!</v>
      </c>
      <c r="J30" s="49" t="str">
        <f t="shared" si="18"/>
        <v>#DIV/0!</v>
      </c>
      <c r="K30" s="49" t="str">
        <f t="shared" si="18"/>
        <v>#DIV/0!</v>
      </c>
      <c r="L30" s="49" t="str">
        <f t="shared" si="18"/>
        <v>#DIV/0!</v>
      </c>
      <c r="M30" s="49" t="str">
        <f t="shared" si="18"/>
        <v>#DIV/0!</v>
      </c>
      <c r="N30" s="51"/>
      <c r="O30" s="51"/>
    </row>
    <row r="31" ht="15.75" customHeight="1"/>
    <row r="32" ht="15.75" customHeight="1">
      <c r="B32" s="65">
        <f t="shared" ref="B32:M32" si="19">B29+B27</f>
        <v>133752.8715</v>
      </c>
      <c r="C32" s="65">
        <f t="shared" si="19"/>
        <v>191745.3097</v>
      </c>
      <c r="D32" s="65">
        <f t="shared" si="19"/>
        <v>144302.1951</v>
      </c>
      <c r="E32" s="65">
        <f t="shared" si="19"/>
        <v>-76037.36647</v>
      </c>
      <c r="F32" s="65" t="str">
        <f t="shared" si="19"/>
        <v>#DIV/0!</v>
      </c>
      <c r="G32" s="65" t="str">
        <f t="shared" si="19"/>
        <v>#DIV/0!</v>
      </c>
      <c r="H32" s="65" t="str">
        <f t="shared" si="19"/>
        <v>#DIV/0!</v>
      </c>
      <c r="I32" s="65" t="str">
        <f t="shared" si="19"/>
        <v>#DIV/0!</v>
      </c>
      <c r="J32" s="65" t="str">
        <f t="shared" si="19"/>
        <v>#DIV/0!</v>
      </c>
      <c r="K32" s="65" t="str">
        <f t="shared" si="19"/>
        <v>#DIV/0!</v>
      </c>
      <c r="L32" s="65" t="str">
        <f t="shared" si="19"/>
        <v>#DIV/0!</v>
      </c>
      <c r="M32" s="65" t="str">
        <f t="shared" si="19"/>
        <v>#DIV/0!</v>
      </c>
    </row>
    <row r="33" ht="15.75" customHeight="1">
      <c r="B33" s="53">
        <f t="shared" ref="B33:M33" si="20">B32/B13</f>
        <v>0.1517282518</v>
      </c>
      <c r="C33" s="53">
        <f t="shared" si="20"/>
        <v>0.1948943397</v>
      </c>
      <c r="D33" s="53">
        <f t="shared" si="20"/>
        <v>0.1411349561</v>
      </c>
      <c r="E33" s="53">
        <f t="shared" si="20"/>
        <v>-0.0848923035</v>
      </c>
      <c r="F33" s="53" t="str">
        <f t="shared" si="20"/>
        <v>#DIV/0!</v>
      </c>
      <c r="G33" s="53" t="str">
        <f t="shared" si="20"/>
        <v>#DIV/0!</v>
      </c>
      <c r="H33" s="53" t="str">
        <f t="shared" si="20"/>
        <v>#DIV/0!</v>
      </c>
      <c r="I33" s="53" t="str">
        <f t="shared" si="20"/>
        <v>#DIV/0!</v>
      </c>
      <c r="J33" s="53" t="str">
        <f t="shared" si="20"/>
        <v>#DIV/0!</v>
      </c>
      <c r="K33" s="53" t="str">
        <f t="shared" si="20"/>
        <v>#DIV/0!</v>
      </c>
      <c r="L33" s="53" t="str">
        <f t="shared" si="20"/>
        <v>#DIV/0!</v>
      </c>
      <c r="M33" s="53" t="str">
        <f t="shared" si="20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36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59">
        <v>69049.0</v>
      </c>
      <c r="C3" s="60">
        <f t="shared" ref="C3:M3" si="1">B7</f>
        <v>77139.91</v>
      </c>
      <c r="D3" s="19">
        <f t="shared" si="1"/>
        <v>64823.23</v>
      </c>
      <c r="E3" s="19">
        <f t="shared" si="1"/>
        <v>67658</v>
      </c>
      <c r="F3" s="19">
        <f t="shared" si="1"/>
        <v>77230</v>
      </c>
      <c r="G3" s="19">
        <f t="shared" si="1"/>
        <v>74378</v>
      </c>
      <c r="H3" s="19">
        <f t="shared" si="1"/>
        <v>63965.93</v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38">
        <v>541517.59</v>
      </c>
      <c r="C4" s="38">
        <v>601593.16</v>
      </c>
      <c r="D4" s="20">
        <f>493572.48+3266</f>
        <v>496838.48</v>
      </c>
      <c r="E4" s="20">
        <v>477775.32</v>
      </c>
      <c r="F4" s="20">
        <v>491685.0</v>
      </c>
      <c r="G4" s="20">
        <v>388720.72</v>
      </c>
      <c r="H4" s="20"/>
      <c r="I4" s="20"/>
      <c r="J4" s="20"/>
      <c r="K4" s="20"/>
      <c r="L4" s="20"/>
      <c r="M4" s="20"/>
      <c r="N4" s="21">
        <f>sum(B4:M4)</f>
        <v>2998130.27</v>
      </c>
      <c r="O4" s="22"/>
    </row>
    <row r="5" ht="15.75" customHeight="1">
      <c r="A5" s="14" t="s">
        <v>10</v>
      </c>
      <c r="B5" s="38">
        <v>1206.0</v>
      </c>
      <c r="C5" s="38">
        <v>0.0</v>
      </c>
      <c r="D5" s="20">
        <v>242.92</v>
      </c>
      <c r="E5" s="20">
        <v>0.0</v>
      </c>
      <c r="F5" s="20">
        <v>0.0</v>
      </c>
      <c r="G5" s="20">
        <v>0.0</v>
      </c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38">
        <v>18484.72</v>
      </c>
      <c r="C6" s="38">
        <v>20828.93</v>
      </c>
      <c r="D6" s="20">
        <v>18211.0</v>
      </c>
      <c r="E6" s="20">
        <v>17324.0</v>
      </c>
      <c r="F6" s="20">
        <v>18272.0</v>
      </c>
      <c r="G6" s="20">
        <v>16478.0</v>
      </c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38">
        <v>77139.91</v>
      </c>
      <c r="C7" s="38">
        <v>64823.23</v>
      </c>
      <c r="D7" s="20">
        <v>67658.0</v>
      </c>
      <c r="E7" s="20">
        <v>77230.0</v>
      </c>
      <c r="F7" s="20">
        <v>74378.0</v>
      </c>
      <c r="G7" s="20">
        <v>63965.93</v>
      </c>
      <c r="H7" s="20"/>
      <c r="I7" s="20"/>
      <c r="J7" s="20"/>
      <c r="K7" s="20"/>
      <c r="L7" s="20"/>
      <c r="M7" s="20"/>
      <c r="N7" s="21">
        <f>sum(B7:M7)</f>
        <v>425195.07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2047749.44*1.05+50302*1.05</f>
        <v>2202954.012</v>
      </c>
      <c r="C9" s="19">
        <f>2421033.2*1.05+52061.44*1.05</f>
        <v>2596749.372</v>
      </c>
      <c r="D9" s="19">
        <f>1923203.88*1.05+38192*1.05</f>
        <v>2059465.674</v>
      </c>
      <c r="E9" s="19">
        <f>1785484*1.05+31537.47*1.05</f>
        <v>1907872.544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8767041.602</v>
      </c>
      <c r="O9" s="22"/>
    </row>
    <row r="10" ht="15.75" customHeight="1">
      <c r="A10" s="26" t="s">
        <v>14</v>
      </c>
      <c r="B10" s="20">
        <v>0.0</v>
      </c>
      <c r="C10" s="20">
        <v>0.0</v>
      </c>
      <c r="D10" s="20">
        <v>0.0</v>
      </c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104902.572</v>
      </c>
      <c r="C11" s="19">
        <f t="shared" si="4"/>
        <v>123654.732</v>
      </c>
      <c r="D11" s="19">
        <f t="shared" si="4"/>
        <v>98069.794</v>
      </c>
      <c r="E11" s="19">
        <f t="shared" si="4"/>
        <v>90851.0735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417478.1715</v>
      </c>
      <c r="O11" s="22"/>
    </row>
    <row r="12" ht="15.75" customHeight="1">
      <c r="A12" s="26" t="s">
        <v>16</v>
      </c>
      <c r="B12" s="19">
        <f>118273.79*1.18+41914.07*1.18+4216.5*1.18</f>
        <v>193997.1448</v>
      </c>
      <c r="C12" s="19">
        <f>124104.37*1.18+42919.89*1.18+4863.66*1.18</f>
        <v>202827.7456</v>
      </c>
      <c r="D12" s="19">
        <f>90874.44*1.18+36606.03*1.18+4592.78*1.18</f>
        <v>155846.435</v>
      </c>
      <c r="E12" s="19">
        <f>74524*1.18+32451.36*1.18+2685*1.18</f>
        <v>129399.2248</v>
      </c>
      <c r="F12" s="19"/>
      <c r="G12" s="20"/>
      <c r="H12" s="19"/>
      <c r="I12" s="19"/>
      <c r="J12" s="19"/>
      <c r="K12" s="19"/>
      <c r="L12" s="19"/>
      <c r="M12" s="19"/>
      <c r="N12" s="21">
        <f t="shared" si="3"/>
        <v>682070.5502</v>
      </c>
      <c r="O12" s="22"/>
    </row>
    <row r="13" ht="15.75" customHeight="1">
      <c r="A13" s="27" t="s">
        <v>17</v>
      </c>
      <c r="B13" s="28">
        <f t="shared" ref="B13:M13" si="5">B9+B10-B11-B12</f>
        <v>1904054.295</v>
      </c>
      <c r="C13" s="28">
        <f t="shared" si="5"/>
        <v>2270266.894</v>
      </c>
      <c r="D13" s="28">
        <f t="shared" si="5"/>
        <v>1805549.445</v>
      </c>
      <c r="E13" s="28">
        <f t="shared" si="5"/>
        <v>1687622.245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7667492.88</v>
      </c>
      <c r="O13" s="30">
        <f>N13/$N$7</f>
        <v>18.03288284</v>
      </c>
    </row>
    <row r="14" ht="15.75" customHeight="1">
      <c r="A14" s="26" t="s">
        <v>18</v>
      </c>
      <c r="B14" s="31">
        <f t="shared" ref="B14:M14" si="6">+B3+B4-B5-B7</f>
        <v>532220.68</v>
      </c>
      <c r="C14" s="31">
        <f t="shared" si="6"/>
        <v>613909.84</v>
      </c>
      <c r="D14" s="31">
        <f t="shared" si="6"/>
        <v>493760.79</v>
      </c>
      <c r="E14" s="31">
        <f t="shared" si="6"/>
        <v>468203.32</v>
      </c>
      <c r="F14" s="31">
        <f t="shared" si="6"/>
        <v>494537</v>
      </c>
      <c r="G14" s="31">
        <f t="shared" si="6"/>
        <v>399132.79</v>
      </c>
      <c r="H14" s="31">
        <f t="shared" si="6"/>
        <v>63965.93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3065730.35</v>
      </c>
      <c r="O14" s="32">
        <f t="shared" ref="O14:O29" si="8">N14/$N$13</f>
        <v>0.3998347828</v>
      </c>
    </row>
    <row r="15" ht="15.75" customHeight="1">
      <c r="A15" s="26" t="s">
        <v>19</v>
      </c>
      <c r="B15" s="31">
        <f>74869+23600+2100</f>
        <v>100569</v>
      </c>
      <c r="C15" s="31">
        <f>46703+23600+6300</f>
        <v>76603</v>
      </c>
      <c r="D15" s="59">
        <f>94133+6300+23600+2100</f>
        <v>126133</v>
      </c>
      <c r="E15" s="59">
        <f>117988+23600+3800</f>
        <v>145388</v>
      </c>
      <c r="F15" s="31"/>
      <c r="G15" s="31"/>
      <c r="H15" s="31"/>
      <c r="I15" s="31"/>
      <c r="J15" s="31"/>
      <c r="K15" s="31"/>
      <c r="L15" s="31"/>
      <c r="M15" s="31"/>
      <c r="N15" s="21">
        <f t="shared" si="7"/>
        <v>448693</v>
      </c>
      <c r="O15" s="32">
        <f t="shared" si="8"/>
        <v>0.05851886751</v>
      </c>
    </row>
    <row r="16" ht="15.75" customHeight="1">
      <c r="A16" s="26" t="s">
        <v>20</v>
      </c>
      <c r="B16" s="59">
        <v>1637.0</v>
      </c>
      <c r="C16" s="59">
        <v>1177.0</v>
      </c>
      <c r="D16" s="59">
        <v>1414.0</v>
      </c>
      <c r="E16" s="62">
        <v>1414.0</v>
      </c>
      <c r="F16" s="31"/>
      <c r="G16" s="31"/>
      <c r="H16" s="31"/>
      <c r="I16" s="31"/>
      <c r="J16" s="31"/>
      <c r="K16" s="31"/>
      <c r="L16" s="31"/>
      <c r="M16" s="31"/>
      <c r="N16" s="21">
        <f t="shared" si="7"/>
        <v>5642</v>
      </c>
      <c r="O16" s="32">
        <f t="shared" si="8"/>
        <v>0.0007358337449</v>
      </c>
    </row>
    <row r="17" ht="15.75" customHeight="1">
      <c r="A17" s="26" t="s">
        <v>21</v>
      </c>
      <c r="B17" s="59">
        <v>0.0</v>
      </c>
      <c r="C17" s="59">
        <v>0.0</v>
      </c>
      <c r="D17" s="59">
        <v>0.0</v>
      </c>
      <c r="E17" s="59">
        <v>0.0</v>
      </c>
      <c r="F17" s="31"/>
      <c r="G17" s="31"/>
      <c r="H17" s="31"/>
      <c r="I17" s="31"/>
      <c r="J17" s="31"/>
      <c r="K17" s="31"/>
      <c r="L17" s="31"/>
      <c r="M17" s="31"/>
      <c r="N17" s="21">
        <f t="shared" si="7"/>
        <v>0</v>
      </c>
      <c r="O17" s="32">
        <f t="shared" si="8"/>
        <v>0</v>
      </c>
    </row>
    <row r="18" ht="15.75" customHeight="1">
      <c r="A18" s="26" t="s">
        <v>22</v>
      </c>
      <c r="B18" s="31">
        <f t="shared" ref="B18:E18" si="9">123900+123900</f>
        <v>247800</v>
      </c>
      <c r="C18" s="31">
        <f t="shared" si="9"/>
        <v>247800</v>
      </c>
      <c r="D18" s="31">
        <f t="shared" si="9"/>
        <v>247800</v>
      </c>
      <c r="E18" s="31">
        <f t="shared" si="9"/>
        <v>247800</v>
      </c>
      <c r="F18" s="31"/>
      <c r="G18" s="31"/>
      <c r="H18" s="31"/>
      <c r="I18" s="31"/>
      <c r="J18" s="31"/>
      <c r="K18" s="31"/>
      <c r="L18" s="31"/>
      <c r="M18" s="31"/>
      <c r="N18" s="21">
        <f t="shared" si="7"/>
        <v>991200</v>
      </c>
      <c r="O18" s="32">
        <f t="shared" si="8"/>
        <v>0.1292730252</v>
      </c>
    </row>
    <row r="19" ht="15.75" customHeight="1">
      <c r="A19" s="34" t="s">
        <v>23</v>
      </c>
      <c r="B19" s="31">
        <f>1393</f>
        <v>1393</v>
      </c>
      <c r="C19" s="36">
        <f t="shared" ref="C19:M19" si="10">36951.85/4/12</f>
        <v>769.8302083</v>
      </c>
      <c r="D19" s="36">
        <f t="shared" si="10"/>
        <v>769.8302083</v>
      </c>
      <c r="E19" s="36">
        <f t="shared" si="10"/>
        <v>769.8302083</v>
      </c>
      <c r="F19" s="36">
        <f t="shared" si="10"/>
        <v>769.8302083</v>
      </c>
      <c r="G19" s="36">
        <f t="shared" si="10"/>
        <v>769.8302083</v>
      </c>
      <c r="H19" s="36">
        <f t="shared" si="10"/>
        <v>769.8302083</v>
      </c>
      <c r="I19" s="36">
        <f t="shared" si="10"/>
        <v>769.8302083</v>
      </c>
      <c r="J19" s="36">
        <f t="shared" si="10"/>
        <v>769.8302083</v>
      </c>
      <c r="K19" s="36">
        <f t="shared" si="10"/>
        <v>769.8302083</v>
      </c>
      <c r="L19" s="36">
        <f t="shared" si="10"/>
        <v>769.8302083</v>
      </c>
      <c r="M19" s="36">
        <f t="shared" si="10"/>
        <v>769.8302083</v>
      </c>
      <c r="N19" s="21">
        <f t="shared" si="7"/>
        <v>9861.132292</v>
      </c>
      <c r="O19" s="32">
        <f t="shared" si="8"/>
        <v>0.001286096048</v>
      </c>
    </row>
    <row r="20" ht="15.75" customHeight="1">
      <c r="A20" s="26" t="s">
        <v>24</v>
      </c>
      <c r="B20" s="59">
        <v>12630.0</v>
      </c>
      <c r="C20" s="59">
        <v>12630.0</v>
      </c>
      <c r="D20" s="59">
        <v>12630.0</v>
      </c>
      <c r="E20" s="59">
        <v>12630.0</v>
      </c>
      <c r="F20" s="31"/>
      <c r="G20" s="31"/>
      <c r="H20" s="31"/>
      <c r="I20" s="31"/>
      <c r="J20" s="31"/>
      <c r="K20" s="31"/>
      <c r="L20" s="31"/>
      <c r="M20" s="59"/>
      <c r="N20" s="21">
        <f t="shared" si="7"/>
        <v>50520</v>
      </c>
      <c r="O20" s="32">
        <f t="shared" si="8"/>
        <v>0.006588855157</v>
      </c>
    </row>
    <row r="21" ht="15.75" customHeight="1">
      <c r="A21" s="26" t="s">
        <v>25</v>
      </c>
      <c r="B21" s="31">
        <f>331156+12630</f>
        <v>343786</v>
      </c>
      <c r="C21" s="31">
        <f>12630+339641.59</f>
        <v>352271.59</v>
      </c>
      <c r="D21" s="31">
        <f>12630+351254.05</f>
        <v>363884.05</v>
      </c>
      <c r="E21" s="31">
        <f>363599.07+12630</f>
        <v>376229.07</v>
      </c>
      <c r="F21" s="31"/>
      <c r="G21" s="31"/>
      <c r="H21" s="31"/>
      <c r="I21" s="31"/>
      <c r="J21" s="31"/>
      <c r="K21" s="31"/>
      <c r="L21" s="31"/>
      <c r="M21" s="31"/>
      <c r="N21" s="21">
        <f t="shared" si="7"/>
        <v>1436170.71</v>
      </c>
      <c r="O21" s="32">
        <f t="shared" si="8"/>
        <v>0.1873064289</v>
      </c>
    </row>
    <row r="22" ht="15.75" customHeight="1">
      <c r="A22" s="14" t="s">
        <v>26</v>
      </c>
      <c r="B22" s="31">
        <f t="shared" ref="B22:D22" si="11">4720+2950</f>
        <v>7670</v>
      </c>
      <c r="C22" s="31">
        <f t="shared" si="11"/>
        <v>7670</v>
      </c>
      <c r="D22" s="31">
        <f t="shared" si="11"/>
        <v>7670</v>
      </c>
      <c r="E22" s="31">
        <f>2950+4720</f>
        <v>7670</v>
      </c>
      <c r="F22" s="31"/>
      <c r="G22" s="31"/>
      <c r="H22" s="31"/>
      <c r="I22" s="31"/>
      <c r="J22" s="31"/>
      <c r="K22" s="31"/>
      <c r="L22" s="31"/>
      <c r="M22" s="31"/>
      <c r="N22" s="21">
        <f t="shared" si="7"/>
        <v>30680</v>
      </c>
      <c r="O22" s="32">
        <f t="shared" si="8"/>
        <v>0.004001307922</v>
      </c>
    </row>
    <row r="23" ht="15.75" customHeight="1">
      <c r="A23" s="39" t="s">
        <v>27</v>
      </c>
      <c r="B23" s="40">
        <f t="shared" ref="B23:D23" si="12">2548.75/3</f>
        <v>849.5833333</v>
      </c>
      <c r="C23" s="40">
        <f t="shared" si="12"/>
        <v>849.5833333</v>
      </c>
      <c r="D23" s="40">
        <f t="shared" si="12"/>
        <v>849.5833333</v>
      </c>
      <c r="E23" s="40">
        <f t="shared" ref="E23:G23" si="13">2537/3</f>
        <v>845.6666667</v>
      </c>
      <c r="F23" s="40">
        <f t="shared" si="13"/>
        <v>845.6666667</v>
      </c>
      <c r="G23" s="40">
        <f t="shared" si="13"/>
        <v>845.6666667</v>
      </c>
      <c r="H23" s="31"/>
      <c r="I23" s="31"/>
      <c r="J23" s="31"/>
      <c r="K23" s="31"/>
      <c r="L23" s="31"/>
      <c r="M23" s="31"/>
      <c r="N23" s="21">
        <f t="shared" si="7"/>
        <v>5085.75</v>
      </c>
      <c r="O23" s="32">
        <f t="shared" si="8"/>
        <v>0.0006632872152</v>
      </c>
    </row>
    <row r="24" ht="15.75" customHeight="1">
      <c r="A24" s="26" t="s">
        <v>28</v>
      </c>
      <c r="B24" s="59">
        <v>0.0</v>
      </c>
      <c r="C24" s="59">
        <v>0.0</v>
      </c>
      <c r="D24" s="59">
        <v>59936.0</v>
      </c>
      <c r="E24" s="31">
        <f>'Misc Exp'!F43</f>
        <v>10420</v>
      </c>
      <c r="F24" s="31"/>
      <c r="G24" s="31"/>
      <c r="H24" s="31"/>
      <c r="I24" s="59"/>
      <c r="J24" s="59"/>
      <c r="K24" s="59"/>
      <c r="L24" s="59"/>
      <c r="M24" s="59"/>
      <c r="N24" s="21">
        <f t="shared" si="7"/>
        <v>70356</v>
      </c>
      <c r="O24" s="32">
        <f t="shared" si="8"/>
        <v>0.009175880709</v>
      </c>
    </row>
    <row r="25" ht="15.75" customHeight="1">
      <c r="A25" s="26" t="s">
        <v>29</v>
      </c>
      <c r="B25" s="59">
        <v>124414.0</v>
      </c>
      <c r="C25" s="59">
        <v>21643.15</v>
      </c>
      <c r="D25" s="59">
        <v>22126.0</v>
      </c>
      <c r="E25" s="31">
        <f>'Misc Exp'!F37</f>
        <v>25835.97</v>
      </c>
      <c r="F25" s="31"/>
      <c r="G25" s="31"/>
      <c r="H25" s="31"/>
      <c r="I25" s="59"/>
      <c r="J25" s="59"/>
      <c r="K25" s="59"/>
      <c r="L25" s="59"/>
      <c r="M25" s="59"/>
      <c r="N25" s="21">
        <f t="shared" si="7"/>
        <v>194019.12</v>
      </c>
      <c r="O25" s="32">
        <f t="shared" si="8"/>
        <v>0.02530411479</v>
      </c>
    </row>
    <row r="26" ht="15.75" customHeight="1">
      <c r="A26" s="26" t="s">
        <v>30</v>
      </c>
      <c r="B26" s="59">
        <v>0.0</v>
      </c>
      <c r="C26" s="59">
        <v>0.0</v>
      </c>
      <c r="D26" s="59">
        <v>0.0</v>
      </c>
      <c r="E26" s="59">
        <v>0.0</v>
      </c>
      <c r="F26" s="31"/>
      <c r="G26" s="31"/>
      <c r="H26" s="31"/>
      <c r="I26" s="31"/>
      <c r="J26" s="31"/>
      <c r="K26" s="31"/>
      <c r="L26" s="31"/>
      <c r="M26" s="31"/>
      <c r="N26" s="21">
        <f t="shared" si="7"/>
        <v>0</v>
      </c>
      <c r="O26" s="32">
        <f t="shared" si="8"/>
        <v>0</v>
      </c>
    </row>
    <row r="27" ht="15.75" customHeight="1">
      <c r="A27" s="26" t="s">
        <v>31</v>
      </c>
      <c r="B27" s="31">
        <f>HO!D33</f>
        <v>289487.4018</v>
      </c>
      <c r="C27" s="31">
        <f>HO!H33</f>
        <v>329720.5814</v>
      </c>
      <c r="D27" s="31">
        <f>HO!L33</f>
        <v>257504.6382</v>
      </c>
      <c r="E27" s="31">
        <f>HO!P33</f>
        <v>241951.3978</v>
      </c>
      <c r="F27" s="31" t="str">
        <f>HO!D49</f>
        <v>#DIV/0!</v>
      </c>
      <c r="G27" s="31" t="str">
        <f>HO!H49</f>
        <v>#DIV/0!</v>
      </c>
      <c r="H27" s="31" t="str">
        <f>HO!L49</f>
        <v>#DIV/0!</v>
      </c>
      <c r="I27" s="31" t="str">
        <f>HO!P49</f>
        <v>#DIV/0!</v>
      </c>
      <c r="J27" s="31" t="str">
        <f>HO!D64</f>
        <v>#DIV/0!</v>
      </c>
      <c r="K27" s="31" t="str">
        <f>HO!H64</f>
        <v>#DIV/0!</v>
      </c>
      <c r="L27" s="31" t="str">
        <f>HO!L64</f>
        <v>#DIV/0!</v>
      </c>
      <c r="M27" s="31" t="str">
        <f>HO!P64</f>
        <v>#DIV/0!</v>
      </c>
      <c r="N27" s="21" t="str">
        <f t="shared" si="7"/>
        <v>#DIV/0!</v>
      </c>
      <c r="O27" s="32" t="str">
        <f t="shared" si="8"/>
        <v>#DIV/0!</v>
      </c>
    </row>
    <row r="28" ht="15.75" customHeight="1">
      <c r="A28" s="41" t="s">
        <v>32</v>
      </c>
      <c r="B28" s="42">
        <f t="shared" ref="B28:M28" si="14">+SUM(B14:B27)</f>
        <v>1662456.665</v>
      </c>
      <c r="C28" s="42">
        <f t="shared" si="14"/>
        <v>1665044.575</v>
      </c>
      <c r="D28" s="42">
        <f t="shared" si="14"/>
        <v>1594477.892</v>
      </c>
      <c r="E28" s="42">
        <f t="shared" si="14"/>
        <v>1539157.255</v>
      </c>
      <c r="F28" s="43" t="str">
        <f t="shared" si="14"/>
        <v>#DIV/0!</v>
      </c>
      <c r="G28" s="42" t="str">
        <f t="shared" si="14"/>
        <v>#DIV/0!</v>
      </c>
      <c r="H28" s="42" t="str">
        <f t="shared" si="14"/>
        <v>#DIV/0!</v>
      </c>
      <c r="I28" s="42" t="str">
        <f t="shared" si="14"/>
        <v>#DIV/0!</v>
      </c>
      <c r="J28" s="42" t="str">
        <f t="shared" si="14"/>
        <v>#DIV/0!</v>
      </c>
      <c r="K28" s="42" t="str">
        <f t="shared" si="14"/>
        <v>#DIV/0!</v>
      </c>
      <c r="L28" s="42" t="str">
        <f t="shared" si="14"/>
        <v>#DIV/0!</v>
      </c>
      <c r="M28" s="42" t="str">
        <f t="shared" si="14"/>
        <v>#DIV/0!</v>
      </c>
      <c r="N28" s="42" t="str">
        <f t="shared" si="7"/>
        <v>#DIV/0!</v>
      </c>
      <c r="O28" s="44" t="str">
        <f t="shared" si="8"/>
        <v>#DIV/0!</v>
      </c>
    </row>
    <row r="29" ht="15.75" customHeight="1">
      <c r="A29" s="45" t="s">
        <v>33</v>
      </c>
      <c r="B29" s="46">
        <f t="shared" ref="B29:M29" si="15">B13-B28</f>
        <v>241597.63</v>
      </c>
      <c r="C29" s="46">
        <f t="shared" si="15"/>
        <v>605222.3194</v>
      </c>
      <c r="D29" s="46">
        <f t="shared" si="15"/>
        <v>211071.5532</v>
      </c>
      <c r="E29" s="46">
        <f t="shared" si="15"/>
        <v>148464.9905</v>
      </c>
      <c r="F29" s="46" t="str">
        <f t="shared" si="15"/>
        <v>#DIV/0!</v>
      </c>
      <c r="G29" s="46" t="str">
        <f t="shared" si="15"/>
        <v>#DIV/0!</v>
      </c>
      <c r="H29" s="46" t="str">
        <f t="shared" si="15"/>
        <v>#DIV/0!</v>
      </c>
      <c r="I29" s="46" t="str">
        <f t="shared" si="15"/>
        <v>#DIV/0!</v>
      </c>
      <c r="J29" s="46" t="str">
        <f t="shared" si="15"/>
        <v>#DIV/0!</v>
      </c>
      <c r="K29" s="46" t="str">
        <f t="shared" si="15"/>
        <v>#DIV/0!</v>
      </c>
      <c r="L29" s="46" t="str">
        <f t="shared" si="15"/>
        <v>#DIV/0!</v>
      </c>
      <c r="M29" s="46" t="str">
        <f t="shared" si="15"/>
        <v>#DIV/0!</v>
      </c>
      <c r="N29" s="46" t="str">
        <f t="shared" si="7"/>
        <v>#DIV/0!</v>
      </c>
      <c r="O29" s="47" t="str">
        <f t="shared" si="8"/>
        <v>#DIV/0!</v>
      </c>
    </row>
    <row r="30" ht="15.75" customHeight="1">
      <c r="A30" s="48" t="s">
        <v>34</v>
      </c>
      <c r="B30" s="49">
        <f t="shared" ref="B30:M30" si="16">(B14/B13)</f>
        <v>0.2795196972</v>
      </c>
      <c r="C30" s="49">
        <f t="shared" si="16"/>
        <v>0.2704130697</v>
      </c>
      <c r="D30" s="49">
        <f t="shared" si="16"/>
        <v>0.27346844</v>
      </c>
      <c r="E30" s="49">
        <f t="shared" si="16"/>
        <v>0.2774337215</v>
      </c>
      <c r="F30" s="50" t="str">
        <f t="shared" si="16"/>
        <v>#DIV/0!</v>
      </c>
      <c r="G30" s="49" t="str">
        <f t="shared" si="16"/>
        <v>#DIV/0!</v>
      </c>
      <c r="H30" s="49" t="str">
        <f t="shared" si="16"/>
        <v>#DIV/0!</v>
      </c>
      <c r="I30" s="49" t="str">
        <f t="shared" si="16"/>
        <v>#DIV/0!</v>
      </c>
      <c r="J30" s="49" t="str">
        <f t="shared" si="16"/>
        <v>#DIV/0!</v>
      </c>
      <c r="K30" s="49" t="str">
        <f t="shared" si="16"/>
        <v>#DIV/0!</v>
      </c>
      <c r="L30" s="49" t="str">
        <f t="shared" si="16"/>
        <v>#DIV/0!</v>
      </c>
      <c r="M30" s="49" t="str">
        <f t="shared" si="16"/>
        <v>#DIV/0!</v>
      </c>
      <c r="N30" s="51"/>
      <c r="O30" s="51"/>
    </row>
    <row r="31" ht="15.75" customHeight="1"/>
    <row r="32" ht="15.75" customHeight="1">
      <c r="B32" s="52">
        <f t="shared" ref="B32:M32" si="17">B29+B27</f>
        <v>531085.0319</v>
      </c>
      <c r="C32" s="52">
        <f t="shared" si="17"/>
        <v>934942.9009</v>
      </c>
      <c r="D32" s="52">
        <f t="shared" si="17"/>
        <v>468576.1915</v>
      </c>
      <c r="E32" s="52">
        <f t="shared" si="17"/>
        <v>390416.3883</v>
      </c>
      <c r="F32" s="52" t="str">
        <f t="shared" si="17"/>
        <v>#DIV/0!</v>
      </c>
      <c r="G32" s="52" t="str">
        <f t="shared" si="17"/>
        <v>#DIV/0!</v>
      </c>
      <c r="H32" s="52" t="str">
        <f t="shared" si="17"/>
        <v>#DIV/0!</v>
      </c>
      <c r="I32" s="52" t="str">
        <f t="shared" si="17"/>
        <v>#DIV/0!</v>
      </c>
      <c r="J32" s="52" t="str">
        <f t="shared" si="17"/>
        <v>#DIV/0!</v>
      </c>
      <c r="K32" s="52" t="str">
        <f t="shared" si="17"/>
        <v>#DIV/0!</v>
      </c>
      <c r="L32" s="52" t="str">
        <f t="shared" si="17"/>
        <v>#DIV/0!</v>
      </c>
      <c r="M32" s="52" t="str">
        <f t="shared" si="17"/>
        <v>#DIV/0!</v>
      </c>
    </row>
    <row r="33" ht="15.75" customHeight="1">
      <c r="B33" s="53">
        <f t="shared" ref="B33:M33" si="18">B32/B13</f>
        <v>0.2789232603</v>
      </c>
      <c r="C33" s="53">
        <f t="shared" si="18"/>
        <v>0.4118206997</v>
      </c>
      <c r="D33" s="53">
        <f t="shared" si="18"/>
        <v>0.2595199997</v>
      </c>
      <c r="E33" s="53">
        <f t="shared" si="18"/>
        <v>0.231341101</v>
      </c>
      <c r="F33" s="53" t="str">
        <f t="shared" si="18"/>
        <v>#DIV/0!</v>
      </c>
      <c r="G33" s="53" t="str">
        <f t="shared" si="18"/>
        <v>#DIV/0!</v>
      </c>
      <c r="H33" s="53" t="str">
        <f t="shared" si="18"/>
        <v>#DIV/0!</v>
      </c>
      <c r="I33" s="53" t="str">
        <f t="shared" si="18"/>
        <v>#DIV/0!</v>
      </c>
      <c r="J33" s="53" t="str">
        <f t="shared" si="18"/>
        <v>#DIV/0!</v>
      </c>
      <c r="K33" s="53" t="str">
        <f t="shared" si="18"/>
        <v>#DIV/0!</v>
      </c>
      <c r="L33" s="53" t="str">
        <f t="shared" si="18"/>
        <v>#DIV/0!</v>
      </c>
      <c r="M33" s="53" t="str">
        <f t="shared" si="18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37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44644.0</v>
      </c>
      <c r="C3" s="17">
        <f t="shared" ref="C3:H3" si="1">B7</f>
        <v>46808</v>
      </c>
      <c r="D3" s="17">
        <f t="shared" si="1"/>
        <v>55842.74</v>
      </c>
      <c r="E3" s="19">
        <f t="shared" si="1"/>
        <v>52323.51</v>
      </c>
      <c r="F3" s="19">
        <f t="shared" si="1"/>
        <v>42726</v>
      </c>
      <c r="G3" s="19">
        <f t="shared" si="1"/>
        <v>41972</v>
      </c>
      <c r="H3" s="19">
        <f t="shared" si="1"/>
        <v>25486</v>
      </c>
      <c r="I3" s="19"/>
      <c r="J3" s="20">
        <v>0.0</v>
      </c>
      <c r="K3" s="19" t="str">
        <f t="shared" ref="K3:M3" si="2">J7</f>
        <v/>
      </c>
      <c r="L3" s="19" t="str">
        <f t="shared" si="2"/>
        <v/>
      </c>
      <c r="M3" s="19" t="str">
        <f t="shared" si="2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197730.0</v>
      </c>
      <c r="C4" s="24">
        <v>242122.79</v>
      </c>
      <c r="D4" s="24">
        <f>204885+844</f>
        <v>205729</v>
      </c>
      <c r="E4" s="20">
        <v>177108.0</v>
      </c>
      <c r="F4" s="20">
        <v>188424.0</v>
      </c>
      <c r="G4" s="20">
        <v>167098.76</v>
      </c>
      <c r="H4" s="20"/>
      <c r="I4" s="20"/>
      <c r="J4" s="20"/>
      <c r="K4" s="20"/>
      <c r="L4" s="20"/>
      <c r="M4" s="20"/>
      <c r="N4" s="21">
        <f>sum(B4:M4)</f>
        <v>1178212.55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4">
        <v>0.0</v>
      </c>
      <c r="E5" s="20">
        <v>0.0</v>
      </c>
      <c r="F5" s="20">
        <v>0.0</v>
      </c>
      <c r="G5" s="20">
        <v>0.0</v>
      </c>
      <c r="H5" s="20"/>
      <c r="I5" s="20"/>
      <c r="J5" s="20"/>
      <c r="K5" s="20"/>
      <c r="L5" s="20"/>
      <c r="M5" s="20"/>
      <c r="N5" s="21">
        <f t="shared" ref="N5:N6" si="3">+SUM(J5:L5)</f>
        <v>0</v>
      </c>
      <c r="O5" s="22"/>
    </row>
    <row r="6" ht="15.75" customHeight="1">
      <c r="A6" s="14" t="s">
        <v>11</v>
      </c>
      <c r="B6" s="24">
        <v>4222.0</v>
      </c>
      <c r="C6" s="24">
        <v>5191.43</v>
      </c>
      <c r="D6" s="24">
        <v>8880.89</v>
      </c>
      <c r="E6" s="20">
        <v>5296.0</v>
      </c>
      <c r="F6" s="20">
        <v>3781.0</v>
      </c>
      <c r="G6" s="20">
        <v>4984.01</v>
      </c>
      <c r="H6" s="20"/>
      <c r="I6" s="20"/>
      <c r="J6" s="20"/>
      <c r="K6" s="20"/>
      <c r="L6" s="20"/>
      <c r="M6" s="20"/>
      <c r="N6" s="21">
        <f t="shared" si="3"/>
        <v>0</v>
      </c>
      <c r="O6" s="22"/>
    </row>
    <row r="7" ht="15.75" customHeight="1">
      <c r="A7" s="14" t="s">
        <v>12</v>
      </c>
      <c r="B7" s="24">
        <v>46808.0</v>
      </c>
      <c r="C7" s="24">
        <v>55842.74</v>
      </c>
      <c r="D7" s="24">
        <v>52323.51</v>
      </c>
      <c r="E7" s="20">
        <v>42726.0</v>
      </c>
      <c r="F7" s="20">
        <v>41972.0</v>
      </c>
      <c r="G7" s="20">
        <v>25486.0</v>
      </c>
      <c r="H7" s="20"/>
      <c r="I7" s="20"/>
      <c r="J7" s="20"/>
      <c r="K7" s="20"/>
      <c r="L7" s="20"/>
      <c r="M7" s="20"/>
      <c r="N7" s="21">
        <f>sum(B7:M7)</f>
        <v>265158.25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722885*1.05+22878.93*1.05</f>
        <v>783052.1265</v>
      </c>
      <c r="C9" s="19">
        <f>772310.07*1.05+29185.19*1.05</f>
        <v>841570.023</v>
      </c>
      <c r="D9" s="19">
        <f>702061.02*1.05+26619.61*1.05</f>
        <v>765114.6615</v>
      </c>
      <c r="E9" s="19">
        <f>591826.23*1.05+23248.27*1.05</f>
        <v>645828.225</v>
      </c>
      <c r="F9" s="19"/>
      <c r="G9" s="19"/>
      <c r="H9" s="19"/>
      <c r="I9" s="19"/>
      <c r="J9" s="19"/>
      <c r="K9" s="20"/>
      <c r="L9" s="19"/>
      <c r="M9" s="19"/>
      <c r="N9" s="21">
        <f t="shared" ref="N9:N12" si="4">+SUM(B9:M9)</f>
        <v>3035565.036</v>
      </c>
      <c r="O9" s="22"/>
    </row>
    <row r="10" ht="15.75" customHeight="1">
      <c r="A10" s="26" t="s">
        <v>14</v>
      </c>
      <c r="B10" s="20">
        <v>0.0</v>
      </c>
      <c r="C10" s="20">
        <v>0.0</v>
      </c>
      <c r="D10" s="20">
        <v>0.0</v>
      </c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4"/>
        <v>0</v>
      </c>
      <c r="O10" s="22"/>
    </row>
    <row r="11" ht="15.75" customHeight="1">
      <c r="A11" s="26" t="s">
        <v>15</v>
      </c>
      <c r="B11" s="19">
        <f t="shared" ref="B11:E11" si="5">(B9+B10)/1.05*0.05</f>
        <v>37288.1965</v>
      </c>
      <c r="C11" s="19">
        <f t="shared" si="5"/>
        <v>40074.763</v>
      </c>
      <c r="D11" s="19">
        <f t="shared" si="5"/>
        <v>36434.0315</v>
      </c>
      <c r="E11" s="19">
        <f t="shared" si="5"/>
        <v>30753.725</v>
      </c>
      <c r="F11" s="19"/>
      <c r="G11" s="19"/>
      <c r="H11" s="19"/>
      <c r="I11" s="19"/>
      <c r="J11" s="19">
        <f t="shared" ref="J11:M11" si="6">(J9+J10)/1.05*0.05</f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21">
        <f t="shared" si="4"/>
        <v>144550.716</v>
      </c>
      <c r="O11" s="22"/>
    </row>
    <row r="12" ht="15.75" customHeight="1">
      <c r="A12" s="26" t="s">
        <v>16</v>
      </c>
      <c r="B12" s="20">
        <f>52474.48*1.18+17261*1.18+843.22*1.18</f>
        <v>83282.866</v>
      </c>
      <c r="C12" s="19">
        <f>67596.35*1.18+16364.46*1.18+744.87*1.18</f>
        <v>99952.7024</v>
      </c>
      <c r="D12" s="19">
        <f>61301.45*1.18+29695.43*1.18+490.57*1.18</f>
        <v>107955.191</v>
      </c>
      <c r="E12" s="19">
        <f>54767*1.18+12756.64*1.18+297*1.18</f>
        <v>80028.3552</v>
      </c>
      <c r="F12" s="19"/>
      <c r="G12" s="19"/>
      <c r="H12" s="19"/>
      <c r="I12" s="19"/>
      <c r="J12" s="19"/>
      <c r="K12" s="19"/>
      <c r="L12" s="19"/>
      <c r="M12" s="19"/>
      <c r="N12" s="21">
        <f t="shared" si="4"/>
        <v>371219.1146</v>
      </c>
      <c r="O12" s="22"/>
    </row>
    <row r="13" ht="15.75" customHeight="1">
      <c r="A13" s="27" t="s">
        <v>17</v>
      </c>
      <c r="B13" s="28">
        <f t="shared" ref="B13:M13" si="7">B9+B10-B11-B12</f>
        <v>662481.064</v>
      </c>
      <c r="C13" s="28">
        <f t="shared" si="7"/>
        <v>701542.5576</v>
      </c>
      <c r="D13" s="28">
        <f t="shared" si="7"/>
        <v>620725.439</v>
      </c>
      <c r="E13" s="28">
        <f t="shared" si="7"/>
        <v>535046.1448</v>
      </c>
      <c r="F13" s="29">
        <f t="shared" si="7"/>
        <v>0</v>
      </c>
      <c r="G13" s="29">
        <f t="shared" si="7"/>
        <v>0</v>
      </c>
      <c r="H13" s="28">
        <f t="shared" si="7"/>
        <v>0</v>
      </c>
      <c r="I13" s="28">
        <f t="shared" si="7"/>
        <v>0</v>
      </c>
      <c r="J13" s="28">
        <f t="shared" si="7"/>
        <v>0</v>
      </c>
      <c r="K13" s="28">
        <f t="shared" si="7"/>
        <v>0</v>
      </c>
      <c r="L13" s="28">
        <f t="shared" si="7"/>
        <v>0</v>
      </c>
      <c r="M13" s="28">
        <f t="shared" si="7"/>
        <v>0</v>
      </c>
      <c r="N13" s="28">
        <f t="shared" ref="N13:N29" si="10">sum(B13:M13)</f>
        <v>2519795.205</v>
      </c>
      <c r="O13" s="30">
        <f>N13/$N$7</f>
        <v>9.502986256</v>
      </c>
    </row>
    <row r="14" ht="15.75" customHeight="1">
      <c r="A14" s="26" t="s">
        <v>18</v>
      </c>
      <c r="B14" s="31">
        <f t="shared" ref="B14:E14" si="8">+B3+B4-B5-B7</f>
        <v>195566</v>
      </c>
      <c r="C14" s="31">
        <f t="shared" si="8"/>
        <v>233088.05</v>
      </c>
      <c r="D14" s="31">
        <f t="shared" si="8"/>
        <v>209248.23</v>
      </c>
      <c r="E14" s="31">
        <f t="shared" si="8"/>
        <v>186705.51</v>
      </c>
      <c r="F14" s="31"/>
      <c r="G14" s="31"/>
      <c r="H14" s="31"/>
      <c r="I14" s="31"/>
      <c r="J14" s="64">
        <f t="shared" ref="J14:M14" si="9">+J3+J4-J5-J7</f>
        <v>0</v>
      </c>
      <c r="K14" s="31">
        <f t="shared" si="9"/>
        <v>0</v>
      </c>
      <c r="L14" s="31">
        <f t="shared" si="9"/>
        <v>0</v>
      </c>
      <c r="M14" s="31">
        <f t="shared" si="9"/>
        <v>0</v>
      </c>
      <c r="N14" s="21">
        <f t="shared" si="10"/>
        <v>824607.79</v>
      </c>
      <c r="O14" s="32">
        <f t="shared" ref="O14:O29" si="11">N14/$N$13</f>
        <v>0.3272519085</v>
      </c>
    </row>
    <row r="15" ht="15.75" customHeight="1">
      <c r="A15" s="26" t="s">
        <v>19</v>
      </c>
      <c r="B15" s="38">
        <f>50000+23600+5200</f>
        <v>78800</v>
      </c>
      <c r="C15" s="38">
        <f>117037-50000+23600+3200</f>
        <v>93837</v>
      </c>
      <c r="D15" s="19">
        <f>23600+5300+173391/2</f>
        <v>115595.5</v>
      </c>
      <c r="E15" s="20">
        <f>173391/2+23600+17800</f>
        <v>128095.5</v>
      </c>
      <c r="F15" s="19"/>
      <c r="G15" s="19"/>
      <c r="H15" s="20"/>
      <c r="I15" s="20"/>
      <c r="J15" s="19"/>
      <c r="K15" s="20"/>
      <c r="L15" s="19"/>
      <c r="M15" s="19"/>
      <c r="N15" s="21">
        <f t="shared" si="10"/>
        <v>416328</v>
      </c>
      <c r="O15" s="32">
        <f t="shared" si="11"/>
        <v>0.1652229511</v>
      </c>
    </row>
    <row r="16" ht="15.75" customHeight="1">
      <c r="A16" s="26" t="s">
        <v>20</v>
      </c>
      <c r="B16" s="38">
        <v>469.0</v>
      </c>
      <c r="C16" s="38">
        <v>469.0</v>
      </c>
      <c r="D16" s="20">
        <v>469.0</v>
      </c>
      <c r="E16" s="20">
        <v>349.0</v>
      </c>
      <c r="F16" s="20"/>
      <c r="G16" s="19"/>
      <c r="H16" s="19"/>
      <c r="I16" s="20"/>
      <c r="J16" s="20"/>
      <c r="K16" s="20"/>
      <c r="L16" s="20"/>
      <c r="M16" s="20"/>
      <c r="N16" s="21">
        <f t="shared" si="10"/>
        <v>1756</v>
      </c>
      <c r="O16" s="32">
        <f t="shared" si="11"/>
        <v>0.0006968820308</v>
      </c>
    </row>
    <row r="17" ht="15.75" customHeight="1">
      <c r="A17" s="26" t="s">
        <v>21</v>
      </c>
      <c r="B17" s="38">
        <v>0.0</v>
      </c>
      <c r="C17" s="38">
        <v>0.0</v>
      </c>
      <c r="D17" s="20">
        <v>0.0</v>
      </c>
      <c r="E17" s="20">
        <v>0.0</v>
      </c>
      <c r="F17" s="20"/>
      <c r="G17" s="19"/>
      <c r="H17" s="20"/>
      <c r="I17" s="20"/>
      <c r="J17" s="20"/>
      <c r="K17" s="20"/>
      <c r="L17" s="20"/>
      <c r="M17" s="20"/>
      <c r="N17" s="21">
        <f t="shared" si="10"/>
        <v>0</v>
      </c>
      <c r="O17" s="32">
        <f t="shared" si="11"/>
        <v>0</v>
      </c>
    </row>
    <row r="18" ht="15.75" customHeight="1">
      <c r="A18" s="26" t="s">
        <v>22</v>
      </c>
      <c r="B18" s="60">
        <f t="shared" ref="B18:E18" si="12">70000+70000</f>
        <v>140000</v>
      </c>
      <c r="C18" s="60">
        <f t="shared" si="12"/>
        <v>140000</v>
      </c>
      <c r="D18" s="19">
        <f t="shared" si="12"/>
        <v>140000</v>
      </c>
      <c r="E18" s="19">
        <f t="shared" si="12"/>
        <v>140000</v>
      </c>
      <c r="F18" s="19"/>
      <c r="G18" s="19"/>
      <c r="H18" s="19"/>
      <c r="I18" s="19"/>
      <c r="J18" s="19"/>
      <c r="K18" s="19"/>
      <c r="L18" s="19"/>
      <c r="M18" s="19"/>
      <c r="N18" s="21">
        <f t="shared" si="10"/>
        <v>560000</v>
      </c>
      <c r="O18" s="32">
        <f t="shared" si="11"/>
        <v>0.2222402832</v>
      </c>
    </row>
    <row r="19" ht="15.75" customHeight="1">
      <c r="A19" s="34" t="s">
        <v>23</v>
      </c>
      <c r="B19" s="38">
        <v>397.0</v>
      </c>
      <c r="C19" s="66">
        <f t="shared" ref="C19:M19" si="13">36951.85/4/12</f>
        <v>769.8302083</v>
      </c>
      <c r="D19" s="36">
        <f t="shared" si="13"/>
        <v>769.8302083</v>
      </c>
      <c r="E19" s="36">
        <f t="shared" si="13"/>
        <v>769.8302083</v>
      </c>
      <c r="F19" s="36">
        <f t="shared" si="13"/>
        <v>769.8302083</v>
      </c>
      <c r="G19" s="36">
        <f t="shared" si="13"/>
        <v>769.8302083</v>
      </c>
      <c r="H19" s="36">
        <f t="shared" si="13"/>
        <v>769.8302083</v>
      </c>
      <c r="I19" s="36">
        <f t="shared" si="13"/>
        <v>769.8302083</v>
      </c>
      <c r="J19" s="36">
        <f t="shared" si="13"/>
        <v>769.8302083</v>
      </c>
      <c r="K19" s="36">
        <f t="shared" si="13"/>
        <v>769.8302083</v>
      </c>
      <c r="L19" s="36">
        <f t="shared" si="13"/>
        <v>769.8302083</v>
      </c>
      <c r="M19" s="36">
        <f t="shared" si="13"/>
        <v>769.8302083</v>
      </c>
      <c r="N19" s="21">
        <f t="shared" si="10"/>
        <v>8865.132292</v>
      </c>
      <c r="O19" s="32">
        <f t="shared" si="11"/>
        <v>0.003518195555</v>
      </c>
    </row>
    <row r="20" ht="15.75" customHeight="1">
      <c r="A20" s="26" t="s">
        <v>24</v>
      </c>
      <c r="B20" s="67">
        <v>7857.0</v>
      </c>
      <c r="C20" s="67">
        <v>7857.0</v>
      </c>
      <c r="D20" s="67">
        <v>7857.0</v>
      </c>
      <c r="E20" s="67">
        <v>7857.0</v>
      </c>
      <c r="F20" s="68"/>
      <c r="G20" s="68"/>
      <c r="H20" s="68"/>
      <c r="I20" s="68"/>
      <c r="J20" s="19"/>
      <c r="K20" s="19"/>
      <c r="L20" s="19"/>
      <c r="M20" s="19"/>
      <c r="N20" s="21">
        <f t="shared" si="10"/>
        <v>31428</v>
      </c>
      <c r="O20" s="32">
        <f t="shared" si="11"/>
        <v>0.01247244218</v>
      </c>
    </row>
    <row r="21" ht="15.75" customHeight="1">
      <c r="A21" s="26" t="s">
        <v>25</v>
      </c>
      <c r="B21" s="60">
        <f>209143+11000</f>
        <v>220143</v>
      </c>
      <c r="C21" s="60">
        <f>11000+214692.6</f>
        <v>225692.6</v>
      </c>
      <c r="D21" s="19">
        <f>11000+238904.25</f>
        <v>249904.25</v>
      </c>
      <c r="E21" s="19">
        <f>215191.16</f>
        <v>215191.16</v>
      </c>
      <c r="F21" s="19"/>
      <c r="G21" s="19"/>
      <c r="H21" s="19"/>
      <c r="I21" s="19"/>
      <c r="J21" s="19"/>
      <c r="K21" s="19"/>
      <c r="L21" s="19"/>
      <c r="M21" s="19"/>
      <c r="N21" s="21">
        <f t="shared" si="10"/>
        <v>910931.01</v>
      </c>
      <c r="O21" s="32">
        <f t="shared" si="11"/>
        <v>0.3615099386</v>
      </c>
    </row>
    <row r="22" ht="15.75" customHeight="1">
      <c r="A22" s="14" t="s">
        <v>26</v>
      </c>
      <c r="B22" s="60">
        <f t="shared" ref="B22:E22" si="14">4720</f>
        <v>4720</v>
      </c>
      <c r="C22" s="60">
        <f t="shared" si="14"/>
        <v>4720</v>
      </c>
      <c r="D22" s="19">
        <f t="shared" si="14"/>
        <v>4720</v>
      </c>
      <c r="E22" s="20">
        <f t="shared" si="14"/>
        <v>4720</v>
      </c>
      <c r="F22" s="20"/>
      <c r="G22" s="20"/>
      <c r="H22" s="19"/>
      <c r="I22" s="19"/>
      <c r="J22" s="20"/>
      <c r="K22" s="20"/>
      <c r="L22" s="19"/>
      <c r="M22" s="19"/>
      <c r="N22" s="21">
        <f t="shared" si="10"/>
        <v>18880</v>
      </c>
      <c r="O22" s="32">
        <f t="shared" si="11"/>
        <v>0.007492672404</v>
      </c>
    </row>
    <row r="23" ht="15.75" customHeight="1">
      <c r="A23" s="39" t="s">
        <v>27</v>
      </c>
      <c r="B23" s="31">
        <f t="shared" ref="B23:D23" si="15">2548.75/3</f>
        <v>849.5833333</v>
      </c>
      <c r="C23" s="31">
        <f t="shared" si="15"/>
        <v>849.5833333</v>
      </c>
      <c r="D23" s="40">
        <f t="shared" si="15"/>
        <v>849.5833333</v>
      </c>
      <c r="E23" s="40">
        <f t="shared" ref="E23:G23" si="16">2537/3</f>
        <v>845.6666667</v>
      </c>
      <c r="F23" s="40">
        <f t="shared" si="16"/>
        <v>845.6666667</v>
      </c>
      <c r="G23" s="40">
        <f t="shared" si="16"/>
        <v>845.6666667</v>
      </c>
      <c r="H23" s="20"/>
      <c r="I23" s="20"/>
      <c r="J23" s="20"/>
      <c r="K23" s="19"/>
      <c r="L23" s="19"/>
      <c r="M23" s="19"/>
      <c r="N23" s="21">
        <f t="shared" si="10"/>
        <v>5085.75</v>
      </c>
      <c r="O23" s="32">
        <f t="shared" si="11"/>
        <v>0.002018318786</v>
      </c>
    </row>
    <row r="24" ht="15.75" customHeight="1">
      <c r="A24" s="26" t="s">
        <v>28</v>
      </c>
      <c r="B24" s="69">
        <v>0.0</v>
      </c>
      <c r="C24" s="69">
        <v>0.0</v>
      </c>
      <c r="D24" s="35">
        <v>120.0</v>
      </c>
      <c r="E24" s="35">
        <f>'Misc Exp'!G43</f>
        <v>4500</v>
      </c>
      <c r="F24" s="20"/>
      <c r="G24" s="20"/>
      <c r="H24" s="20"/>
      <c r="I24" s="20"/>
      <c r="J24" s="20"/>
      <c r="K24" s="20"/>
      <c r="L24" s="20"/>
      <c r="M24" s="20"/>
      <c r="N24" s="21">
        <f t="shared" si="10"/>
        <v>4620</v>
      </c>
      <c r="O24" s="32">
        <f t="shared" si="11"/>
        <v>0.001833482336</v>
      </c>
    </row>
    <row r="25" ht="15.75" customHeight="1">
      <c r="A25" s="26" t="s">
        <v>29</v>
      </c>
      <c r="B25" s="38">
        <v>2110.0</v>
      </c>
      <c r="C25" s="38">
        <v>7024.57</v>
      </c>
      <c r="D25" s="20">
        <v>6716.0</v>
      </c>
      <c r="E25" s="20">
        <f>'Misc Exp'!G37</f>
        <v>5531.94</v>
      </c>
      <c r="F25" s="19"/>
      <c r="G25" s="20"/>
      <c r="H25" s="20"/>
      <c r="I25" s="20"/>
      <c r="J25" s="20"/>
      <c r="K25" s="20"/>
      <c r="L25" s="20"/>
      <c r="M25" s="20"/>
      <c r="N25" s="21">
        <f t="shared" si="10"/>
        <v>21382.51</v>
      </c>
      <c r="O25" s="32">
        <f t="shared" si="11"/>
        <v>0.008485812638</v>
      </c>
    </row>
    <row r="26" ht="15.75" customHeight="1">
      <c r="A26" s="26" t="s">
        <v>30</v>
      </c>
      <c r="B26" s="38">
        <v>0.0</v>
      </c>
      <c r="C26" s="38">
        <v>0.0</v>
      </c>
      <c r="D26" s="20">
        <v>0.0</v>
      </c>
      <c r="E26" s="20"/>
      <c r="F26" s="20"/>
      <c r="G26" s="20"/>
      <c r="H26" s="20"/>
      <c r="I26" s="20"/>
      <c r="J26" s="20"/>
      <c r="K26" s="20"/>
      <c r="L26" s="20"/>
      <c r="M26" s="20"/>
      <c r="N26" s="21">
        <f t="shared" si="10"/>
        <v>0</v>
      </c>
      <c r="O26" s="32">
        <f t="shared" si="11"/>
        <v>0</v>
      </c>
    </row>
    <row r="27" ht="15.75" customHeight="1">
      <c r="A27" s="26" t="s">
        <v>31</v>
      </c>
      <c r="B27" s="60">
        <f>HO!D34</f>
        <v>100721.8767</v>
      </c>
      <c r="C27" s="60">
        <f>HO!H34</f>
        <v>101888.0294</v>
      </c>
      <c r="D27" s="60">
        <f>HO!L34</f>
        <v>88526.89139</v>
      </c>
      <c r="E27" s="19">
        <f>HO!P34</f>
        <v>76708.61355</v>
      </c>
      <c r="F27" s="19"/>
      <c r="G27" s="19"/>
      <c r="H27" s="19"/>
      <c r="I27" s="19"/>
      <c r="J27" s="19"/>
      <c r="K27" s="19"/>
      <c r="L27" s="19"/>
      <c r="M27" s="19"/>
      <c r="N27" s="21">
        <f t="shared" si="10"/>
        <v>367845.411</v>
      </c>
      <c r="O27" s="32">
        <f t="shared" si="11"/>
        <v>0.1459822648</v>
      </c>
    </row>
    <row r="28" ht="15.75" customHeight="1">
      <c r="A28" s="41" t="s">
        <v>32</v>
      </c>
      <c r="B28" s="42">
        <f t="shared" ref="B28:M28" si="17">+SUM(B14:B27)</f>
        <v>751633.46</v>
      </c>
      <c r="C28" s="42">
        <f t="shared" si="17"/>
        <v>816195.6629</v>
      </c>
      <c r="D28" s="42">
        <f t="shared" si="17"/>
        <v>824776.2849</v>
      </c>
      <c r="E28" s="42">
        <f t="shared" si="17"/>
        <v>771274.2204</v>
      </c>
      <c r="F28" s="43">
        <f t="shared" si="17"/>
        <v>1615.496875</v>
      </c>
      <c r="G28" s="42">
        <f t="shared" si="17"/>
        <v>1615.496875</v>
      </c>
      <c r="H28" s="42">
        <f t="shared" si="17"/>
        <v>769.8302083</v>
      </c>
      <c r="I28" s="42">
        <f t="shared" si="17"/>
        <v>769.8302083</v>
      </c>
      <c r="J28" s="42">
        <f t="shared" si="17"/>
        <v>769.8302083</v>
      </c>
      <c r="K28" s="42">
        <f t="shared" si="17"/>
        <v>769.8302083</v>
      </c>
      <c r="L28" s="42">
        <f t="shared" si="17"/>
        <v>769.8302083</v>
      </c>
      <c r="M28" s="42">
        <f t="shared" si="17"/>
        <v>769.8302083</v>
      </c>
      <c r="N28" s="42">
        <f t="shared" si="10"/>
        <v>3171729.603</v>
      </c>
      <c r="O28" s="44">
        <f t="shared" si="11"/>
        <v>1.258725152</v>
      </c>
    </row>
    <row r="29" ht="15.75" customHeight="1">
      <c r="A29" s="45" t="s">
        <v>33</v>
      </c>
      <c r="B29" s="46">
        <f t="shared" ref="B29:M29" si="18">B13-B28</f>
        <v>-89152.39605</v>
      </c>
      <c r="C29" s="46">
        <f t="shared" si="18"/>
        <v>-114653.1053</v>
      </c>
      <c r="D29" s="46">
        <f t="shared" si="18"/>
        <v>-204050.8459</v>
      </c>
      <c r="E29" s="46">
        <f t="shared" si="18"/>
        <v>-236228.0756</v>
      </c>
      <c r="F29" s="46">
        <f t="shared" si="18"/>
        <v>-1615.496875</v>
      </c>
      <c r="G29" s="46">
        <f t="shared" si="18"/>
        <v>-1615.496875</v>
      </c>
      <c r="H29" s="46">
        <f t="shared" si="18"/>
        <v>-769.8302083</v>
      </c>
      <c r="I29" s="46">
        <f t="shared" si="18"/>
        <v>-769.8302083</v>
      </c>
      <c r="J29" s="46">
        <f t="shared" si="18"/>
        <v>-769.8302083</v>
      </c>
      <c r="K29" s="46">
        <f t="shared" si="18"/>
        <v>-769.8302083</v>
      </c>
      <c r="L29" s="46">
        <f t="shared" si="18"/>
        <v>-769.8302083</v>
      </c>
      <c r="M29" s="46">
        <f t="shared" si="18"/>
        <v>-769.8302083</v>
      </c>
      <c r="N29" s="46">
        <f t="shared" si="10"/>
        <v>-651934.3979</v>
      </c>
      <c r="O29" s="47">
        <f t="shared" si="11"/>
        <v>-0.2587251522</v>
      </c>
    </row>
    <row r="30" ht="15.75" customHeight="1">
      <c r="A30" s="48" t="s">
        <v>34</v>
      </c>
      <c r="B30" s="49">
        <f t="shared" ref="B30:M30" si="19">(B14/B13)</f>
        <v>0.2952023999</v>
      </c>
      <c r="C30" s="49">
        <f t="shared" si="19"/>
        <v>0.3322507629</v>
      </c>
      <c r="D30" s="49">
        <f t="shared" si="19"/>
        <v>0.3371027138</v>
      </c>
      <c r="E30" s="49">
        <f t="shared" si="19"/>
        <v>0.3489521639</v>
      </c>
      <c r="F30" s="50" t="str">
        <f t="shared" si="19"/>
        <v>#DIV/0!</v>
      </c>
      <c r="G30" s="49" t="str">
        <f t="shared" si="19"/>
        <v>#DIV/0!</v>
      </c>
      <c r="H30" s="49" t="str">
        <f t="shared" si="19"/>
        <v>#DIV/0!</v>
      </c>
      <c r="I30" s="49" t="str">
        <f t="shared" si="19"/>
        <v>#DIV/0!</v>
      </c>
      <c r="J30" s="49" t="str">
        <f t="shared" si="19"/>
        <v>#DIV/0!</v>
      </c>
      <c r="K30" s="49" t="str">
        <f t="shared" si="19"/>
        <v>#DIV/0!</v>
      </c>
      <c r="L30" s="49" t="str">
        <f t="shared" si="19"/>
        <v>#DIV/0!</v>
      </c>
      <c r="M30" s="49" t="str">
        <f t="shared" si="19"/>
        <v>#DIV/0!</v>
      </c>
      <c r="N30" s="51"/>
      <c r="O30" s="51"/>
    </row>
    <row r="31" ht="15.75" customHeight="1"/>
    <row r="32" ht="15.75" customHeight="1">
      <c r="B32" s="54">
        <f t="shared" ref="B32:M32" si="20">B29+B27</f>
        <v>11569.48067</v>
      </c>
      <c r="C32" s="54">
        <f t="shared" si="20"/>
        <v>-12765.07594</v>
      </c>
      <c r="D32" s="54">
        <f t="shared" si="20"/>
        <v>-115523.9545</v>
      </c>
      <c r="E32" s="54">
        <f t="shared" si="20"/>
        <v>-159519.4621</v>
      </c>
      <c r="F32" s="54">
        <f t="shared" si="20"/>
        <v>-1615.496875</v>
      </c>
      <c r="G32" s="54">
        <f t="shared" si="20"/>
        <v>-1615.496875</v>
      </c>
      <c r="H32" s="54">
        <f t="shared" si="20"/>
        <v>-769.8302083</v>
      </c>
      <c r="I32" s="54">
        <f t="shared" si="20"/>
        <v>-769.8302083</v>
      </c>
      <c r="J32" s="54">
        <f t="shared" si="20"/>
        <v>-769.8302083</v>
      </c>
      <c r="K32" s="54">
        <f t="shared" si="20"/>
        <v>-769.8302083</v>
      </c>
      <c r="L32" s="54">
        <f t="shared" si="20"/>
        <v>-769.8302083</v>
      </c>
      <c r="M32" s="54">
        <f t="shared" si="20"/>
        <v>-769.8302083</v>
      </c>
    </row>
    <row r="33" ht="15.75" customHeight="1">
      <c r="B33" s="53">
        <f t="shared" ref="B33:M33" si="21">B32/B13</f>
        <v>0.01746386621</v>
      </c>
      <c r="C33" s="53">
        <f t="shared" si="21"/>
        <v>-0.0181957257</v>
      </c>
      <c r="D33" s="53">
        <f t="shared" si="21"/>
        <v>-0.1861111971</v>
      </c>
      <c r="E33" s="53">
        <f t="shared" si="21"/>
        <v>-0.2981415035</v>
      </c>
      <c r="F33" s="53" t="str">
        <f t="shared" si="21"/>
        <v>#DIV/0!</v>
      </c>
      <c r="G33" s="53" t="str">
        <f t="shared" si="21"/>
        <v>#DIV/0!</v>
      </c>
      <c r="H33" s="53" t="str">
        <f t="shared" si="21"/>
        <v>#DIV/0!</v>
      </c>
      <c r="I33" s="53" t="str">
        <f t="shared" si="21"/>
        <v>#DIV/0!</v>
      </c>
      <c r="J33" s="53" t="str">
        <f t="shared" si="21"/>
        <v>#DIV/0!</v>
      </c>
      <c r="K33" s="53" t="str">
        <f t="shared" si="21"/>
        <v>#DIV/0!</v>
      </c>
      <c r="L33" s="53" t="str">
        <f t="shared" si="21"/>
        <v>#DIV/0!</v>
      </c>
      <c r="M33" s="53" t="str">
        <f t="shared" si="21"/>
        <v>#DIV/0!</v>
      </c>
    </row>
    <row r="34" ht="15.75" customHeight="1">
      <c r="B34" s="70"/>
      <c r="C34" s="70"/>
      <c r="D34" s="70"/>
      <c r="E34" s="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71" t="s">
        <v>39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0.0</v>
      </c>
      <c r="C3" s="72">
        <v>503.0</v>
      </c>
      <c r="D3" s="24">
        <v>26072.0</v>
      </c>
      <c r="E3" s="19">
        <f t="shared" ref="E3:H3" si="1">D7</f>
        <v>22107</v>
      </c>
      <c r="F3" s="19">
        <f t="shared" si="1"/>
        <v>19249.53</v>
      </c>
      <c r="G3" s="19">
        <f t="shared" si="1"/>
        <v>25610</v>
      </c>
      <c r="H3" s="19">
        <f t="shared" si="1"/>
        <v>19393.23</v>
      </c>
      <c r="I3" s="19"/>
      <c r="J3" s="19"/>
      <c r="K3" s="19"/>
      <c r="L3" s="19"/>
      <c r="M3" s="20">
        <v>0.0</v>
      </c>
      <c r="N3" s="21">
        <f>+SUM(J3:L3)</f>
        <v>0</v>
      </c>
      <c r="O3" s="22"/>
    </row>
    <row r="4" ht="15.75" customHeight="1">
      <c r="A4" s="14" t="s">
        <v>9</v>
      </c>
      <c r="B4" s="24">
        <v>0.0</v>
      </c>
      <c r="C4" s="72">
        <f>14235.82</f>
        <v>14235.82</v>
      </c>
      <c r="D4" s="24">
        <v>222391.0</v>
      </c>
      <c r="E4" s="20">
        <v>248102.0</v>
      </c>
      <c r="F4" s="20">
        <v>275497.0</v>
      </c>
      <c r="G4" s="20">
        <v>243241.0</v>
      </c>
      <c r="H4" s="20"/>
      <c r="I4" s="20"/>
      <c r="J4" s="20"/>
      <c r="K4" s="20"/>
      <c r="L4" s="20"/>
      <c r="M4" s="20"/>
      <c r="N4" s="21">
        <f>sum(B4:M4)</f>
        <v>1003466.82</v>
      </c>
      <c r="O4" s="22"/>
    </row>
    <row r="5" ht="15.75" customHeight="1">
      <c r="A5" s="14" t="s">
        <v>10</v>
      </c>
      <c r="B5" s="24">
        <v>0.0</v>
      </c>
      <c r="C5" s="72">
        <v>0.0</v>
      </c>
      <c r="D5" s="24">
        <v>0.0</v>
      </c>
      <c r="E5" s="20">
        <v>0.0</v>
      </c>
      <c r="F5" s="20">
        <v>0.0</v>
      </c>
      <c r="G5" s="20">
        <v>0.0</v>
      </c>
      <c r="H5" s="20"/>
      <c r="I5" s="20"/>
      <c r="J5" s="20"/>
      <c r="K5" s="20"/>
      <c r="L5" s="20"/>
      <c r="M5" s="20">
        <v>0.0</v>
      </c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0.0</v>
      </c>
      <c r="C6" s="72">
        <v>30564.0</v>
      </c>
      <c r="D6" s="24">
        <v>14608.0</v>
      </c>
      <c r="E6" s="20">
        <v>16215.0</v>
      </c>
      <c r="F6" s="20">
        <v>17193.82</v>
      </c>
      <c r="G6" s="20">
        <v>13886.0</v>
      </c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0.0</v>
      </c>
      <c r="C7" s="72"/>
      <c r="D7" s="24">
        <v>22107.0</v>
      </c>
      <c r="E7" s="20">
        <v>19249.53</v>
      </c>
      <c r="F7" s="20">
        <v>25610.0</v>
      </c>
      <c r="G7" s="20">
        <v>19393.23</v>
      </c>
      <c r="H7" s="20"/>
      <c r="I7" s="20"/>
      <c r="J7" s="20"/>
      <c r="K7" s="20"/>
      <c r="L7" s="20"/>
      <c r="M7" s="20"/>
      <c r="N7" s="21">
        <f>sum(B7:M7)</f>
        <v>86359.76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20">
        <v>0.0</v>
      </c>
      <c r="C9" s="19">
        <f>56963.44*1.05+92*1.05</f>
        <v>59908.212</v>
      </c>
      <c r="D9" s="19">
        <f>723645.66*1.05+15777.09*1.05</f>
        <v>776393.8875</v>
      </c>
      <c r="E9" s="19">
        <f>1046684*1.05+27510.71*1.05</f>
        <v>1127904.446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1964206.545</v>
      </c>
      <c r="O9" s="22"/>
    </row>
    <row r="10" ht="15.75" customHeight="1">
      <c r="A10" s="26" t="s">
        <v>14</v>
      </c>
      <c r="B10" s="20">
        <v>0.0</v>
      </c>
      <c r="C10" s="20">
        <v>0.0</v>
      </c>
      <c r="D10" s="20">
        <v>0.0</v>
      </c>
      <c r="E10" s="20">
        <v>0.0</v>
      </c>
      <c r="F10" s="19"/>
      <c r="G10" s="19"/>
      <c r="H10" s="19"/>
      <c r="I10" s="19"/>
      <c r="J10" s="19"/>
      <c r="K10" s="19"/>
      <c r="L10" s="19"/>
      <c r="M10" s="20">
        <v>0.0</v>
      </c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E11" si="4">(B9+B10)/1.05*0.05</f>
        <v>0</v>
      </c>
      <c r="C11" s="19">
        <f t="shared" si="4"/>
        <v>2852.772</v>
      </c>
      <c r="D11" s="19">
        <f t="shared" si="4"/>
        <v>36971.1375</v>
      </c>
      <c r="E11" s="19">
        <f t="shared" si="4"/>
        <v>53709.7355</v>
      </c>
      <c r="F11" s="19"/>
      <c r="G11" s="19"/>
      <c r="H11" s="19"/>
      <c r="I11" s="19"/>
      <c r="J11" s="19"/>
      <c r="K11" s="19"/>
      <c r="L11" s="19"/>
      <c r="M11" s="19">
        <f>(M9+M10)/1.05*0.05</f>
        <v>0</v>
      </c>
      <c r="N11" s="21">
        <f t="shared" si="3"/>
        <v>93533.645</v>
      </c>
      <c r="O11" s="22"/>
    </row>
    <row r="12" ht="15.75" customHeight="1">
      <c r="A12" s="26" t="s">
        <v>16</v>
      </c>
      <c r="B12" s="20">
        <v>0.0</v>
      </c>
      <c r="C12" s="20">
        <f>212.52*1.18+434.91*1.18</f>
        <v>763.9674</v>
      </c>
      <c r="D12" s="19">
        <f>35660.22*1.18</f>
        <v>42079.0596</v>
      </c>
      <c r="E12" s="19">
        <f>61951.59*1.18+10569.53*1.18</f>
        <v>85574.9216</v>
      </c>
      <c r="F12" s="19"/>
      <c r="G12" s="19"/>
      <c r="H12" s="19"/>
      <c r="I12" s="19"/>
      <c r="J12" s="19"/>
      <c r="K12" s="19"/>
      <c r="L12" s="19"/>
      <c r="M12" s="20">
        <v>0.0</v>
      </c>
      <c r="N12" s="21">
        <f t="shared" si="3"/>
        <v>128417.9486</v>
      </c>
      <c r="O12" s="22"/>
    </row>
    <row r="13" ht="15.75" customHeight="1">
      <c r="A13" s="27" t="s">
        <v>17</v>
      </c>
      <c r="B13" s="28">
        <f t="shared" ref="B13:M13" si="5">B9+B10-B11-B12</f>
        <v>0</v>
      </c>
      <c r="C13" s="28">
        <f t="shared" si="5"/>
        <v>56291.4726</v>
      </c>
      <c r="D13" s="28">
        <f t="shared" si="5"/>
        <v>697343.6904</v>
      </c>
      <c r="E13" s="28">
        <f t="shared" si="5"/>
        <v>988619.7884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1742254.951</v>
      </c>
      <c r="O13" s="30">
        <f>N13/$N$7</f>
        <v>20.1743839</v>
      </c>
    </row>
    <row r="14" ht="15.75" customHeight="1">
      <c r="A14" s="26" t="s">
        <v>18</v>
      </c>
      <c r="B14" s="20">
        <f t="shared" ref="B14:E14" si="6">+B3+B4-B5-B7</f>
        <v>0</v>
      </c>
      <c r="C14" s="20">
        <f t="shared" si="6"/>
        <v>14738.82</v>
      </c>
      <c r="D14" s="20">
        <f t="shared" si="6"/>
        <v>226356</v>
      </c>
      <c r="E14" s="20">
        <f t="shared" si="6"/>
        <v>250959.47</v>
      </c>
      <c r="F14" s="31"/>
      <c r="G14" s="31"/>
      <c r="H14" s="31"/>
      <c r="I14" s="31"/>
      <c r="J14" s="31"/>
      <c r="K14" s="31"/>
      <c r="L14" s="31"/>
      <c r="M14" s="31">
        <f>+M3+M4-M5-M7</f>
        <v>0</v>
      </c>
      <c r="N14" s="21">
        <f t="shared" si="7"/>
        <v>492054.29</v>
      </c>
      <c r="O14" s="32">
        <f t="shared" ref="O14:O29" si="8">N14/$N$13</f>
        <v>0.282423815</v>
      </c>
    </row>
    <row r="15" ht="15.75" customHeight="1">
      <c r="A15" s="26" t="s">
        <v>19</v>
      </c>
      <c r="B15" s="20">
        <f>58760/75*0</f>
        <v>0</v>
      </c>
      <c r="C15" s="20">
        <f>58760/75*1</f>
        <v>783.4666667</v>
      </c>
      <c r="D15" s="20">
        <f>18800+3000+9000+11891</f>
        <v>42691</v>
      </c>
      <c r="E15" s="20">
        <f>57756+18800+4534</f>
        <v>81090</v>
      </c>
      <c r="F15" s="19"/>
      <c r="G15" s="19"/>
      <c r="H15" s="20"/>
      <c r="I15" s="20"/>
      <c r="J15" s="20"/>
      <c r="K15" s="20"/>
      <c r="L15" s="20"/>
      <c r="M15" s="19"/>
      <c r="N15" s="21">
        <f t="shared" si="7"/>
        <v>124564.4667</v>
      </c>
      <c r="O15" s="32">
        <f t="shared" si="8"/>
        <v>0.07149611862</v>
      </c>
    </row>
    <row r="16" ht="15.75" customHeight="1">
      <c r="A16" s="26" t="s">
        <v>20</v>
      </c>
      <c r="B16" s="20">
        <v>0.0</v>
      </c>
      <c r="C16" s="20">
        <v>0.0</v>
      </c>
      <c r="D16" s="20">
        <v>0.0</v>
      </c>
      <c r="E16" s="20">
        <v>224.0</v>
      </c>
      <c r="F16" s="20"/>
      <c r="G16" s="19"/>
      <c r="H16" s="19"/>
      <c r="I16" s="20"/>
      <c r="J16" s="20"/>
      <c r="K16" s="19"/>
      <c r="L16" s="19"/>
      <c r="M16" s="19"/>
      <c r="N16" s="21">
        <f t="shared" si="7"/>
        <v>224</v>
      </c>
      <c r="O16" s="32">
        <f t="shared" si="8"/>
        <v>0.0001285690133</v>
      </c>
    </row>
    <row r="17" ht="15.75" customHeight="1">
      <c r="A17" s="26" t="s">
        <v>21</v>
      </c>
      <c r="B17" s="24">
        <v>0.0</v>
      </c>
      <c r="C17" s="20">
        <f>14438</f>
        <v>14438</v>
      </c>
      <c r="D17" s="20">
        <v>28033.0</v>
      </c>
      <c r="E17" s="20">
        <v>43145.0</v>
      </c>
      <c r="F17" s="20"/>
      <c r="G17" s="19"/>
      <c r="H17" s="20"/>
      <c r="I17" s="20"/>
      <c r="J17" s="19"/>
      <c r="K17" s="20"/>
      <c r="L17" s="20"/>
      <c r="M17" s="19"/>
      <c r="N17" s="21">
        <f t="shared" si="7"/>
        <v>85616</v>
      </c>
      <c r="O17" s="32">
        <f t="shared" si="8"/>
        <v>0.04914091358</v>
      </c>
    </row>
    <row r="18" ht="15.75" customHeight="1">
      <c r="A18" s="26" t="s">
        <v>22</v>
      </c>
      <c r="B18" s="20">
        <v>0.0</v>
      </c>
      <c r="C18" s="19">
        <f>295000/31*1</f>
        <v>9516.129032</v>
      </c>
      <c r="D18" s="20">
        <v>295000.0</v>
      </c>
      <c r="E18" s="20">
        <f>295000+14500</f>
        <v>309500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614016.129</v>
      </c>
      <c r="O18" s="32">
        <f t="shared" si="8"/>
        <v>0.3524261065</v>
      </c>
    </row>
    <row r="19" ht="15.75" customHeight="1">
      <c r="A19" s="34" t="s">
        <v>23</v>
      </c>
      <c r="B19" s="20">
        <v>0.0</v>
      </c>
      <c r="C19" s="20">
        <v>0.0</v>
      </c>
      <c r="D19" s="20">
        <v>0.0</v>
      </c>
      <c r="E19" s="20">
        <v>0.0</v>
      </c>
      <c r="F19" s="20"/>
      <c r="G19" s="20"/>
      <c r="H19" s="20"/>
      <c r="I19" s="20"/>
      <c r="J19" s="20"/>
      <c r="K19" s="20"/>
      <c r="L19" s="20"/>
      <c r="M19" s="20"/>
      <c r="N19" s="21">
        <f t="shared" si="7"/>
        <v>0</v>
      </c>
      <c r="O19" s="32">
        <f t="shared" si="8"/>
        <v>0</v>
      </c>
    </row>
    <row r="20" ht="15.75" customHeight="1">
      <c r="A20" s="26" t="s">
        <v>24</v>
      </c>
      <c r="B20" s="68"/>
      <c r="C20" s="68">
        <v>7857.0</v>
      </c>
      <c r="D20" s="68">
        <v>7857.0</v>
      </c>
      <c r="E20" s="68">
        <v>7857.0</v>
      </c>
      <c r="F20" s="68"/>
      <c r="G20" s="68"/>
      <c r="H20" s="68"/>
      <c r="I20" s="68"/>
      <c r="J20" s="68"/>
      <c r="K20" s="68"/>
      <c r="L20" s="68"/>
      <c r="M20" s="68"/>
      <c r="N20" s="21">
        <f t="shared" si="7"/>
        <v>23571</v>
      </c>
      <c r="O20" s="32">
        <f t="shared" si="8"/>
        <v>0.0135290188</v>
      </c>
    </row>
    <row r="21" ht="15.75" customHeight="1">
      <c r="A21" s="26" t="s">
        <v>25</v>
      </c>
      <c r="B21" s="20">
        <v>0.0</v>
      </c>
      <c r="C21" s="19">
        <f>207773.63/31</f>
        <v>6702.375161</v>
      </c>
      <c r="D21" s="19">
        <f>13000+256462.18</f>
        <v>269462.18</v>
      </c>
      <c r="E21" s="19">
        <f>288169.74+13000</f>
        <v>301169.74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577334.2952</v>
      </c>
      <c r="O21" s="32">
        <f t="shared" si="8"/>
        <v>0.331371878</v>
      </c>
    </row>
    <row r="22" ht="15.75" customHeight="1">
      <c r="A22" s="14" t="s">
        <v>26</v>
      </c>
      <c r="B22" s="20">
        <v>0.0</v>
      </c>
      <c r="C22" s="20">
        <v>0.0</v>
      </c>
      <c r="D22" s="20">
        <f t="shared" ref="D22:E22" si="9">5145+2360</f>
        <v>7505</v>
      </c>
      <c r="E22" s="20">
        <f t="shared" si="9"/>
        <v>7505</v>
      </c>
      <c r="F22" s="20"/>
      <c r="G22" s="20"/>
      <c r="H22" s="19"/>
      <c r="I22" s="19"/>
      <c r="J22" s="19"/>
      <c r="K22" s="19"/>
      <c r="L22" s="19"/>
      <c r="M22" s="19"/>
      <c r="N22" s="21">
        <f t="shared" si="7"/>
        <v>15010</v>
      </c>
      <c r="O22" s="32">
        <f t="shared" si="8"/>
        <v>0.008615271828</v>
      </c>
    </row>
    <row r="23" ht="15.75" customHeight="1">
      <c r="A23" s="39" t="s">
        <v>27</v>
      </c>
      <c r="B23" s="20">
        <f t="shared" ref="B23:D23" si="10">3682/12</f>
        <v>306.8333333</v>
      </c>
      <c r="C23" s="20">
        <f t="shared" si="10"/>
        <v>306.8333333</v>
      </c>
      <c r="D23" s="20">
        <f t="shared" si="10"/>
        <v>306.8333333</v>
      </c>
      <c r="E23" s="20">
        <f t="shared" ref="E23:G23" si="11">3682/12+845.67</f>
        <v>1152.503333</v>
      </c>
      <c r="F23" s="20">
        <f t="shared" si="11"/>
        <v>1152.503333</v>
      </c>
      <c r="G23" s="20">
        <f t="shared" si="11"/>
        <v>1152.503333</v>
      </c>
      <c r="H23" s="20">
        <f t="shared" ref="H23:M23" si="12">3682/12</f>
        <v>306.8333333</v>
      </c>
      <c r="I23" s="20">
        <f t="shared" si="12"/>
        <v>306.8333333</v>
      </c>
      <c r="J23" s="20">
        <f t="shared" si="12"/>
        <v>306.8333333</v>
      </c>
      <c r="K23" s="20">
        <f t="shared" si="12"/>
        <v>306.8333333</v>
      </c>
      <c r="L23" s="20">
        <f t="shared" si="12"/>
        <v>306.8333333</v>
      </c>
      <c r="M23" s="20">
        <f t="shared" si="12"/>
        <v>306.8333333</v>
      </c>
      <c r="N23" s="21">
        <f t="shared" si="7"/>
        <v>6219.01</v>
      </c>
      <c r="O23" s="32">
        <f t="shared" si="8"/>
        <v>0.003569517765</v>
      </c>
    </row>
    <row r="24" ht="15.75" customHeight="1">
      <c r="A24" s="26" t="s">
        <v>28</v>
      </c>
      <c r="B24" s="35">
        <v>0.0</v>
      </c>
      <c r="C24" s="35">
        <v>5989.0</v>
      </c>
      <c r="D24" s="35">
        <v>0.0</v>
      </c>
      <c r="E24" s="35">
        <f>'Misc Exp'!H43</f>
        <v>39364</v>
      </c>
      <c r="F24" s="20"/>
      <c r="G24" s="20"/>
      <c r="H24" s="20"/>
      <c r="I24" s="20"/>
      <c r="J24" s="20"/>
      <c r="K24" s="20"/>
      <c r="L24" s="19"/>
      <c r="M24" s="19"/>
      <c r="N24" s="21">
        <f t="shared" si="7"/>
        <v>45353</v>
      </c>
      <c r="O24" s="32">
        <f t="shared" si="8"/>
        <v>0.02603120741</v>
      </c>
    </row>
    <row r="25" ht="15.75" customHeight="1">
      <c r="A25" s="26" t="s">
        <v>29</v>
      </c>
      <c r="B25" s="20">
        <v>0.0</v>
      </c>
      <c r="C25" s="20">
        <f>75992/12+278.49</f>
        <v>6611.156667</v>
      </c>
      <c r="D25" s="20">
        <f>75992/12+3087</f>
        <v>9419.666667</v>
      </c>
      <c r="E25" s="20">
        <f>75992/12+'Misc Exp'!H37</f>
        <v>12147.55667</v>
      </c>
      <c r="F25" s="20">
        <f t="shared" ref="F25:M25" si="13">75992/12</f>
        <v>6332.666667</v>
      </c>
      <c r="G25" s="20">
        <f t="shared" si="13"/>
        <v>6332.666667</v>
      </c>
      <c r="H25" s="20">
        <f t="shared" si="13"/>
        <v>6332.666667</v>
      </c>
      <c r="I25" s="20">
        <f t="shared" si="13"/>
        <v>6332.666667</v>
      </c>
      <c r="J25" s="20">
        <f t="shared" si="13"/>
        <v>6332.666667</v>
      </c>
      <c r="K25" s="20">
        <f t="shared" si="13"/>
        <v>6332.666667</v>
      </c>
      <c r="L25" s="20">
        <f t="shared" si="13"/>
        <v>6332.666667</v>
      </c>
      <c r="M25" s="20">
        <f t="shared" si="13"/>
        <v>6332.666667</v>
      </c>
      <c r="N25" s="21">
        <f t="shared" si="7"/>
        <v>78839.71333</v>
      </c>
      <c r="O25" s="32">
        <f t="shared" si="8"/>
        <v>0.04525153639</v>
      </c>
    </row>
    <row r="26" ht="15.75" customHeight="1">
      <c r="A26" s="26" t="s">
        <v>30</v>
      </c>
      <c r="B26" s="20">
        <v>0.0</v>
      </c>
      <c r="C26" s="20">
        <v>0.0</v>
      </c>
      <c r="D26" s="20">
        <v>0.0</v>
      </c>
      <c r="E26" s="20">
        <v>0.0</v>
      </c>
      <c r="F26" s="20"/>
      <c r="G26" s="20"/>
      <c r="H26" s="20"/>
      <c r="I26" s="20"/>
      <c r="J26" s="20"/>
      <c r="K26" s="20"/>
      <c r="L26" s="20"/>
      <c r="M26" s="19"/>
      <c r="N26" s="21">
        <f t="shared" si="7"/>
        <v>0</v>
      </c>
      <c r="O26" s="32">
        <f t="shared" si="8"/>
        <v>0</v>
      </c>
    </row>
    <row r="27" ht="15.75" customHeight="1">
      <c r="A27" s="26" t="s">
        <v>31</v>
      </c>
      <c r="B27" s="20">
        <v>0.0</v>
      </c>
      <c r="C27" s="19">
        <f>HO!H35</f>
        <v>8175.451583</v>
      </c>
      <c r="D27" s="19">
        <f>HO!L35</f>
        <v>99454.06659</v>
      </c>
      <c r="E27" s="19">
        <f>HO!P35</f>
        <v>141736.6596</v>
      </c>
      <c r="F27" s="19"/>
      <c r="G27" s="19"/>
      <c r="H27" s="19"/>
      <c r="I27" s="19"/>
      <c r="J27" s="19"/>
      <c r="K27" s="19"/>
      <c r="L27" s="19"/>
      <c r="M27" s="19" t="str">
        <f>HO!P72</f>
        <v>#DIV/0!</v>
      </c>
      <c r="N27" s="21" t="str">
        <f t="shared" si="7"/>
        <v>#DIV/0!</v>
      </c>
      <c r="O27" s="32" t="str">
        <f t="shared" si="8"/>
        <v>#DIV/0!</v>
      </c>
    </row>
    <row r="28" ht="15.75" customHeight="1">
      <c r="A28" s="41" t="s">
        <v>32</v>
      </c>
      <c r="B28" s="42">
        <f t="shared" ref="B28:M28" si="14">+SUM(B14:B27)</f>
        <v>306.8333333</v>
      </c>
      <c r="C28" s="42">
        <f t="shared" si="14"/>
        <v>75118.23244</v>
      </c>
      <c r="D28" s="42">
        <f t="shared" si="14"/>
        <v>986084.7466</v>
      </c>
      <c r="E28" s="42">
        <f t="shared" si="14"/>
        <v>1195850.93</v>
      </c>
      <c r="F28" s="43">
        <f t="shared" si="14"/>
        <v>7485.17</v>
      </c>
      <c r="G28" s="42">
        <f t="shared" si="14"/>
        <v>7485.17</v>
      </c>
      <c r="H28" s="42">
        <f t="shared" si="14"/>
        <v>6639.5</v>
      </c>
      <c r="I28" s="42">
        <f t="shared" si="14"/>
        <v>6639.5</v>
      </c>
      <c r="J28" s="42">
        <f t="shared" si="14"/>
        <v>6639.5</v>
      </c>
      <c r="K28" s="42">
        <f t="shared" si="14"/>
        <v>6639.5</v>
      </c>
      <c r="L28" s="42">
        <f t="shared" si="14"/>
        <v>6639.5</v>
      </c>
      <c r="M28" s="42" t="str">
        <f t="shared" si="14"/>
        <v>#DIV/0!</v>
      </c>
      <c r="N28" s="42" t="str">
        <f t="shared" si="7"/>
        <v>#DIV/0!</v>
      </c>
      <c r="O28" s="44" t="str">
        <f t="shared" si="8"/>
        <v>#DIV/0!</v>
      </c>
    </row>
    <row r="29" ht="15.75" customHeight="1">
      <c r="A29" s="45" t="s">
        <v>33</v>
      </c>
      <c r="B29" s="46">
        <f t="shared" ref="B29:M29" si="15">B13-B28</f>
        <v>-306.8333333</v>
      </c>
      <c r="C29" s="46">
        <f t="shared" si="15"/>
        <v>-18826.75984</v>
      </c>
      <c r="D29" s="46">
        <f t="shared" si="15"/>
        <v>-288741.0562</v>
      </c>
      <c r="E29" s="46">
        <f t="shared" si="15"/>
        <v>-207231.1412</v>
      </c>
      <c r="F29" s="46">
        <f t="shared" si="15"/>
        <v>-7485.17</v>
      </c>
      <c r="G29" s="46">
        <f t="shared" si="15"/>
        <v>-7485.17</v>
      </c>
      <c r="H29" s="46">
        <f t="shared" si="15"/>
        <v>-6639.5</v>
      </c>
      <c r="I29" s="46">
        <f t="shared" si="15"/>
        <v>-6639.5</v>
      </c>
      <c r="J29" s="46">
        <f t="shared" si="15"/>
        <v>-6639.5</v>
      </c>
      <c r="K29" s="46">
        <f t="shared" si="15"/>
        <v>-6639.5</v>
      </c>
      <c r="L29" s="46">
        <f t="shared" si="15"/>
        <v>-6639.5</v>
      </c>
      <c r="M29" s="46" t="str">
        <f t="shared" si="15"/>
        <v>#DIV/0!</v>
      </c>
      <c r="N29" s="46" t="str">
        <f t="shared" si="7"/>
        <v>#DIV/0!</v>
      </c>
      <c r="O29" s="47" t="str">
        <f t="shared" si="8"/>
        <v>#DIV/0!</v>
      </c>
    </row>
    <row r="30" ht="15.75" customHeight="1">
      <c r="A30" s="48" t="s">
        <v>34</v>
      </c>
      <c r="B30" s="49"/>
      <c r="C30" s="49">
        <f t="shared" ref="C30:M30" si="16">(C14/C13)</f>
        <v>0.2618304215</v>
      </c>
      <c r="D30" s="49">
        <f t="shared" si="16"/>
        <v>0.3245974734</v>
      </c>
      <c r="E30" s="49">
        <f t="shared" si="16"/>
        <v>0.2538483176</v>
      </c>
      <c r="F30" s="50" t="str">
        <f t="shared" si="16"/>
        <v>#DIV/0!</v>
      </c>
      <c r="G30" s="49" t="str">
        <f t="shared" si="16"/>
        <v>#DIV/0!</v>
      </c>
      <c r="H30" s="49" t="str">
        <f t="shared" si="16"/>
        <v>#DIV/0!</v>
      </c>
      <c r="I30" s="49" t="str">
        <f t="shared" si="16"/>
        <v>#DIV/0!</v>
      </c>
      <c r="J30" s="49" t="str">
        <f t="shared" si="16"/>
        <v>#DIV/0!</v>
      </c>
      <c r="K30" s="49" t="str">
        <f t="shared" si="16"/>
        <v>#DIV/0!</v>
      </c>
      <c r="L30" s="49" t="str">
        <f t="shared" si="16"/>
        <v>#DIV/0!</v>
      </c>
      <c r="M30" s="49" t="str">
        <f t="shared" si="16"/>
        <v>#DIV/0!</v>
      </c>
      <c r="N30" s="51"/>
      <c r="O30" s="51"/>
    </row>
    <row r="31" ht="15.75" customHeight="1"/>
    <row r="32" ht="15.75" customHeight="1">
      <c r="B32" s="73">
        <f t="shared" ref="B32:L32" si="17">B29+B27</f>
        <v>-306.8333333</v>
      </c>
      <c r="C32" s="73">
        <f t="shared" si="17"/>
        <v>-10651.30826</v>
      </c>
      <c r="D32" s="73">
        <f t="shared" si="17"/>
        <v>-189286.9896</v>
      </c>
      <c r="E32" s="73">
        <f t="shared" si="17"/>
        <v>-65494.4816</v>
      </c>
      <c r="F32" s="73">
        <f t="shared" si="17"/>
        <v>-7485.17</v>
      </c>
      <c r="G32" s="73">
        <f t="shared" si="17"/>
        <v>-7485.17</v>
      </c>
      <c r="H32" s="73">
        <f t="shared" si="17"/>
        <v>-6639.5</v>
      </c>
      <c r="I32" s="73">
        <f t="shared" si="17"/>
        <v>-6639.5</v>
      </c>
      <c r="J32" s="73">
        <f t="shared" si="17"/>
        <v>-6639.5</v>
      </c>
      <c r="K32" s="73">
        <f t="shared" si="17"/>
        <v>-6639.5</v>
      </c>
      <c r="L32" s="73">
        <f t="shared" si="17"/>
        <v>-6639.5</v>
      </c>
    </row>
    <row r="33" ht="15.75" customHeight="1">
      <c r="B33" s="80" t="str">
        <f t="shared" ref="B33:L33" si="18">B32/B13</f>
        <v>#DIV/0!</v>
      </c>
      <c r="C33" s="80">
        <f t="shared" si="18"/>
        <v>-0.1892170833</v>
      </c>
      <c r="D33" s="80">
        <f t="shared" si="18"/>
        <v>-0.2714400262</v>
      </c>
      <c r="E33" s="80">
        <f t="shared" si="18"/>
        <v>-0.06624840244</v>
      </c>
      <c r="F33" s="80" t="str">
        <f t="shared" si="18"/>
        <v>#DIV/0!</v>
      </c>
      <c r="G33" s="80" t="str">
        <f t="shared" si="18"/>
        <v>#DIV/0!</v>
      </c>
      <c r="H33" s="80" t="str">
        <f t="shared" si="18"/>
        <v>#DIV/0!</v>
      </c>
      <c r="I33" s="80" t="str">
        <f t="shared" si="18"/>
        <v>#DIV/0!</v>
      </c>
      <c r="J33" s="80" t="str">
        <f t="shared" si="18"/>
        <v>#DIV/0!</v>
      </c>
      <c r="K33" s="80" t="str">
        <f t="shared" si="18"/>
        <v>#DIV/0!</v>
      </c>
      <c r="L33" s="80" t="str">
        <f t="shared" si="18"/>
        <v>#DIV/0!</v>
      </c>
    </row>
    <row r="34" ht="15.75" customHeight="1">
      <c r="B34" s="70"/>
      <c r="C34" s="70"/>
      <c r="D34" s="70"/>
      <c r="E34" s="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40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78348.0</v>
      </c>
      <c r="C3" s="17">
        <f t="shared" ref="C3:M3" si="1">B7</f>
        <v>100209.82</v>
      </c>
      <c r="D3" s="20">
        <f t="shared" si="1"/>
        <v>143033.64</v>
      </c>
      <c r="E3" s="19">
        <f t="shared" si="1"/>
        <v>55298</v>
      </c>
      <c r="F3" s="19">
        <f t="shared" si="1"/>
        <v>57088.88</v>
      </c>
      <c r="G3" s="19">
        <f t="shared" si="1"/>
        <v>57608</v>
      </c>
      <c r="H3" s="19" t="str">
        <f t="shared" si="1"/>
        <v/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361478.61</v>
      </c>
      <c r="C4" s="24">
        <v>363635.7</v>
      </c>
      <c r="D4" s="20">
        <f>294665</f>
        <v>294665</v>
      </c>
      <c r="E4" s="20">
        <v>285714.0</v>
      </c>
      <c r="F4" s="20">
        <v>325790.0</v>
      </c>
      <c r="G4" s="20"/>
      <c r="H4" s="20"/>
      <c r="I4" s="20"/>
      <c r="J4" s="20"/>
      <c r="K4" s="20"/>
      <c r="L4" s="20"/>
      <c r="M4" s="20"/>
      <c r="N4" s="21">
        <f>sum(B4:M4)</f>
        <v>1631283.31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0">
        <v>58615.0</v>
      </c>
      <c r="E5" s="20">
        <v>0.0</v>
      </c>
      <c r="F5" s="20">
        <v>0.0</v>
      </c>
      <c r="G5" s="20"/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31458.79</v>
      </c>
      <c r="C6" s="24">
        <v>36286.69</v>
      </c>
      <c r="D6" s="20">
        <v>35459.0</v>
      </c>
      <c r="E6" s="20">
        <v>26797.58</v>
      </c>
      <c r="F6" s="20">
        <v>23559.0</v>
      </c>
      <c r="G6" s="20"/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100209.82</v>
      </c>
      <c r="C7" s="24">
        <v>143033.64</v>
      </c>
      <c r="D7" s="20">
        <v>55298.0</v>
      </c>
      <c r="E7" s="20">
        <v>57088.88</v>
      </c>
      <c r="F7" s="20">
        <v>57608.0</v>
      </c>
      <c r="G7" s="20"/>
      <c r="H7" s="20"/>
      <c r="I7" s="20"/>
      <c r="J7" s="20"/>
      <c r="K7" s="20"/>
      <c r="L7" s="20"/>
      <c r="M7" s="20"/>
      <c r="N7" s="21">
        <f>sum(B7:M7)</f>
        <v>413238.34</v>
      </c>
      <c r="O7" s="22"/>
      <c r="Q7" s="74"/>
    </row>
    <row r="8" ht="15.75" customHeight="1">
      <c r="A8" s="12"/>
      <c r="B8" s="75"/>
      <c r="C8" s="75"/>
      <c r="D8" s="75"/>
      <c r="E8" s="75"/>
      <c r="F8" s="76"/>
      <c r="G8" s="75"/>
      <c r="H8" s="75"/>
      <c r="I8" s="75"/>
      <c r="J8" s="75"/>
      <c r="K8" s="75"/>
      <c r="L8" s="75"/>
      <c r="M8" s="75"/>
      <c r="N8" s="12"/>
      <c r="O8" s="12"/>
    </row>
    <row r="9" ht="15.75" customHeight="1">
      <c r="A9" s="26" t="s">
        <v>13</v>
      </c>
      <c r="B9" s="17">
        <f>1303527.71*1.05+35408.57*1.05</f>
        <v>1405883.094</v>
      </c>
      <c r="C9" s="19">
        <f>1336868.78*1.05+35334.73*1.05</f>
        <v>1440813.686</v>
      </c>
      <c r="D9" s="19">
        <f>1165780.58*1.05+20*1.05+28812.49*1.05</f>
        <v>1254343.724</v>
      </c>
      <c r="E9" s="19">
        <f>1101048.17*1.05+22786.49*1.05</f>
        <v>1180026.393</v>
      </c>
      <c r="F9" s="19"/>
      <c r="G9" s="19"/>
      <c r="H9" s="20"/>
      <c r="I9" s="19"/>
      <c r="J9" s="19"/>
      <c r="K9" s="20"/>
      <c r="L9" s="19"/>
      <c r="M9" s="19"/>
      <c r="N9" s="21">
        <f t="shared" ref="N9:N12" si="3">+SUM(B9:M9)</f>
        <v>5281066.896</v>
      </c>
      <c r="O9" s="22"/>
    </row>
    <row r="10" ht="15.75" customHeight="1">
      <c r="A10" s="26" t="s">
        <v>14</v>
      </c>
      <c r="B10" s="24">
        <v>0.0</v>
      </c>
      <c r="C10" s="20">
        <v>0.0</v>
      </c>
      <c r="D10" s="20">
        <v>0.0</v>
      </c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7">
        <f t="shared" ref="B11:M11" si="4">(B9+B10)/1.05*0.05</f>
        <v>66946.814</v>
      </c>
      <c r="C11" s="19">
        <f t="shared" si="4"/>
        <v>68610.1755</v>
      </c>
      <c r="D11" s="19">
        <f t="shared" si="4"/>
        <v>59730.6535</v>
      </c>
      <c r="E11" s="19">
        <f t="shared" si="4"/>
        <v>56191.733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251479.376</v>
      </c>
      <c r="O11" s="22"/>
    </row>
    <row r="12" ht="15.75" customHeight="1">
      <c r="A12" s="26" t="s">
        <v>16</v>
      </c>
      <c r="B12" s="17">
        <f>83341.97*1.18+30706.72*1.18+2848.64*1.18</f>
        <v>137938.8494</v>
      </c>
      <c r="C12" s="19">
        <f>82786*1.18+37443.78*1.18+2224.36*1.18+11.91</f>
        <v>144507.7952</v>
      </c>
      <c r="D12" s="19">
        <f>67395.08*1.18+(6914.64/0.18)*1.18+2109.48*1.18+18.71</f>
        <v>127363.3975</v>
      </c>
      <c r="E12" s="19">
        <f>53963*1.18+34229.83*1.18+1318*1.18</f>
        <v>105622.7794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515432.8215</v>
      </c>
      <c r="O12" s="22"/>
    </row>
    <row r="13" ht="15.75" customHeight="1">
      <c r="A13" s="27" t="s">
        <v>17</v>
      </c>
      <c r="B13" s="28">
        <f t="shared" ref="B13:M13" si="5">B9+B10-B11-B12</f>
        <v>1200997.431</v>
      </c>
      <c r="C13" s="28">
        <f t="shared" si="5"/>
        <v>1227695.715</v>
      </c>
      <c r="D13" s="28">
        <f t="shared" si="5"/>
        <v>1067249.673</v>
      </c>
      <c r="E13" s="28">
        <f t="shared" si="5"/>
        <v>1018211.881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4514154.699</v>
      </c>
      <c r="O13" s="30">
        <f t="shared" ref="O13:O18" si="8">N13/$N$7</f>
        <v>10.92385256</v>
      </c>
    </row>
    <row r="14" ht="15.75" customHeight="1">
      <c r="A14" s="26" t="s">
        <v>18</v>
      </c>
      <c r="B14" s="31">
        <f t="shared" ref="B14:E14" si="6">+B3+B4-B5-B7</f>
        <v>339616.79</v>
      </c>
      <c r="C14" s="31">
        <f t="shared" si="6"/>
        <v>320811.88</v>
      </c>
      <c r="D14" s="31">
        <f t="shared" si="6"/>
        <v>323785.64</v>
      </c>
      <c r="E14" s="31">
        <f t="shared" si="6"/>
        <v>283923.12</v>
      </c>
      <c r="F14" s="78"/>
      <c r="G14" s="78"/>
      <c r="H14" s="78"/>
      <c r="I14" s="78"/>
      <c r="J14" s="78"/>
      <c r="K14" s="78"/>
      <c r="L14" s="78"/>
      <c r="M14" s="78"/>
      <c r="N14" s="21">
        <f t="shared" si="7"/>
        <v>1268137.43</v>
      </c>
      <c r="O14" s="32">
        <f t="shared" si="8"/>
        <v>3.068779702</v>
      </c>
    </row>
    <row r="15" ht="15.75" customHeight="1">
      <c r="A15" s="26" t="s">
        <v>19</v>
      </c>
      <c r="B15" s="38">
        <v>72280.0</v>
      </c>
      <c r="C15" s="20">
        <f>88500</f>
        <v>88500</v>
      </c>
      <c r="D15" s="20">
        <f>80270</f>
        <v>80270</v>
      </c>
      <c r="E15" s="33">
        <f>85000</f>
        <v>85000</v>
      </c>
      <c r="F15" s="20"/>
      <c r="G15" s="20"/>
      <c r="H15" s="20"/>
      <c r="I15" s="20"/>
      <c r="J15" s="19"/>
      <c r="K15" s="20"/>
      <c r="L15" s="19"/>
      <c r="M15" s="20"/>
      <c r="N15" s="21">
        <f t="shared" si="7"/>
        <v>326050</v>
      </c>
      <c r="O15" s="32">
        <f t="shared" si="8"/>
        <v>0.7890119779</v>
      </c>
    </row>
    <row r="16" ht="15.75" customHeight="1">
      <c r="A16" s="26" t="s">
        <v>20</v>
      </c>
      <c r="B16" s="38">
        <f t="shared" ref="B16:D16" si="9">1414+199</f>
        <v>1613</v>
      </c>
      <c r="C16" s="38">
        <f t="shared" si="9"/>
        <v>1613</v>
      </c>
      <c r="D16" s="38">
        <f t="shared" si="9"/>
        <v>1613</v>
      </c>
      <c r="E16" s="20">
        <f>1414+202</f>
        <v>1616</v>
      </c>
      <c r="F16" s="19"/>
      <c r="G16" s="19"/>
      <c r="H16" s="19"/>
      <c r="I16" s="19"/>
      <c r="J16" s="19"/>
      <c r="K16" s="19"/>
      <c r="L16" s="19"/>
      <c r="M16" s="19"/>
      <c r="N16" s="21">
        <f t="shared" si="7"/>
        <v>6455</v>
      </c>
      <c r="O16" s="32">
        <f t="shared" si="8"/>
        <v>0.01562052543</v>
      </c>
    </row>
    <row r="17" ht="15.75" customHeight="1">
      <c r="A17" s="26" t="s">
        <v>21</v>
      </c>
      <c r="B17" s="38">
        <f>53111.34</f>
        <v>53111.34</v>
      </c>
      <c r="C17" s="20">
        <v>69665.0</v>
      </c>
      <c r="D17" s="20">
        <v>48582.0</v>
      </c>
      <c r="E17" s="20">
        <v>83801.0</v>
      </c>
      <c r="F17" s="19"/>
      <c r="G17" s="19"/>
      <c r="H17" s="19"/>
      <c r="I17" s="19"/>
      <c r="J17" s="19"/>
      <c r="K17" s="19"/>
      <c r="L17" s="19"/>
      <c r="M17" s="19"/>
      <c r="N17" s="21">
        <f t="shared" si="7"/>
        <v>255159.34</v>
      </c>
      <c r="O17" s="32">
        <f t="shared" si="8"/>
        <v>0.6174628908</v>
      </c>
      <c r="T17" s="79">
        <f>6150*5</f>
        <v>30750</v>
      </c>
    </row>
    <row r="18" ht="15.75" customHeight="1">
      <c r="A18" s="26" t="s">
        <v>22</v>
      </c>
      <c r="B18" s="60">
        <f t="shared" ref="B18:C18" si="10">6490+102660+6490+102660</f>
        <v>218300</v>
      </c>
      <c r="C18" s="60">
        <f t="shared" si="10"/>
        <v>218300</v>
      </c>
      <c r="D18" s="19">
        <f t="shared" ref="D18:E18" si="11">7463+118059+7463+118059</f>
        <v>251044</v>
      </c>
      <c r="E18" s="19">
        <f t="shared" si="11"/>
        <v>251044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938688</v>
      </c>
      <c r="O18" s="32">
        <f t="shared" si="8"/>
        <v>2.271541406</v>
      </c>
    </row>
    <row r="19" ht="15.75" customHeight="1">
      <c r="A19" s="34" t="s">
        <v>42</v>
      </c>
      <c r="B19" s="38">
        <v>1133.0</v>
      </c>
      <c r="C19" s="17">
        <f t="shared" ref="C19:M19" si="12">136716.74/8/12</f>
        <v>1424.132708</v>
      </c>
      <c r="D19" s="17">
        <f t="shared" si="12"/>
        <v>1424.132708</v>
      </c>
      <c r="E19" s="17">
        <f t="shared" si="12"/>
        <v>1424.132708</v>
      </c>
      <c r="F19" s="19">
        <f t="shared" si="12"/>
        <v>1424.132708</v>
      </c>
      <c r="G19" s="19">
        <f t="shared" si="12"/>
        <v>1424.132708</v>
      </c>
      <c r="H19" s="19">
        <f t="shared" si="12"/>
        <v>1424.132708</v>
      </c>
      <c r="I19" s="19">
        <f t="shared" si="12"/>
        <v>1424.132708</v>
      </c>
      <c r="J19" s="19">
        <f t="shared" si="12"/>
        <v>1424.132708</v>
      </c>
      <c r="K19" s="19">
        <f t="shared" si="12"/>
        <v>1424.132708</v>
      </c>
      <c r="L19" s="19">
        <f t="shared" si="12"/>
        <v>1424.132708</v>
      </c>
      <c r="M19" s="19">
        <f t="shared" si="12"/>
        <v>1424.132708</v>
      </c>
      <c r="N19" s="21">
        <f t="shared" si="7"/>
        <v>16798.45979</v>
      </c>
      <c r="O19" s="32"/>
    </row>
    <row r="20" ht="15.75" customHeight="1">
      <c r="A20" s="26" t="s">
        <v>24</v>
      </c>
      <c r="B20" s="38">
        <v>5767.0</v>
      </c>
      <c r="C20" s="38">
        <v>5767.0</v>
      </c>
      <c r="D20" s="38">
        <v>5767.0</v>
      </c>
      <c r="E20" s="38">
        <v>5767.0</v>
      </c>
      <c r="F20" s="19"/>
      <c r="G20" s="19"/>
      <c r="H20" s="19"/>
      <c r="I20" s="19"/>
      <c r="J20" s="19"/>
      <c r="K20" s="19"/>
      <c r="L20" s="19"/>
      <c r="M20" s="19"/>
      <c r="N20" s="21">
        <f t="shared" si="7"/>
        <v>23068</v>
      </c>
      <c r="O20" s="32">
        <f t="shared" ref="O20:O29" si="13">N20/$N$7</f>
        <v>0.05582250669</v>
      </c>
    </row>
    <row r="21" ht="15.75" customHeight="1">
      <c r="A21" s="26" t="s">
        <v>25</v>
      </c>
      <c r="B21" s="60">
        <f>325895+7752</f>
        <v>333647</v>
      </c>
      <c r="C21" s="19">
        <f>334452.43</f>
        <v>334452.43</v>
      </c>
      <c r="D21" s="19">
        <f>325480.51</f>
        <v>325480.51</v>
      </c>
      <c r="E21" s="19">
        <f>297740.05</f>
        <v>297740.05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1291319.99</v>
      </c>
      <c r="O21" s="32">
        <f t="shared" si="13"/>
        <v>3.124879434</v>
      </c>
    </row>
    <row r="22" ht="15.75" customHeight="1">
      <c r="A22" s="14" t="s">
        <v>26</v>
      </c>
      <c r="B22" s="60">
        <f t="shared" ref="B22:E22" si="14">4720+2360</f>
        <v>7080</v>
      </c>
      <c r="C22" s="60">
        <f t="shared" si="14"/>
        <v>7080</v>
      </c>
      <c r="D22" s="60">
        <f t="shared" si="14"/>
        <v>7080</v>
      </c>
      <c r="E22" s="60">
        <f t="shared" si="14"/>
        <v>7080</v>
      </c>
      <c r="F22" s="19"/>
      <c r="G22" s="19"/>
      <c r="H22" s="19"/>
      <c r="I22" s="19"/>
      <c r="J22" s="19"/>
      <c r="K22" s="19"/>
      <c r="L22" s="19"/>
      <c r="M22" s="19"/>
      <c r="N22" s="21">
        <f t="shared" si="7"/>
        <v>28320</v>
      </c>
      <c r="O22" s="32">
        <f t="shared" si="13"/>
        <v>0.06853187921</v>
      </c>
    </row>
    <row r="23" ht="15.75" customHeight="1">
      <c r="A23" s="39" t="s">
        <v>27</v>
      </c>
      <c r="B23" s="60">
        <f t="shared" ref="B23:D23" si="15">2548.84/3+6425/12+9813/12</f>
        <v>2202.78</v>
      </c>
      <c r="C23" s="60">
        <f t="shared" si="15"/>
        <v>2202.78</v>
      </c>
      <c r="D23" s="60">
        <f t="shared" si="15"/>
        <v>2202.78</v>
      </c>
      <c r="E23" s="19">
        <f t="shared" ref="E23:G23" si="16">6425/12+9813/12+2840/3</f>
        <v>2299.833333</v>
      </c>
      <c r="F23" s="19">
        <f t="shared" si="16"/>
        <v>2299.833333</v>
      </c>
      <c r="G23" s="19">
        <f t="shared" si="16"/>
        <v>2299.833333</v>
      </c>
      <c r="H23" s="19">
        <f t="shared" ref="H23:M23" si="17">6425/12+9813/12</f>
        <v>1353.166667</v>
      </c>
      <c r="I23" s="19">
        <f t="shared" si="17"/>
        <v>1353.166667</v>
      </c>
      <c r="J23" s="19">
        <f t="shared" si="17"/>
        <v>1353.166667</v>
      </c>
      <c r="K23" s="19">
        <f t="shared" si="17"/>
        <v>1353.166667</v>
      </c>
      <c r="L23" s="19">
        <f t="shared" si="17"/>
        <v>1353.166667</v>
      </c>
      <c r="M23" s="19">
        <f t="shared" si="17"/>
        <v>1353.166667</v>
      </c>
      <c r="N23" s="21">
        <f t="shared" si="7"/>
        <v>21626.84</v>
      </c>
      <c r="O23" s="32">
        <f t="shared" si="13"/>
        <v>0.05233502777</v>
      </c>
    </row>
    <row r="24" ht="15.75" customHeight="1">
      <c r="A24" s="26" t="s">
        <v>28</v>
      </c>
      <c r="B24" s="69">
        <v>0.0</v>
      </c>
      <c r="C24" s="35">
        <v>404.0</v>
      </c>
      <c r="D24" s="35">
        <v>6800.0</v>
      </c>
      <c r="E24" s="35">
        <f>'Misc Exp'!I43</f>
        <v>11207</v>
      </c>
      <c r="F24" s="20"/>
      <c r="G24" s="20"/>
      <c r="H24" s="20"/>
      <c r="I24" s="20"/>
      <c r="J24" s="20"/>
      <c r="K24" s="20"/>
      <c r="L24" s="20"/>
      <c r="M24" s="20"/>
      <c r="N24" s="21">
        <f t="shared" si="7"/>
        <v>18411</v>
      </c>
      <c r="O24" s="32">
        <f t="shared" si="13"/>
        <v>0.04455298122</v>
      </c>
    </row>
    <row r="25" ht="15.75" customHeight="1">
      <c r="A25" s="26" t="s">
        <v>29</v>
      </c>
      <c r="B25" s="38">
        <v>15328.0</v>
      </c>
      <c r="C25" s="20">
        <v>8889.31</v>
      </c>
      <c r="D25" s="20">
        <v>26011.0</v>
      </c>
      <c r="E25" s="20">
        <f>'Misc Exp'!I37</f>
        <v>15464.64</v>
      </c>
      <c r="F25" s="20"/>
      <c r="G25" s="20"/>
      <c r="H25" s="20"/>
      <c r="I25" s="20"/>
      <c r="J25" s="20"/>
      <c r="K25" s="20"/>
      <c r="L25" s="20"/>
      <c r="M25" s="20"/>
      <c r="N25" s="21">
        <f t="shared" si="7"/>
        <v>65692.95</v>
      </c>
      <c r="O25" s="32">
        <f t="shared" si="13"/>
        <v>0.1589710916</v>
      </c>
    </row>
    <row r="26" ht="15.75" customHeight="1">
      <c r="A26" s="26" t="s">
        <v>30</v>
      </c>
      <c r="B26" s="38">
        <v>0.0</v>
      </c>
      <c r="C26" s="38">
        <v>0.0</v>
      </c>
      <c r="D26" s="20">
        <v>0.0</v>
      </c>
      <c r="E26" s="20">
        <v>0.0</v>
      </c>
      <c r="F26" s="19"/>
      <c r="G26" s="19"/>
      <c r="H26" s="19"/>
      <c r="I26" s="19"/>
      <c r="J26" s="19"/>
      <c r="K26" s="19"/>
      <c r="L26" s="19"/>
      <c r="M26" s="19"/>
      <c r="N26" s="21">
        <f t="shared" si="7"/>
        <v>0</v>
      </c>
      <c r="O26" s="32">
        <f t="shared" si="13"/>
        <v>0</v>
      </c>
    </row>
    <row r="27" ht="15.75" customHeight="1">
      <c r="A27" s="26" t="s">
        <v>31</v>
      </c>
      <c r="B27" s="17">
        <f>HO!D36</f>
        <v>182596.4872</v>
      </c>
      <c r="C27" s="19">
        <f>HO!H36</f>
        <v>178303.5052</v>
      </c>
      <c r="D27" s="19">
        <f>HO!L36</f>
        <v>152209.4793</v>
      </c>
      <c r="E27" s="19">
        <f>HO!P36</f>
        <v>145979.2252</v>
      </c>
      <c r="F27" s="19" t="str">
        <f>HO!D50</f>
        <v>#DIV/0!</v>
      </c>
      <c r="G27" s="19" t="str">
        <f>HO!H50</f>
        <v>#DIV/0!</v>
      </c>
      <c r="H27" s="19" t="str">
        <f>HO!L50</f>
        <v>#DIV/0!</v>
      </c>
      <c r="I27" s="19" t="str">
        <f>HO!P50</f>
        <v>#DIV/0!</v>
      </c>
      <c r="J27" s="19" t="str">
        <f>HO!D66</f>
        <v>#DIV/0!</v>
      </c>
      <c r="K27" s="19" t="str">
        <f>HO!H66</f>
        <v>#DIV/0!</v>
      </c>
      <c r="L27" s="19" t="str">
        <f>HO!L66</f>
        <v>#DIV/0!</v>
      </c>
      <c r="M27" s="19" t="str">
        <f>HO!P66</f>
        <v>#DIV/0!</v>
      </c>
      <c r="N27" s="21" t="str">
        <f t="shared" si="7"/>
        <v>#DIV/0!</v>
      </c>
      <c r="O27" s="32" t="str">
        <f t="shared" si="13"/>
        <v>#DIV/0!</v>
      </c>
    </row>
    <row r="28" ht="15.75" customHeight="1">
      <c r="A28" s="41" t="s">
        <v>32</v>
      </c>
      <c r="B28" s="63">
        <f t="shared" ref="B28:M28" si="18">+SUM(B14:B27)</f>
        <v>1232675.397</v>
      </c>
      <c r="C28" s="42">
        <f t="shared" si="18"/>
        <v>1237413.038</v>
      </c>
      <c r="D28" s="42">
        <f t="shared" si="18"/>
        <v>1232269.542</v>
      </c>
      <c r="E28" s="42">
        <f t="shared" si="18"/>
        <v>1192346.001</v>
      </c>
      <c r="F28" s="43" t="str">
        <f t="shared" si="18"/>
        <v>#DIV/0!</v>
      </c>
      <c r="G28" s="42" t="str">
        <f t="shared" si="18"/>
        <v>#DIV/0!</v>
      </c>
      <c r="H28" s="42" t="str">
        <f t="shared" si="18"/>
        <v>#DIV/0!</v>
      </c>
      <c r="I28" s="42" t="str">
        <f t="shared" si="18"/>
        <v>#DIV/0!</v>
      </c>
      <c r="J28" s="42" t="str">
        <f t="shared" si="18"/>
        <v>#DIV/0!</v>
      </c>
      <c r="K28" s="42" t="str">
        <f t="shared" si="18"/>
        <v>#DIV/0!</v>
      </c>
      <c r="L28" s="42" t="str">
        <f t="shared" si="18"/>
        <v>#DIV/0!</v>
      </c>
      <c r="M28" s="42" t="str">
        <f t="shared" si="18"/>
        <v>#DIV/0!</v>
      </c>
      <c r="N28" s="42" t="str">
        <f t="shared" si="7"/>
        <v>#DIV/0!</v>
      </c>
      <c r="O28" s="44" t="str">
        <f t="shared" si="13"/>
        <v>#DIV/0!</v>
      </c>
    </row>
    <row r="29" ht="15.75" customHeight="1">
      <c r="A29" s="45" t="s">
        <v>33</v>
      </c>
      <c r="B29" s="81">
        <f t="shared" ref="B29:M29" si="19">B13-B28</f>
        <v>-31677.96663</v>
      </c>
      <c r="C29" s="46">
        <f t="shared" si="19"/>
        <v>-9717.32306</v>
      </c>
      <c r="D29" s="46">
        <f t="shared" si="19"/>
        <v>-165019.8695</v>
      </c>
      <c r="E29" s="46">
        <f t="shared" si="19"/>
        <v>-174134.1206</v>
      </c>
      <c r="F29" s="46" t="str">
        <f t="shared" si="19"/>
        <v>#DIV/0!</v>
      </c>
      <c r="G29" s="46" t="str">
        <f t="shared" si="19"/>
        <v>#DIV/0!</v>
      </c>
      <c r="H29" s="46" t="str">
        <f t="shared" si="19"/>
        <v>#DIV/0!</v>
      </c>
      <c r="I29" s="46" t="str">
        <f t="shared" si="19"/>
        <v>#DIV/0!</v>
      </c>
      <c r="J29" s="46" t="str">
        <f t="shared" si="19"/>
        <v>#DIV/0!</v>
      </c>
      <c r="K29" s="82" t="str">
        <f t="shared" si="19"/>
        <v>#DIV/0!</v>
      </c>
      <c r="L29" s="82" t="str">
        <f t="shared" si="19"/>
        <v>#DIV/0!</v>
      </c>
      <c r="M29" s="82" t="str">
        <f t="shared" si="19"/>
        <v>#DIV/0!</v>
      </c>
      <c r="N29" s="46" t="str">
        <f t="shared" si="7"/>
        <v>#DIV/0!</v>
      </c>
      <c r="O29" s="47" t="str">
        <f t="shared" si="13"/>
        <v>#DIV/0!</v>
      </c>
    </row>
    <row r="30" ht="15.75" customHeight="1">
      <c r="A30" s="48" t="s">
        <v>34</v>
      </c>
      <c r="B30" s="49">
        <f t="shared" ref="B30:M30" si="20">(B14/B13)</f>
        <v>0.282778948</v>
      </c>
      <c r="C30" s="49">
        <f t="shared" si="20"/>
        <v>0.2613122096</v>
      </c>
      <c r="D30" s="49">
        <f t="shared" si="20"/>
        <v>0.3033832179</v>
      </c>
      <c r="E30" s="49">
        <f t="shared" si="20"/>
        <v>0.2788448312</v>
      </c>
      <c r="F30" s="50" t="str">
        <f t="shared" si="20"/>
        <v>#DIV/0!</v>
      </c>
      <c r="G30" s="49" t="str">
        <f t="shared" si="20"/>
        <v>#DIV/0!</v>
      </c>
      <c r="H30" s="49" t="str">
        <f t="shared" si="20"/>
        <v>#DIV/0!</v>
      </c>
      <c r="I30" s="49" t="str">
        <f t="shared" si="20"/>
        <v>#DIV/0!</v>
      </c>
      <c r="J30" s="49" t="str">
        <f t="shared" si="20"/>
        <v>#DIV/0!</v>
      </c>
      <c r="K30" s="49" t="str">
        <f t="shared" si="20"/>
        <v>#DIV/0!</v>
      </c>
      <c r="L30" s="49" t="str">
        <f t="shared" si="20"/>
        <v>#DIV/0!</v>
      </c>
      <c r="M30" s="49" t="str">
        <f t="shared" si="20"/>
        <v>#DIV/0!</v>
      </c>
      <c r="N30" s="51"/>
      <c r="O30" s="51"/>
    </row>
    <row r="31" ht="15.75" customHeight="1"/>
    <row r="32" ht="15.75" customHeight="1">
      <c r="B32" s="52">
        <f t="shared" ref="B32:C32" si="21">B29+B27</f>
        <v>150918.5206</v>
      </c>
      <c r="C32" s="52">
        <f t="shared" si="21"/>
        <v>168586.1821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</row>
    <row r="33" ht="15.75" customHeight="1">
      <c r="B33" s="53">
        <f t="shared" ref="B33:C33" si="22">B32/B13</f>
        <v>0.1256609854</v>
      </c>
      <c r="C33" s="53">
        <f t="shared" si="22"/>
        <v>0.1373191908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ht="15.75" customHeight="1">
      <c r="F34" s="52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41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64172.0</v>
      </c>
      <c r="C3" s="19">
        <f t="shared" ref="C3:M3" si="1">B7</f>
        <v>59523</v>
      </c>
      <c r="D3" s="19">
        <f t="shared" si="1"/>
        <v>62632.61</v>
      </c>
      <c r="E3" s="19">
        <f t="shared" si="1"/>
        <v>67150</v>
      </c>
      <c r="F3" s="19">
        <f t="shared" si="1"/>
        <v>62298</v>
      </c>
      <c r="G3" s="19">
        <f t="shared" si="1"/>
        <v>63799</v>
      </c>
      <c r="H3" s="19" t="str">
        <f t="shared" si="1"/>
        <v/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344563.0</v>
      </c>
      <c r="C4" s="20">
        <v>444302.0</v>
      </c>
      <c r="D4" s="20">
        <v>412057.0</v>
      </c>
      <c r="E4" s="20">
        <v>403045.62</v>
      </c>
      <c r="F4" s="20">
        <f>452606</f>
        <v>452606</v>
      </c>
      <c r="G4" s="20"/>
      <c r="H4" s="20"/>
      <c r="I4" s="20"/>
      <c r="J4" s="20"/>
      <c r="K4" s="20"/>
      <c r="L4" s="20"/>
      <c r="M4" s="20"/>
      <c r="N4" s="21">
        <f>sum(B4:M4)</f>
        <v>2056573.62</v>
      </c>
      <c r="O4" s="22"/>
    </row>
    <row r="5" ht="15.75" customHeight="1">
      <c r="A5" s="14" t="s">
        <v>10</v>
      </c>
      <c r="B5" s="24">
        <v>0.0</v>
      </c>
      <c r="C5" s="20">
        <v>0.0</v>
      </c>
      <c r="D5" s="20">
        <v>0.0</v>
      </c>
      <c r="E5" s="20">
        <v>0.0</v>
      </c>
      <c r="F5" s="20">
        <v>0.0</v>
      </c>
      <c r="G5" s="20"/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22818.0</v>
      </c>
      <c r="C6" s="20">
        <v>27175.0</v>
      </c>
      <c r="D6" s="20">
        <v>25578.62</v>
      </c>
      <c r="E6" s="20">
        <v>25206.0</v>
      </c>
      <c r="F6" s="20">
        <v>23593.0</v>
      </c>
      <c r="G6" s="20"/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59523.0</v>
      </c>
      <c r="C7" s="20">
        <v>62632.61</v>
      </c>
      <c r="D7" s="20">
        <v>67150.0</v>
      </c>
      <c r="E7" s="20">
        <v>62298.0</v>
      </c>
      <c r="F7" s="20">
        <v>63799.0</v>
      </c>
      <c r="G7" s="20"/>
      <c r="H7" s="20"/>
      <c r="I7" s="20"/>
      <c r="J7" s="20"/>
      <c r="K7" s="20"/>
      <c r="L7" s="20"/>
      <c r="M7" s="20"/>
      <c r="N7" s="21">
        <f>sum(B7:M7)</f>
        <v>315402.61</v>
      </c>
      <c r="O7" s="22"/>
    </row>
    <row r="8" ht="15.75" customHeight="1">
      <c r="A8" s="12"/>
      <c r="B8" s="57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7">
        <f>1473883.68*1.05+58146.64*1.05</f>
        <v>1608631.836</v>
      </c>
      <c r="C9" s="19">
        <f>1683163.36*1.05+66713.8*1.05</f>
        <v>1837371.018</v>
      </c>
      <c r="D9" s="19">
        <f>1509923.57*1.05+60943.3*1.05</f>
        <v>1649410.214</v>
      </c>
      <c r="E9" s="20">
        <f>1527493.87*1.05+63844.53*1.05</f>
        <v>1670905.32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6766318.388</v>
      </c>
      <c r="O9" s="22"/>
    </row>
    <row r="10" ht="15.75" customHeight="1">
      <c r="A10" s="26" t="s">
        <v>14</v>
      </c>
      <c r="B10" s="24">
        <v>0.0</v>
      </c>
      <c r="C10" s="20">
        <v>0.0</v>
      </c>
      <c r="D10" s="20">
        <v>0.0</v>
      </c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7">
        <f t="shared" ref="B11:M11" si="4">(B9+B10)/1.05*0.05</f>
        <v>76601.516</v>
      </c>
      <c r="C11" s="19">
        <f t="shared" si="4"/>
        <v>87493.858</v>
      </c>
      <c r="D11" s="19">
        <f t="shared" si="4"/>
        <v>78543.3435</v>
      </c>
      <c r="E11" s="19">
        <f t="shared" si="4"/>
        <v>79566.92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322205.6375</v>
      </c>
      <c r="O11" s="22"/>
    </row>
    <row r="12" ht="15.75" customHeight="1">
      <c r="A12" s="26" t="s">
        <v>16</v>
      </c>
      <c r="B12" s="24">
        <f>134910.56*1.18+47701.3*1.18+1466.79*1.18</f>
        <v>217212.807</v>
      </c>
      <c r="C12" s="19">
        <f>155264.77*1.18+60301.98*1.18+959.71*1.18</f>
        <v>255501.2228</v>
      </c>
      <c r="D12" s="19">
        <f>141561.24*1.18+(11477.13/0.18)*1.18+1019.46*1.18+100.79</f>
        <v>243584.9793</v>
      </c>
      <c r="E12" s="19">
        <f>148282.42*1.18+67904.17*1.18+505.19*1.18</f>
        <v>255696.3004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971995.3095</v>
      </c>
      <c r="O12" s="22"/>
    </row>
    <row r="13" ht="15.75" customHeight="1">
      <c r="A13" s="27" t="s">
        <v>17</v>
      </c>
      <c r="B13" s="61">
        <f t="shared" ref="B13:M13" si="5">B9+B10-B11-B12</f>
        <v>1314817.513</v>
      </c>
      <c r="C13" s="28">
        <f t="shared" si="5"/>
        <v>1494375.937</v>
      </c>
      <c r="D13" s="28">
        <f t="shared" si="5"/>
        <v>1327281.891</v>
      </c>
      <c r="E13" s="28">
        <f t="shared" si="5"/>
        <v>1335642.1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5472117.44</v>
      </c>
      <c r="O13" s="30">
        <f t="shared" ref="O13:O18" si="8">N13/$N$7</f>
        <v>17.34962637</v>
      </c>
    </row>
    <row r="14" ht="15.75" customHeight="1">
      <c r="A14" s="26" t="s">
        <v>18</v>
      </c>
      <c r="B14" s="40">
        <f t="shared" ref="B14:M14" si="6">+B3+B4-B5-B7</f>
        <v>349212</v>
      </c>
      <c r="C14" s="31">
        <f t="shared" si="6"/>
        <v>441192.39</v>
      </c>
      <c r="D14" s="31">
        <f t="shared" si="6"/>
        <v>407539.61</v>
      </c>
      <c r="E14" s="31">
        <f t="shared" si="6"/>
        <v>407897.62</v>
      </c>
      <c r="F14" s="31">
        <f t="shared" si="6"/>
        <v>451105</v>
      </c>
      <c r="G14" s="31">
        <f t="shared" si="6"/>
        <v>63799</v>
      </c>
      <c r="H14" s="31">
        <f t="shared" si="6"/>
        <v>0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2120745.62</v>
      </c>
      <c r="O14" s="32">
        <f t="shared" si="8"/>
        <v>6.723931739</v>
      </c>
    </row>
    <row r="15" ht="15.75" customHeight="1">
      <c r="A15" s="26" t="s">
        <v>19</v>
      </c>
      <c r="B15" s="40">
        <f>52670</f>
        <v>52670</v>
      </c>
      <c r="C15" s="31">
        <f>69800</f>
        <v>69800</v>
      </c>
      <c r="D15" s="20">
        <v>69190.0</v>
      </c>
      <c r="E15" s="20">
        <f>84730+3040</f>
        <v>87770</v>
      </c>
      <c r="F15" s="19"/>
      <c r="G15" s="20"/>
      <c r="H15" s="20"/>
      <c r="I15" s="19"/>
      <c r="J15" s="20"/>
      <c r="K15" s="19"/>
      <c r="L15" s="20"/>
      <c r="M15" s="19"/>
      <c r="N15" s="21">
        <f t="shared" si="7"/>
        <v>279430</v>
      </c>
      <c r="O15" s="32">
        <f t="shared" si="8"/>
        <v>0.8859470123</v>
      </c>
    </row>
    <row r="16" ht="15.75" customHeight="1">
      <c r="A16" s="26" t="s">
        <v>20</v>
      </c>
      <c r="B16" s="31">
        <f t="shared" ref="B16:E16" si="9">1296</f>
        <v>1296</v>
      </c>
      <c r="C16" s="77">
        <f t="shared" si="9"/>
        <v>1296</v>
      </c>
      <c r="D16" s="77">
        <f t="shared" si="9"/>
        <v>1296</v>
      </c>
      <c r="E16" s="77">
        <f t="shared" si="9"/>
        <v>1296</v>
      </c>
      <c r="F16" s="20"/>
      <c r="G16" s="20"/>
      <c r="H16" s="20"/>
      <c r="I16" s="20"/>
      <c r="J16" s="19"/>
      <c r="K16" s="20"/>
      <c r="L16" s="19"/>
      <c r="M16" s="19"/>
      <c r="N16" s="21">
        <f t="shared" si="7"/>
        <v>5184</v>
      </c>
      <c r="O16" s="32">
        <f t="shared" si="8"/>
        <v>0.01643613539</v>
      </c>
    </row>
    <row r="17" ht="15.75" customHeight="1">
      <c r="A17" s="26" t="s">
        <v>21</v>
      </c>
      <c r="B17" s="15">
        <v>30000.0</v>
      </c>
      <c r="C17" s="59">
        <v>30000.0</v>
      </c>
      <c r="D17" s="59">
        <v>30000.0</v>
      </c>
      <c r="E17" s="59">
        <v>64460.0</v>
      </c>
      <c r="F17" s="19"/>
      <c r="G17" s="19"/>
      <c r="H17" s="19"/>
      <c r="I17" s="19"/>
      <c r="J17" s="19"/>
      <c r="K17" s="19"/>
      <c r="L17" s="19"/>
      <c r="M17" s="19"/>
      <c r="N17" s="21">
        <f t="shared" si="7"/>
        <v>154460</v>
      </c>
      <c r="O17" s="32">
        <f t="shared" si="8"/>
        <v>0.4897232778</v>
      </c>
    </row>
    <row r="18" ht="15.75" customHeight="1">
      <c r="A18" s="26" t="s">
        <v>22</v>
      </c>
      <c r="B18" s="40">
        <f t="shared" ref="B18:E18" si="10">162840</f>
        <v>162840</v>
      </c>
      <c r="C18" s="40">
        <f t="shared" si="10"/>
        <v>162840</v>
      </c>
      <c r="D18" s="40">
        <f t="shared" si="10"/>
        <v>162840</v>
      </c>
      <c r="E18" s="40">
        <f t="shared" si="10"/>
        <v>162840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651360</v>
      </c>
      <c r="O18" s="32">
        <f t="shared" si="8"/>
        <v>2.065169974</v>
      </c>
    </row>
    <row r="19" ht="15.75" customHeight="1">
      <c r="A19" s="34" t="s">
        <v>23</v>
      </c>
      <c r="B19" s="15">
        <v>866.0</v>
      </c>
      <c r="C19" s="19">
        <f t="shared" ref="C19:M19" si="11">136716.74/8/12</f>
        <v>1424.132708</v>
      </c>
      <c r="D19" s="19">
        <f t="shared" si="11"/>
        <v>1424.132708</v>
      </c>
      <c r="E19" s="19">
        <f t="shared" si="11"/>
        <v>1424.132708</v>
      </c>
      <c r="F19" s="19">
        <f t="shared" si="11"/>
        <v>1424.132708</v>
      </c>
      <c r="G19" s="19">
        <f t="shared" si="11"/>
        <v>1424.132708</v>
      </c>
      <c r="H19" s="19">
        <f t="shared" si="11"/>
        <v>1424.132708</v>
      </c>
      <c r="I19" s="19">
        <f t="shared" si="11"/>
        <v>1424.132708</v>
      </c>
      <c r="J19" s="19">
        <f t="shared" si="11"/>
        <v>1424.132708</v>
      </c>
      <c r="K19" s="19">
        <f t="shared" si="11"/>
        <v>1424.132708</v>
      </c>
      <c r="L19" s="19">
        <f t="shared" si="11"/>
        <v>1424.132708</v>
      </c>
      <c r="M19" s="19">
        <f t="shared" si="11"/>
        <v>1424.132708</v>
      </c>
      <c r="N19" s="21">
        <f t="shared" si="7"/>
        <v>16531.45979</v>
      </c>
      <c r="O19" s="32"/>
    </row>
    <row r="20" ht="15.75" customHeight="1">
      <c r="A20" s="26" t="s">
        <v>24</v>
      </c>
      <c r="B20" s="15">
        <v>5767.0</v>
      </c>
      <c r="C20" s="15">
        <v>5767.0</v>
      </c>
      <c r="D20" s="15">
        <v>5767.0</v>
      </c>
      <c r="E20" s="15">
        <v>5767.0</v>
      </c>
      <c r="F20" s="19"/>
      <c r="G20" s="19"/>
      <c r="H20" s="19"/>
      <c r="I20" s="19"/>
      <c r="J20" s="19"/>
      <c r="K20" s="19"/>
      <c r="L20" s="19"/>
      <c r="M20" s="19"/>
      <c r="N20" s="21">
        <f t="shared" si="7"/>
        <v>23068</v>
      </c>
      <c r="O20" s="32">
        <f t="shared" ref="O20:O29" si="12">N20/$N$7</f>
        <v>0.07313826604</v>
      </c>
    </row>
    <row r="21" ht="15.75" customHeight="1">
      <c r="A21" s="26" t="s">
        <v>25</v>
      </c>
      <c r="B21" s="40">
        <f>265339</f>
        <v>265339</v>
      </c>
      <c r="C21" s="31">
        <f>271966.99</f>
        <v>271966.99</v>
      </c>
      <c r="D21" s="31">
        <f>311070.24</f>
        <v>311070.24</v>
      </c>
      <c r="E21" s="19">
        <f>303156.24</f>
        <v>303156.24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1151532.47</v>
      </c>
      <c r="O21" s="32">
        <f t="shared" si="12"/>
        <v>3.650992203</v>
      </c>
    </row>
    <row r="22" ht="15.75" customHeight="1">
      <c r="A22" s="14" t="s">
        <v>26</v>
      </c>
      <c r="B22" s="40">
        <f t="shared" ref="B22:E22" si="13">4720+2950</f>
        <v>7670</v>
      </c>
      <c r="C22" s="40">
        <f t="shared" si="13"/>
        <v>7670</v>
      </c>
      <c r="D22" s="40">
        <f t="shared" si="13"/>
        <v>7670</v>
      </c>
      <c r="E22" s="40">
        <f t="shared" si="13"/>
        <v>7670</v>
      </c>
      <c r="F22" s="19"/>
      <c r="G22" s="19"/>
      <c r="H22" s="19"/>
      <c r="I22" s="19"/>
      <c r="J22" s="19"/>
      <c r="K22" s="19"/>
      <c r="L22" s="20"/>
      <c r="M22" s="20"/>
      <c r="N22" s="21">
        <f t="shared" si="7"/>
        <v>30680</v>
      </c>
      <c r="O22" s="32">
        <f t="shared" si="12"/>
        <v>0.09727249879</v>
      </c>
    </row>
    <row r="23" ht="15.75" customHeight="1">
      <c r="A23" s="39" t="s">
        <v>27</v>
      </c>
      <c r="B23" s="17">
        <f t="shared" ref="B23:D23" si="14">2548.84/3+6425/12+9813/12</f>
        <v>2202.78</v>
      </c>
      <c r="C23" s="17">
        <f t="shared" si="14"/>
        <v>2202.78</v>
      </c>
      <c r="D23" s="17">
        <f t="shared" si="14"/>
        <v>2202.78</v>
      </c>
      <c r="E23" s="31">
        <f t="shared" ref="E23:G23" si="15">6425/12+9813/12+2840/3</f>
        <v>2299.833333</v>
      </c>
      <c r="F23" s="31">
        <f t="shared" si="15"/>
        <v>2299.833333</v>
      </c>
      <c r="G23" s="31">
        <f t="shared" si="15"/>
        <v>2299.833333</v>
      </c>
      <c r="H23" s="31">
        <f t="shared" ref="H23:M23" si="16">6425/12+9813/12</f>
        <v>1353.166667</v>
      </c>
      <c r="I23" s="31">
        <f t="shared" si="16"/>
        <v>1353.166667</v>
      </c>
      <c r="J23" s="31">
        <f t="shared" si="16"/>
        <v>1353.166667</v>
      </c>
      <c r="K23" s="31">
        <f t="shared" si="16"/>
        <v>1353.166667</v>
      </c>
      <c r="L23" s="31">
        <f t="shared" si="16"/>
        <v>1353.166667</v>
      </c>
      <c r="M23" s="31">
        <f t="shared" si="16"/>
        <v>1353.166667</v>
      </c>
      <c r="N23" s="21">
        <f t="shared" si="7"/>
        <v>21626.84</v>
      </c>
      <c r="O23" s="32">
        <f t="shared" si="12"/>
        <v>0.06856899504</v>
      </c>
    </row>
    <row r="24" ht="15.75" customHeight="1">
      <c r="A24" s="26" t="s">
        <v>28</v>
      </c>
      <c r="B24" s="15">
        <v>0.0</v>
      </c>
      <c r="C24" s="59">
        <v>250.0</v>
      </c>
      <c r="D24" s="59">
        <v>4130.0</v>
      </c>
      <c r="E24" s="35">
        <f>'Misc Exp'!J43</f>
        <v>260</v>
      </c>
      <c r="F24" s="20"/>
      <c r="G24" s="19"/>
      <c r="H24" s="20"/>
      <c r="I24" s="20"/>
      <c r="J24" s="20"/>
      <c r="K24" s="20"/>
      <c r="L24" s="19"/>
      <c r="M24" s="20"/>
      <c r="N24" s="21">
        <f t="shared" si="7"/>
        <v>4640</v>
      </c>
      <c r="O24" s="32">
        <f t="shared" si="12"/>
        <v>0.01471135575</v>
      </c>
    </row>
    <row r="25" ht="15.75" customHeight="1">
      <c r="A25" s="26" t="s">
        <v>29</v>
      </c>
      <c r="B25" s="15">
        <v>7815.77</v>
      </c>
      <c r="C25" s="59">
        <v>15995.0</v>
      </c>
      <c r="D25" s="59">
        <v>18046.0</v>
      </c>
      <c r="E25" s="35">
        <f>'Misc Exp'!J37</f>
        <v>17665.98</v>
      </c>
      <c r="F25" s="20"/>
      <c r="G25" s="19"/>
      <c r="H25" s="20"/>
      <c r="I25" s="20"/>
      <c r="J25" s="20"/>
      <c r="K25" s="20"/>
      <c r="L25" s="20"/>
      <c r="M25" s="20"/>
      <c r="N25" s="21">
        <f t="shared" si="7"/>
        <v>59522.75</v>
      </c>
      <c r="O25" s="32">
        <f t="shared" si="12"/>
        <v>0.1887199031</v>
      </c>
    </row>
    <row r="26" ht="15.75" customHeight="1">
      <c r="A26" s="26" t="s">
        <v>30</v>
      </c>
      <c r="B26" s="15">
        <v>0.0</v>
      </c>
      <c r="C26" s="59">
        <v>0.0</v>
      </c>
      <c r="D26" s="59">
        <v>0.0</v>
      </c>
      <c r="E26" s="19"/>
      <c r="F26" s="19"/>
      <c r="G26" s="19"/>
      <c r="H26" s="19"/>
      <c r="I26" s="19"/>
      <c r="J26" s="19"/>
      <c r="K26" s="19"/>
      <c r="L26" s="19"/>
      <c r="M26" s="19"/>
      <c r="N26" s="21">
        <f t="shared" si="7"/>
        <v>0</v>
      </c>
      <c r="O26" s="32">
        <f t="shared" si="12"/>
        <v>0</v>
      </c>
    </row>
    <row r="27" ht="15.75" customHeight="1">
      <c r="A27" s="26" t="s">
        <v>31</v>
      </c>
      <c r="B27" s="40">
        <f>HO!D37</f>
        <v>199901.3929</v>
      </c>
      <c r="C27" s="31">
        <f>HO!H37</f>
        <v>217034.6157</v>
      </c>
      <c r="D27" s="31">
        <f>HO!L37</f>
        <v>189294.8676</v>
      </c>
      <c r="E27" s="31">
        <f>HO!P37</f>
        <v>191488.6308</v>
      </c>
      <c r="F27" s="19" t="str">
        <f>HO!D51</f>
        <v>#DIV/0!</v>
      </c>
      <c r="G27" s="19" t="str">
        <f>HO!H51</f>
        <v>#DIV/0!</v>
      </c>
      <c r="H27" s="19" t="str">
        <f>HO!L51</f>
        <v>#DIV/0!</v>
      </c>
      <c r="I27" s="19" t="str">
        <f>HO!P51</f>
        <v>#DIV/0!</v>
      </c>
      <c r="J27" s="19" t="str">
        <f>HO!D67</f>
        <v>#DIV/0!</v>
      </c>
      <c r="K27" s="19" t="str">
        <f>HO!H67</f>
        <v>#DIV/0!</v>
      </c>
      <c r="L27" s="19" t="str">
        <f>HO!L67</f>
        <v>#DIV/0!</v>
      </c>
      <c r="M27" s="19" t="str">
        <f>HO!P67</f>
        <v>#DIV/0!</v>
      </c>
      <c r="N27" s="21" t="str">
        <f t="shared" si="7"/>
        <v>#DIV/0!</v>
      </c>
      <c r="O27" s="32" t="str">
        <f t="shared" si="12"/>
        <v>#DIV/0!</v>
      </c>
    </row>
    <row r="28" ht="15.75" customHeight="1">
      <c r="A28" s="41" t="s">
        <v>32</v>
      </c>
      <c r="B28" s="63">
        <f t="shared" ref="B28:M28" si="17">+SUM(B14:B27)</f>
        <v>1085579.943</v>
      </c>
      <c r="C28" s="42">
        <f t="shared" si="17"/>
        <v>1227438.908</v>
      </c>
      <c r="D28" s="42">
        <f t="shared" si="17"/>
        <v>1210470.63</v>
      </c>
      <c r="E28" s="42">
        <f t="shared" si="17"/>
        <v>1253995.437</v>
      </c>
      <c r="F28" s="43" t="str">
        <f t="shared" si="17"/>
        <v>#DIV/0!</v>
      </c>
      <c r="G28" s="42" t="str">
        <f t="shared" si="17"/>
        <v>#DIV/0!</v>
      </c>
      <c r="H28" s="42" t="str">
        <f t="shared" si="17"/>
        <v>#DIV/0!</v>
      </c>
      <c r="I28" s="42" t="str">
        <f t="shared" si="17"/>
        <v>#DIV/0!</v>
      </c>
      <c r="J28" s="42" t="str">
        <f t="shared" si="17"/>
        <v>#DIV/0!</v>
      </c>
      <c r="K28" s="42" t="str">
        <f t="shared" si="17"/>
        <v>#DIV/0!</v>
      </c>
      <c r="L28" s="42" t="str">
        <f t="shared" si="17"/>
        <v>#DIV/0!</v>
      </c>
      <c r="M28" s="42" t="str">
        <f t="shared" si="17"/>
        <v>#DIV/0!</v>
      </c>
      <c r="N28" s="42" t="str">
        <f t="shared" si="7"/>
        <v>#DIV/0!</v>
      </c>
      <c r="O28" s="44" t="str">
        <f t="shared" si="12"/>
        <v>#DIV/0!</v>
      </c>
    </row>
    <row r="29" ht="15.75" customHeight="1">
      <c r="A29" s="45" t="s">
        <v>33</v>
      </c>
      <c r="B29" s="46">
        <f t="shared" ref="B29:M29" si="18">B13-B28</f>
        <v>229237.5701</v>
      </c>
      <c r="C29" s="46">
        <f t="shared" si="18"/>
        <v>266937.0288</v>
      </c>
      <c r="D29" s="46">
        <f t="shared" si="18"/>
        <v>116811.2604</v>
      </c>
      <c r="E29" s="46">
        <f t="shared" si="18"/>
        <v>81646.6628</v>
      </c>
      <c r="F29" s="46" t="str">
        <f t="shared" si="18"/>
        <v>#DIV/0!</v>
      </c>
      <c r="G29" s="46" t="str">
        <f t="shared" si="18"/>
        <v>#DIV/0!</v>
      </c>
      <c r="H29" s="46" t="str">
        <f t="shared" si="18"/>
        <v>#DIV/0!</v>
      </c>
      <c r="I29" s="46" t="str">
        <f t="shared" si="18"/>
        <v>#DIV/0!</v>
      </c>
      <c r="J29" s="46" t="str">
        <f t="shared" si="18"/>
        <v>#DIV/0!</v>
      </c>
      <c r="K29" s="46" t="str">
        <f t="shared" si="18"/>
        <v>#DIV/0!</v>
      </c>
      <c r="L29" s="46" t="str">
        <f t="shared" si="18"/>
        <v>#DIV/0!</v>
      </c>
      <c r="M29" s="46" t="str">
        <f t="shared" si="18"/>
        <v>#DIV/0!</v>
      </c>
      <c r="N29" s="46" t="str">
        <f t="shared" si="7"/>
        <v>#DIV/0!</v>
      </c>
      <c r="O29" s="47" t="str">
        <f t="shared" si="12"/>
        <v>#DIV/0!</v>
      </c>
    </row>
    <row r="30" ht="15.75" customHeight="1">
      <c r="A30" s="48" t="s">
        <v>34</v>
      </c>
      <c r="B30" s="49">
        <f t="shared" ref="B30:M30" si="19">(B14/B13)</f>
        <v>0.2655973141</v>
      </c>
      <c r="C30" s="49">
        <f t="shared" si="19"/>
        <v>0.2952352076</v>
      </c>
      <c r="D30" s="49">
        <f t="shared" si="19"/>
        <v>0.3070482713</v>
      </c>
      <c r="E30" s="49">
        <f t="shared" si="19"/>
        <v>0.3053944018</v>
      </c>
      <c r="F30" s="50" t="str">
        <f t="shared" si="19"/>
        <v>#DIV/0!</v>
      </c>
      <c r="G30" s="49" t="str">
        <f t="shared" si="19"/>
        <v>#DIV/0!</v>
      </c>
      <c r="H30" s="49" t="str">
        <f t="shared" si="19"/>
        <v>#DIV/0!</v>
      </c>
      <c r="I30" s="49" t="str">
        <f t="shared" si="19"/>
        <v>#DIV/0!</v>
      </c>
      <c r="J30" s="49" t="str">
        <f t="shared" si="19"/>
        <v>#DIV/0!</v>
      </c>
      <c r="K30" s="49" t="str">
        <f t="shared" si="19"/>
        <v>#DIV/0!</v>
      </c>
      <c r="L30" s="49" t="str">
        <f t="shared" si="19"/>
        <v>#DIV/0!</v>
      </c>
      <c r="M30" s="49" t="str">
        <f t="shared" si="19"/>
        <v>#DIV/0!</v>
      </c>
      <c r="N30" s="51"/>
      <c r="O30" s="51"/>
    </row>
    <row r="31" ht="15.75" customHeight="1"/>
    <row r="32" ht="15.75" customHeight="1">
      <c r="B32" s="73">
        <f t="shared" ref="B32:M32" si="20">B29+B27</f>
        <v>429138.963</v>
      </c>
      <c r="C32" s="73">
        <f t="shared" si="20"/>
        <v>483971.6445</v>
      </c>
      <c r="D32" s="73">
        <f t="shared" si="20"/>
        <v>306106.128</v>
      </c>
      <c r="E32" s="73">
        <f t="shared" si="20"/>
        <v>273135.2936</v>
      </c>
      <c r="F32" s="73" t="str">
        <f t="shared" si="20"/>
        <v>#DIV/0!</v>
      </c>
      <c r="G32" s="73" t="str">
        <f t="shared" si="20"/>
        <v>#DIV/0!</v>
      </c>
      <c r="H32" s="73" t="str">
        <f t="shared" si="20"/>
        <v>#DIV/0!</v>
      </c>
      <c r="I32" s="73" t="str">
        <f t="shared" si="20"/>
        <v>#DIV/0!</v>
      </c>
      <c r="J32" s="73" t="str">
        <f t="shared" si="20"/>
        <v>#DIV/0!</v>
      </c>
      <c r="K32" s="73" t="str">
        <f t="shared" si="20"/>
        <v>#DIV/0!</v>
      </c>
      <c r="L32" s="73" t="str">
        <f t="shared" si="20"/>
        <v>#DIV/0!</v>
      </c>
      <c r="M32" s="73" t="str">
        <f t="shared" si="20"/>
        <v>#DIV/0!</v>
      </c>
    </row>
    <row r="33" ht="15.75" customHeight="1">
      <c r="B33" s="80">
        <f t="shared" ref="B33:M33" si="21">B32/B13</f>
        <v>0.3263867105</v>
      </c>
      <c r="C33" s="80">
        <f t="shared" si="21"/>
        <v>0.3238620433</v>
      </c>
      <c r="D33" s="80">
        <f t="shared" si="21"/>
        <v>0.2306263124</v>
      </c>
      <c r="E33" s="80">
        <f t="shared" si="21"/>
        <v>0.2044973677</v>
      </c>
      <c r="F33" s="80" t="str">
        <f t="shared" si="21"/>
        <v>#DIV/0!</v>
      </c>
      <c r="G33" s="80" t="str">
        <f t="shared" si="21"/>
        <v>#DIV/0!</v>
      </c>
      <c r="H33" s="80" t="str">
        <f t="shared" si="21"/>
        <v>#DIV/0!</v>
      </c>
      <c r="I33" s="80" t="str">
        <f t="shared" si="21"/>
        <v>#DIV/0!</v>
      </c>
      <c r="J33" s="80" t="str">
        <f t="shared" si="21"/>
        <v>#DIV/0!</v>
      </c>
      <c r="K33" s="80" t="str">
        <f t="shared" si="21"/>
        <v>#DIV/0!</v>
      </c>
      <c r="L33" s="80" t="str">
        <f t="shared" si="21"/>
        <v>#DIV/0!</v>
      </c>
      <c r="M33" s="80" t="str">
        <f t="shared" si="21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43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83">
        <v>77223.0</v>
      </c>
      <c r="C3" s="17">
        <f t="shared" ref="C3:M3" si="1">B7</f>
        <v>80164.89</v>
      </c>
      <c r="D3" s="19">
        <f t="shared" si="1"/>
        <v>79554.41</v>
      </c>
      <c r="E3" s="19">
        <f t="shared" si="1"/>
        <v>84784</v>
      </c>
      <c r="F3" s="19">
        <f t="shared" si="1"/>
        <v>71207.82</v>
      </c>
      <c r="G3" s="19">
        <f t="shared" si="1"/>
        <v>68480</v>
      </c>
      <c r="H3" s="19" t="str">
        <f t="shared" si="1"/>
        <v/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993279.0</v>
      </c>
      <c r="C4" s="24">
        <v>866003.64</v>
      </c>
      <c r="D4" s="20">
        <v>937032.0</v>
      </c>
      <c r="E4" s="20">
        <f>932909.83-8429</f>
        <v>924480.83</v>
      </c>
      <c r="F4" s="20">
        <v>1002852.0</v>
      </c>
      <c r="G4" s="20"/>
      <c r="H4" s="20"/>
      <c r="I4" s="20"/>
      <c r="J4" s="20"/>
      <c r="K4" s="20"/>
      <c r="L4" s="20"/>
      <c r="M4" s="20"/>
      <c r="N4" s="21">
        <f>sum(B4:M4)</f>
        <v>4723647.47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0">
        <v>0.0</v>
      </c>
      <c r="E5" s="87">
        <v>0.0</v>
      </c>
      <c r="F5" s="20">
        <v>0.0</v>
      </c>
      <c r="G5" s="20"/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70877.0</v>
      </c>
      <c r="C6" s="24">
        <v>64604.0</v>
      </c>
      <c r="D6" s="20">
        <v>95185.98</v>
      </c>
      <c r="E6" s="20">
        <v>70739.91</v>
      </c>
      <c r="F6" s="20">
        <v>80790.0</v>
      </c>
      <c r="G6" s="20"/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80164.89</v>
      </c>
      <c r="C7" s="24">
        <v>79554.41</v>
      </c>
      <c r="D7" s="20">
        <v>84784.0</v>
      </c>
      <c r="E7" s="20">
        <v>71207.82</v>
      </c>
      <c r="F7" s="20">
        <v>68480.0</v>
      </c>
      <c r="G7" s="20"/>
      <c r="H7" s="20"/>
      <c r="I7" s="20"/>
      <c r="J7" s="20"/>
      <c r="K7" s="20"/>
      <c r="L7" s="20"/>
      <c r="M7" s="20"/>
      <c r="N7" s="21">
        <f>sum(B7:M7)</f>
        <v>384191.12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3875616.4*1.05+12531.47*1.05</f>
        <v>4082555.264</v>
      </c>
      <c r="C9" s="19">
        <f>3582116.23*1.05+11277.7*1.05</f>
        <v>3773063.627</v>
      </c>
      <c r="D9" s="20">
        <f>3916738.5*1.05+10*1.05+12699.57*1.05</f>
        <v>4125920.474</v>
      </c>
      <c r="E9" s="19">
        <f>3484375.67*1.05+8740.07*1.05</f>
        <v>3667771.527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15649310.89</v>
      </c>
      <c r="O9" s="22"/>
    </row>
    <row r="10" ht="15.75" customHeight="1">
      <c r="A10" s="26" t="s">
        <v>14</v>
      </c>
      <c r="B10" s="20">
        <v>0.0</v>
      </c>
      <c r="C10" s="20">
        <v>0.0</v>
      </c>
      <c r="D10" s="20">
        <v>0.0</v>
      </c>
      <c r="E10" s="20">
        <v>0.0</v>
      </c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194407.3935</v>
      </c>
      <c r="C11" s="19">
        <f t="shared" si="4"/>
        <v>179669.6965</v>
      </c>
      <c r="D11" s="19">
        <f t="shared" si="4"/>
        <v>196472.4035</v>
      </c>
      <c r="E11" s="19">
        <f t="shared" si="4"/>
        <v>174655.787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745205.2805</v>
      </c>
      <c r="O11" s="22"/>
    </row>
    <row r="12" ht="15.75" customHeight="1">
      <c r="A12" s="26" t="s">
        <v>16</v>
      </c>
      <c r="B12" s="20">
        <f>34730.74*1.18+23770.53*1.18+(4306.58+3970.23)*1.18</f>
        <v>78798.1344</v>
      </c>
      <c r="C12" s="19">
        <f>33355.67*1.18+27176.21*1.18+(3477+4585.99)*1.18</f>
        <v>80941.9466</v>
      </c>
      <c r="D12" s="19">
        <f>37355.96*1.18+(5748/0.18)*1.18+44822.64*1.18</f>
        <v>134652.0813</v>
      </c>
      <c r="E12" s="19">
        <f>27517*1.18+26155.42*1.18+4708*1.18</f>
        <v>68888.8956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363281.0579</v>
      </c>
      <c r="O12" s="22"/>
    </row>
    <row r="13" ht="15.75" customHeight="1">
      <c r="A13" s="27" t="s">
        <v>17</v>
      </c>
      <c r="B13" s="28">
        <f t="shared" ref="B13:M13" si="5">B9+B10-B11-B12</f>
        <v>3809349.736</v>
      </c>
      <c r="C13" s="28">
        <f t="shared" si="5"/>
        <v>3512451.983</v>
      </c>
      <c r="D13" s="28">
        <f t="shared" si="5"/>
        <v>3794795.989</v>
      </c>
      <c r="E13" s="28">
        <f t="shared" si="5"/>
        <v>3424226.844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8">sum(B13:M13)</f>
        <v>14540824.55</v>
      </c>
      <c r="O13" s="30"/>
    </row>
    <row r="14" ht="15.75" customHeight="1">
      <c r="A14" s="26" t="s">
        <v>18</v>
      </c>
      <c r="B14" s="31">
        <f t="shared" ref="B14:D14" si="6">+B3+B4-B5-B7</f>
        <v>990337.11</v>
      </c>
      <c r="C14" s="31">
        <f t="shared" si="6"/>
        <v>866614.12</v>
      </c>
      <c r="D14" s="31">
        <f t="shared" si="6"/>
        <v>931802.41</v>
      </c>
      <c r="E14" s="31">
        <f>+E3+E4-E6-E7</f>
        <v>867317.1</v>
      </c>
      <c r="F14" s="31">
        <f t="shared" ref="F14:M14" si="7">+F3+F4-F5-F7</f>
        <v>1005579.82</v>
      </c>
      <c r="G14" s="31">
        <f t="shared" si="7"/>
        <v>68480</v>
      </c>
      <c r="H14" s="31">
        <f t="shared" si="7"/>
        <v>0</v>
      </c>
      <c r="I14" s="31">
        <f t="shared" si="7"/>
        <v>0</v>
      </c>
      <c r="J14" s="31">
        <f t="shared" si="7"/>
        <v>0</v>
      </c>
      <c r="K14" s="31">
        <f t="shared" si="7"/>
        <v>0</v>
      </c>
      <c r="L14" s="31">
        <f t="shared" si="7"/>
        <v>0</v>
      </c>
      <c r="M14" s="31">
        <f t="shared" si="7"/>
        <v>0</v>
      </c>
      <c r="N14" s="21">
        <f t="shared" si="8"/>
        <v>4730130.56</v>
      </c>
      <c r="O14" s="32">
        <f t="shared" ref="O14:O29" si="9">N14/$N$13</f>
        <v>0.3253000229</v>
      </c>
    </row>
    <row r="15" ht="15.75" customHeight="1">
      <c r="A15" s="26" t="s">
        <v>19</v>
      </c>
      <c r="B15" s="20">
        <f>122123+45442</f>
        <v>167565</v>
      </c>
      <c r="C15" s="20">
        <v>134645.0</v>
      </c>
      <c r="D15" s="20">
        <f>140000+17975</f>
        <v>157975</v>
      </c>
      <c r="E15" s="20">
        <f>148995+13411</f>
        <v>162406</v>
      </c>
      <c r="F15" s="20"/>
      <c r="G15" s="20"/>
      <c r="H15" s="20"/>
      <c r="I15" s="20"/>
      <c r="J15" s="20"/>
      <c r="K15" s="20"/>
      <c r="L15" s="20"/>
      <c r="M15" s="19"/>
      <c r="N15" s="21">
        <f t="shared" si="8"/>
        <v>622591</v>
      </c>
      <c r="O15" s="32">
        <f t="shared" si="9"/>
        <v>0.04281676034</v>
      </c>
    </row>
    <row r="16" ht="15.75" customHeight="1">
      <c r="A16" s="26" t="s">
        <v>20</v>
      </c>
      <c r="B16" s="20">
        <f t="shared" ref="B16:C16" si="10">1972+202</f>
        <v>2174</v>
      </c>
      <c r="C16" s="20">
        <f t="shared" si="10"/>
        <v>2174</v>
      </c>
      <c r="D16" s="20">
        <f t="shared" ref="D16:E16" si="11">202+1972</f>
        <v>2174</v>
      </c>
      <c r="E16" s="20">
        <f t="shared" si="11"/>
        <v>2174</v>
      </c>
      <c r="F16" s="19"/>
      <c r="G16" s="19"/>
      <c r="H16" s="19"/>
      <c r="I16" s="19"/>
      <c r="J16" s="20"/>
      <c r="K16" s="20"/>
      <c r="L16" s="20"/>
      <c r="M16" s="20"/>
      <c r="N16" s="21">
        <f t="shared" si="8"/>
        <v>8696</v>
      </c>
      <c r="O16" s="32">
        <f t="shared" si="9"/>
        <v>0.0005980403635</v>
      </c>
    </row>
    <row r="17" ht="15.75" customHeight="1">
      <c r="A17" s="26" t="s">
        <v>21</v>
      </c>
      <c r="B17" s="20">
        <v>165157.0</v>
      </c>
      <c r="C17" s="20">
        <f>47936+50000</f>
        <v>97936</v>
      </c>
      <c r="D17" s="20">
        <f>59600+106840</f>
        <v>166440</v>
      </c>
      <c r="E17" s="20">
        <v>116473.0</v>
      </c>
      <c r="F17" s="19"/>
      <c r="G17" s="19"/>
      <c r="H17" s="20"/>
      <c r="I17" s="20"/>
      <c r="J17" s="20"/>
      <c r="K17" s="20"/>
      <c r="L17" s="20"/>
      <c r="M17" s="19"/>
      <c r="N17" s="21">
        <f t="shared" si="8"/>
        <v>546006</v>
      </c>
      <c r="O17" s="32">
        <f t="shared" si="9"/>
        <v>0.03754986507</v>
      </c>
    </row>
    <row r="18" ht="15.75" customHeight="1">
      <c r="A18" s="26" t="s">
        <v>22</v>
      </c>
      <c r="B18" s="19">
        <f t="shared" ref="B18:E18" si="12">1180000</f>
        <v>1180000</v>
      </c>
      <c r="C18" s="19">
        <f t="shared" si="12"/>
        <v>1180000</v>
      </c>
      <c r="D18" s="19">
        <f t="shared" si="12"/>
        <v>1180000</v>
      </c>
      <c r="E18" s="19">
        <f t="shared" si="12"/>
        <v>1180000</v>
      </c>
      <c r="F18" s="19"/>
      <c r="G18" s="19"/>
      <c r="H18" s="19"/>
      <c r="I18" s="19"/>
      <c r="J18" s="19"/>
      <c r="K18" s="19"/>
      <c r="L18" s="19"/>
      <c r="M18" s="19"/>
      <c r="N18" s="21">
        <f t="shared" si="8"/>
        <v>4720000</v>
      </c>
      <c r="O18" s="32">
        <f t="shared" si="9"/>
        <v>0.3246033251</v>
      </c>
    </row>
    <row r="19" ht="15.75" customHeight="1">
      <c r="A19" s="34" t="s">
        <v>23</v>
      </c>
      <c r="B19" s="20">
        <f>2736</f>
        <v>2736</v>
      </c>
      <c r="C19" s="19">
        <f t="shared" ref="C19:M19" si="13">136716.74/8/12</f>
        <v>1424.132708</v>
      </c>
      <c r="D19" s="19">
        <f t="shared" si="13"/>
        <v>1424.132708</v>
      </c>
      <c r="E19" s="19">
        <f t="shared" si="13"/>
        <v>1424.132708</v>
      </c>
      <c r="F19" s="19">
        <f t="shared" si="13"/>
        <v>1424.132708</v>
      </c>
      <c r="G19" s="19">
        <f t="shared" si="13"/>
        <v>1424.132708</v>
      </c>
      <c r="H19" s="19">
        <f t="shared" si="13"/>
        <v>1424.132708</v>
      </c>
      <c r="I19" s="19">
        <f t="shared" si="13"/>
        <v>1424.132708</v>
      </c>
      <c r="J19" s="19">
        <f t="shared" si="13"/>
        <v>1424.132708</v>
      </c>
      <c r="K19" s="19">
        <f t="shared" si="13"/>
        <v>1424.132708</v>
      </c>
      <c r="L19" s="19">
        <f t="shared" si="13"/>
        <v>1424.132708</v>
      </c>
      <c r="M19" s="19">
        <f t="shared" si="13"/>
        <v>1424.132708</v>
      </c>
      <c r="N19" s="21">
        <f t="shared" si="8"/>
        <v>18401.45979</v>
      </c>
      <c r="O19" s="32">
        <f t="shared" si="9"/>
        <v>0.001265503186</v>
      </c>
    </row>
    <row r="20" ht="15.75" customHeight="1">
      <c r="A20" s="26" t="s">
        <v>24</v>
      </c>
      <c r="B20" s="20">
        <v>7773.0</v>
      </c>
      <c r="C20" s="20">
        <v>7773.0</v>
      </c>
      <c r="D20" s="20">
        <v>7773.0</v>
      </c>
      <c r="E20" s="20">
        <v>7773.0</v>
      </c>
      <c r="F20" s="19"/>
      <c r="G20" s="19"/>
      <c r="H20" s="19"/>
      <c r="I20" s="19"/>
      <c r="J20" s="19"/>
      <c r="K20" s="19"/>
      <c r="L20" s="19"/>
      <c r="M20" s="19"/>
      <c r="N20" s="21">
        <f t="shared" si="8"/>
        <v>31092</v>
      </c>
      <c r="O20" s="32">
        <f t="shared" si="9"/>
        <v>0.002138255633</v>
      </c>
    </row>
    <row r="21" ht="15.75" customHeight="1">
      <c r="A21" s="26" t="s">
        <v>25</v>
      </c>
      <c r="B21" s="19">
        <f>563829+18000+38666</f>
        <v>620495</v>
      </c>
      <c r="C21" s="19">
        <f>578598.88+11612+18000+550</f>
        <v>608760.88</v>
      </c>
      <c r="D21" s="19">
        <f>586493.95+18000</f>
        <v>604493.95</v>
      </c>
      <c r="E21" s="19">
        <f>614764.53+18000</f>
        <v>632764.53</v>
      </c>
      <c r="F21" s="19"/>
      <c r="G21" s="19"/>
      <c r="H21" s="19"/>
      <c r="I21" s="19"/>
      <c r="J21" s="19"/>
      <c r="K21" s="19"/>
      <c r="L21" s="19"/>
      <c r="M21" s="19"/>
      <c r="N21" s="21">
        <f t="shared" si="8"/>
        <v>2466514.36</v>
      </c>
      <c r="O21" s="32">
        <f t="shared" si="9"/>
        <v>0.1696268565</v>
      </c>
    </row>
    <row r="22" ht="15.75" customHeight="1">
      <c r="A22" s="14" t="s">
        <v>26</v>
      </c>
      <c r="B22" s="91">
        <f t="shared" ref="B22:E22" si="14">4720+7080</f>
        <v>11800</v>
      </c>
      <c r="C22" s="19">
        <f t="shared" si="14"/>
        <v>11800</v>
      </c>
      <c r="D22" s="19">
        <f t="shared" si="14"/>
        <v>11800</v>
      </c>
      <c r="E22" s="19">
        <f t="shared" si="14"/>
        <v>11800</v>
      </c>
      <c r="F22" s="19"/>
      <c r="G22" s="19"/>
      <c r="H22" s="19"/>
      <c r="I22" s="19"/>
      <c r="J22" s="19"/>
      <c r="K22" s="19"/>
      <c r="L22" s="19"/>
      <c r="M22" s="19"/>
      <c r="N22" s="21">
        <f t="shared" si="8"/>
        <v>47200</v>
      </c>
      <c r="O22" s="32">
        <f t="shared" si="9"/>
        <v>0.003246033251</v>
      </c>
    </row>
    <row r="23" ht="15.75" customHeight="1">
      <c r="A23" s="39" t="s">
        <v>27</v>
      </c>
      <c r="B23" s="19">
        <f t="shared" ref="B23:D23" si="15">2548.84/3</f>
        <v>849.6133333</v>
      </c>
      <c r="C23" s="19">
        <f t="shared" si="15"/>
        <v>849.6133333</v>
      </c>
      <c r="D23" s="19">
        <f t="shared" si="15"/>
        <v>849.6133333</v>
      </c>
      <c r="E23" s="20">
        <f t="shared" ref="E23:G23" si="16">2840/3</f>
        <v>946.6666667</v>
      </c>
      <c r="F23" s="20">
        <f t="shared" si="16"/>
        <v>946.6666667</v>
      </c>
      <c r="G23" s="20">
        <f t="shared" si="16"/>
        <v>946.6666667</v>
      </c>
      <c r="H23" s="20"/>
      <c r="I23" s="20"/>
      <c r="J23" s="20"/>
      <c r="K23" s="19"/>
      <c r="L23" s="19"/>
      <c r="M23" s="19"/>
      <c r="N23" s="21">
        <f t="shared" si="8"/>
        <v>5388.84</v>
      </c>
      <c r="O23" s="32">
        <f t="shared" si="9"/>
        <v>0.0003706007167</v>
      </c>
    </row>
    <row r="24" ht="15.75" customHeight="1">
      <c r="A24" s="26" t="s">
        <v>28</v>
      </c>
      <c r="B24" s="35">
        <v>0.0</v>
      </c>
      <c r="C24" s="35">
        <f>8914</f>
        <v>8914</v>
      </c>
      <c r="D24" s="35">
        <v>18816.0</v>
      </c>
      <c r="E24" s="35">
        <f>'Misc Exp'!N43</f>
        <v>12632</v>
      </c>
      <c r="F24" s="20"/>
      <c r="G24" s="19"/>
      <c r="H24" s="20"/>
      <c r="I24" s="20"/>
      <c r="J24" s="20"/>
      <c r="K24" s="20"/>
      <c r="L24" s="20"/>
      <c r="M24" s="20"/>
      <c r="N24" s="21">
        <f t="shared" si="8"/>
        <v>40362</v>
      </c>
      <c r="O24" s="32">
        <f t="shared" si="9"/>
        <v>0.002775771061</v>
      </c>
    </row>
    <row r="25" ht="15.75" customHeight="1">
      <c r="A25" s="26" t="s">
        <v>29</v>
      </c>
      <c r="B25" s="20">
        <v>24010.31</v>
      </c>
      <c r="C25" s="20">
        <v>66527.0</v>
      </c>
      <c r="D25" s="20">
        <v>54157.0</v>
      </c>
      <c r="E25" s="35">
        <f>'Misc Exp'!N37</f>
        <v>52681.66</v>
      </c>
      <c r="F25" s="20"/>
      <c r="G25" s="19"/>
      <c r="H25" s="20"/>
      <c r="I25" s="20"/>
      <c r="J25" s="20"/>
      <c r="K25" s="20"/>
      <c r="L25" s="19"/>
      <c r="M25" s="20"/>
      <c r="N25" s="21">
        <f t="shared" si="8"/>
        <v>197375.97</v>
      </c>
      <c r="O25" s="32">
        <f t="shared" si="9"/>
        <v>0.01357391868</v>
      </c>
    </row>
    <row r="26" ht="15.75" customHeight="1">
      <c r="A26" s="26" t="s">
        <v>30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  <c r="G26" s="19"/>
      <c r="H26" s="19"/>
      <c r="I26" s="19"/>
      <c r="J26" s="19"/>
      <c r="K26" s="19"/>
      <c r="L26" s="19"/>
      <c r="M26" s="19"/>
      <c r="N26" s="21">
        <f t="shared" si="8"/>
        <v>0</v>
      </c>
      <c r="O26" s="32">
        <f t="shared" si="9"/>
        <v>0</v>
      </c>
    </row>
    <row r="27" ht="15.75" customHeight="1">
      <c r="A27" s="26" t="s">
        <v>31</v>
      </c>
      <c r="B27" s="19">
        <f>HO!D38</f>
        <v>579163.5041</v>
      </c>
      <c r="C27" s="19">
        <f>HO!H38</f>
        <v>510128.4404</v>
      </c>
      <c r="D27" s="19">
        <f>HO!L38</f>
        <v>541207.8694</v>
      </c>
      <c r="E27" s="19">
        <f>HO!P38</f>
        <v>490925.3085</v>
      </c>
      <c r="F27" s="19" t="str">
        <f>HO!D52</f>
        <v>#DIV/0!</v>
      </c>
      <c r="G27" s="19" t="str">
        <f>HO!H52</f>
        <v>#DIV/0!</v>
      </c>
      <c r="H27" s="19" t="str">
        <f>HO!L52</f>
        <v>#DIV/0!</v>
      </c>
      <c r="I27" s="19" t="str">
        <f>HO!P52</f>
        <v>#DIV/0!</v>
      </c>
      <c r="J27" s="19" t="str">
        <f>HO!D68</f>
        <v>#DIV/0!</v>
      </c>
      <c r="K27" s="19" t="str">
        <f>HO!H68</f>
        <v>#DIV/0!</v>
      </c>
      <c r="L27" s="19" t="str">
        <f>HO!L68</f>
        <v>#DIV/0!</v>
      </c>
      <c r="M27" s="19" t="str">
        <f>HO!P68</f>
        <v>#DIV/0!</v>
      </c>
      <c r="N27" s="21" t="str">
        <f t="shared" si="8"/>
        <v>#DIV/0!</v>
      </c>
      <c r="O27" s="32" t="str">
        <f t="shared" si="9"/>
        <v>#DIV/0!</v>
      </c>
    </row>
    <row r="28" ht="15.75" customHeight="1">
      <c r="A28" s="41" t="s">
        <v>32</v>
      </c>
      <c r="B28" s="42">
        <f t="shared" ref="B28:M28" si="17">+SUM(B14:B27)</f>
        <v>3752060.537</v>
      </c>
      <c r="C28" s="42">
        <f t="shared" si="17"/>
        <v>3497546.186</v>
      </c>
      <c r="D28" s="42">
        <f t="shared" si="17"/>
        <v>3678912.975</v>
      </c>
      <c r="E28" s="42">
        <f t="shared" si="17"/>
        <v>3539317.398</v>
      </c>
      <c r="F28" s="43" t="str">
        <f t="shared" si="17"/>
        <v>#DIV/0!</v>
      </c>
      <c r="G28" s="42" t="str">
        <f t="shared" si="17"/>
        <v>#DIV/0!</v>
      </c>
      <c r="H28" s="42" t="str">
        <f t="shared" si="17"/>
        <v>#DIV/0!</v>
      </c>
      <c r="I28" s="42" t="str">
        <f t="shared" si="17"/>
        <v>#DIV/0!</v>
      </c>
      <c r="J28" s="42" t="str">
        <f t="shared" si="17"/>
        <v>#DIV/0!</v>
      </c>
      <c r="K28" s="42" t="str">
        <f t="shared" si="17"/>
        <v>#DIV/0!</v>
      </c>
      <c r="L28" s="42" t="str">
        <f t="shared" si="17"/>
        <v>#DIV/0!</v>
      </c>
      <c r="M28" s="42" t="str">
        <f t="shared" si="17"/>
        <v>#DIV/0!</v>
      </c>
      <c r="N28" s="42" t="str">
        <f t="shared" si="8"/>
        <v>#DIV/0!</v>
      </c>
      <c r="O28" s="44" t="str">
        <f t="shared" si="9"/>
        <v>#DIV/0!</v>
      </c>
    </row>
    <row r="29" ht="15.75" customHeight="1">
      <c r="A29" s="45" t="s">
        <v>33</v>
      </c>
      <c r="B29" s="46">
        <f t="shared" ref="B29:M29" si="18">B13-B28</f>
        <v>57289.19816</v>
      </c>
      <c r="C29" s="46">
        <f t="shared" si="18"/>
        <v>14905.79693</v>
      </c>
      <c r="D29" s="46">
        <f t="shared" si="18"/>
        <v>115883.0132</v>
      </c>
      <c r="E29" s="46">
        <f t="shared" si="18"/>
        <v>-115090.5535</v>
      </c>
      <c r="F29" s="46" t="str">
        <f t="shared" si="18"/>
        <v>#DIV/0!</v>
      </c>
      <c r="G29" s="46" t="str">
        <f t="shared" si="18"/>
        <v>#DIV/0!</v>
      </c>
      <c r="H29" s="46" t="str">
        <f t="shared" si="18"/>
        <v>#DIV/0!</v>
      </c>
      <c r="I29" s="46" t="str">
        <f t="shared" si="18"/>
        <v>#DIV/0!</v>
      </c>
      <c r="J29" s="46" t="str">
        <f t="shared" si="18"/>
        <v>#DIV/0!</v>
      </c>
      <c r="K29" s="46" t="str">
        <f t="shared" si="18"/>
        <v>#DIV/0!</v>
      </c>
      <c r="L29" s="46" t="str">
        <f t="shared" si="18"/>
        <v>#DIV/0!</v>
      </c>
      <c r="M29" s="46" t="str">
        <f t="shared" si="18"/>
        <v>#DIV/0!</v>
      </c>
      <c r="N29" s="46" t="str">
        <f t="shared" si="8"/>
        <v>#DIV/0!</v>
      </c>
      <c r="O29" s="47" t="str">
        <f t="shared" si="9"/>
        <v>#DIV/0!</v>
      </c>
    </row>
    <row r="30" ht="15.75" customHeight="1">
      <c r="A30" s="48" t="s">
        <v>34</v>
      </c>
      <c r="B30" s="49">
        <f t="shared" ref="B30:M30" si="19">(B14/B13)</f>
        <v>0.2599753708</v>
      </c>
      <c r="C30" s="49">
        <f t="shared" si="19"/>
        <v>0.2467262539</v>
      </c>
      <c r="D30" s="49">
        <f t="shared" si="19"/>
        <v>0.245547432</v>
      </c>
      <c r="E30" s="49">
        <f t="shared" si="19"/>
        <v>0.2532884471</v>
      </c>
      <c r="F30" s="50" t="str">
        <f t="shared" si="19"/>
        <v>#DIV/0!</v>
      </c>
      <c r="G30" s="49" t="str">
        <f t="shared" si="19"/>
        <v>#DIV/0!</v>
      </c>
      <c r="H30" s="49" t="str">
        <f t="shared" si="19"/>
        <v>#DIV/0!</v>
      </c>
      <c r="I30" s="49" t="str">
        <f t="shared" si="19"/>
        <v>#DIV/0!</v>
      </c>
      <c r="J30" s="49" t="str">
        <f t="shared" si="19"/>
        <v>#DIV/0!</v>
      </c>
      <c r="K30" s="49" t="str">
        <f t="shared" si="19"/>
        <v>#DIV/0!</v>
      </c>
      <c r="L30" s="49" t="str">
        <f t="shared" si="19"/>
        <v>#DIV/0!</v>
      </c>
      <c r="M30" s="49" t="str">
        <f t="shared" si="19"/>
        <v>#DIV/0!</v>
      </c>
      <c r="N30" s="51"/>
      <c r="O30" s="51"/>
    </row>
    <row r="31" ht="15.75" customHeight="1"/>
    <row r="32" ht="15.75" customHeight="1">
      <c r="B32" s="73">
        <f t="shared" ref="B32:M32" si="20">B29+B27</f>
        <v>636452.7023</v>
      </c>
      <c r="C32" s="73">
        <f t="shared" si="20"/>
        <v>525034.2374</v>
      </c>
      <c r="D32" s="73">
        <f t="shared" si="20"/>
        <v>657090.8826</v>
      </c>
      <c r="E32" s="73">
        <f t="shared" si="20"/>
        <v>375834.755</v>
      </c>
      <c r="F32" s="73" t="str">
        <f t="shared" si="20"/>
        <v>#DIV/0!</v>
      </c>
      <c r="G32" s="73" t="str">
        <f t="shared" si="20"/>
        <v>#DIV/0!</v>
      </c>
      <c r="H32" s="73" t="str">
        <f t="shared" si="20"/>
        <v>#DIV/0!</v>
      </c>
      <c r="I32" s="73" t="str">
        <f t="shared" si="20"/>
        <v>#DIV/0!</v>
      </c>
      <c r="J32" s="73" t="str">
        <f t="shared" si="20"/>
        <v>#DIV/0!</v>
      </c>
      <c r="K32" s="73" t="str">
        <f t="shared" si="20"/>
        <v>#DIV/0!</v>
      </c>
      <c r="L32" s="73" t="str">
        <f t="shared" si="20"/>
        <v>#DIV/0!</v>
      </c>
      <c r="M32" s="73" t="str">
        <f t="shared" si="20"/>
        <v>#DIV/0!</v>
      </c>
    </row>
    <row r="33" ht="15.75" customHeight="1">
      <c r="B33" s="80">
        <f t="shared" ref="B33:M33" si="21">B32/B13</f>
        <v>0.1670764688</v>
      </c>
      <c r="C33" s="80">
        <f t="shared" si="21"/>
        <v>0.1494779829</v>
      </c>
      <c r="D33" s="80">
        <f t="shared" si="21"/>
        <v>0.1731557861</v>
      </c>
      <c r="E33" s="80">
        <f t="shared" si="21"/>
        <v>0.1097575517</v>
      </c>
      <c r="F33" s="80" t="str">
        <f t="shared" si="21"/>
        <v>#DIV/0!</v>
      </c>
      <c r="G33" s="80" t="str">
        <f t="shared" si="21"/>
        <v>#DIV/0!</v>
      </c>
      <c r="H33" s="80" t="str">
        <f t="shared" si="21"/>
        <v>#DIV/0!</v>
      </c>
      <c r="I33" s="80" t="str">
        <f t="shared" si="21"/>
        <v>#DIV/0!</v>
      </c>
      <c r="J33" s="80" t="str">
        <f t="shared" si="21"/>
        <v>#DIV/0!</v>
      </c>
      <c r="K33" s="80" t="str">
        <f t="shared" si="21"/>
        <v>#DIV/0!</v>
      </c>
      <c r="L33" s="80" t="str">
        <f t="shared" si="21"/>
        <v>#DIV/0!</v>
      </c>
      <c r="M33" s="80" t="str">
        <f t="shared" si="21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45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104700.0</v>
      </c>
      <c r="C3" s="17">
        <f t="shared" ref="C3:M3" si="1">B7</f>
        <v>122059.07</v>
      </c>
      <c r="D3" s="17">
        <f t="shared" si="1"/>
        <v>92293.32</v>
      </c>
      <c r="E3" s="19">
        <f t="shared" si="1"/>
        <v>95850</v>
      </c>
      <c r="F3" s="19">
        <f t="shared" si="1"/>
        <v>89130.07</v>
      </c>
      <c r="G3" s="19">
        <f t="shared" si="1"/>
        <v>64482</v>
      </c>
      <c r="H3" s="19" t="str">
        <f t="shared" si="1"/>
        <v/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526909.0</v>
      </c>
      <c r="C4" s="24">
        <v>526621.99</v>
      </c>
      <c r="D4" s="24">
        <v>572572.63</v>
      </c>
      <c r="E4" s="20">
        <v>524616.0</v>
      </c>
      <c r="F4" s="20">
        <v>577388.49</v>
      </c>
      <c r="G4" s="20"/>
      <c r="H4" s="20"/>
      <c r="I4" s="19"/>
      <c r="J4" s="20"/>
      <c r="K4" s="20"/>
      <c r="L4" s="20"/>
      <c r="M4" s="20"/>
      <c r="N4" s="21">
        <f>sum(B4:M4)</f>
        <v>2728108.11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4">
        <v>0.0</v>
      </c>
      <c r="E5" s="20">
        <v>0.0</v>
      </c>
      <c r="F5" s="20">
        <v>0.0</v>
      </c>
      <c r="G5" s="20"/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38401.56</v>
      </c>
      <c r="C6" s="24">
        <v>35926.17</v>
      </c>
      <c r="D6" s="24">
        <v>28888.0</v>
      </c>
      <c r="E6" s="20">
        <v>34131.0</v>
      </c>
      <c r="F6" s="20">
        <v>34625.0</v>
      </c>
      <c r="G6" s="20"/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122059.07</v>
      </c>
      <c r="C7" s="24">
        <v>92293.32</v>
      </c>
      <c r="D7" s="24">
        <v>95850.0</v>
      </c>
      <c r="E7" s="20">
        <v>89130.07</v>
      </c>
      <c r="F7" s="20">
        <v>64482.0</v>
      </c>
      <c r="G7" s="20"/>
      <c r="H7" s="20"/>
      <c r="I7" s="20"/>
      <c r="J7" s="20"/>
      <c r="K7" s="20"/>
      <c r="L7" s="20"/>
      <c r="M7" s="20"/>
      <c r="N7" s="21">
        <f>sum(B7:M7)</f>
        <v>463814.46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2051980.04*1.05+50540.57*1.05</f>
        <v>2207646.641</v>
      </c>
      <c r="C9" s="19">
        <f>2258617.27*1.05+56157.64*1.05</f>
        <v>2430513.656</v>
      </c>
      <c r="D9" s="19">
        <f>2202373*1.05+51452.11*1.05</f>
        <v>2366516.366</v>
      </c>
      <c r="E9" s="19">
        <f>2069109.32*1.05+46187.2*1.05</f>
        <v>2221061.346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9225738.008</v>
      </c>
      <c r="O9" s="22"/>
    </row>
    <row r="10" ht="15.75" customHeight="1">
      <c r="A10" s="26" t="s">
        <v>14</v>
      </c>
      <c r="B10" s="20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105126.0305</v>
      </c>
      <c r="C11" s="19">
        <f t="shared" si="4"/>
        <v>115738.7455</v>
      </c>
      <c r="D11" s="19">
        <f t="shared" si="4"/>
        <v>112691.2555</v>
      </c>
      <c r="E11" s="19">
        <f t="shared" si="4"/>
        <v>105764.826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439320.8575</v>
      </c>
      <c r="O11" s="22"/>
    </row>
    <row r="12" ht="15.75" customHeight="1">
      <c r="A12" s="26" t="s">
        <v>16</v>
      </c>
      <c r="B12" s="20">
        <f>119641.47*1.18+71648.19*1.18+3490.95*1.18+94.68</f>
        <v>229935.7998</v>
      </c>
      <c r="C12" s="19">
        <f>+132449.28*1.18+83100.97*1.18+4244.94*1.18</f>
        <v>259358.3242</v>
      </c>
      <c r="D12" s="19">
        <f>122000*1.18+(15216.95/0.18)*1.18+3892.41*1.18</f>
        <v>248308.6049</v>
      </c>
      <c r="E12" s="19">
        <f>109196*1.18+82822.65*1.18+3045*1.18+55</f>
        <v>230230.107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967832.8359</v>
      </c>
      <c r="O12" s="22"/>
    </row>
    <row r="13" ht="15.75" customHeight="1">
      <c r="A13" s="27" t="s">
        <v>17</v>
      </c>
      <c r="B13" s="28">
        <f t="shared" ref="B13:M13" si="5">B9+B10-B11-B12</f>
        <v>1872584.81</v>
      </c>
      <c r="C13" s="28">
        <f t="shared" si="5"/>
        <v>2055416.586</v>
      </c>
      <c r="D13" s="28">
        <f t="shared" si="5"/>
        <v>2005516.505</v>
      </c>
      <c r="E13" s="28">
        <f t="shared" si="5"/>
        <v>1885066.413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7818584.314</v>
      </c>
      <c r="O13" s="30">
        <f t="shared" ref="O13:O18" si="8">N13/$N$7</f>
        <v>16.8571379</v>
      </c>
    </row>
    <row r="14" ht="15.75" customHeight="1">
      <c r="A14" s="26" t="s">
        <v>18</v>
      </c>
      <c r="B14" s="64">
        <f t="shared" ref="B14:M14" si="6">+B3+B4-B5-B7</f>
        <v>509549.93</v>
      </c>
      <c r="C14" s="31">
        <f t="shared" si="6"/>
        <v>556387.74</v>
      </c>
      <c r="D14" s="31">
        <f t="shared" si="6"/>
        <v>569015.95</v>
      </c>
      <c r="E14" s="31">
        <f t="shared" si="6"/>
        <v>531335.93</v>
      </c>
      <c r="F14" s="31">
        <f t="shared" si="6"/>
        <v>602036.56</v>
      </c>
      <c r="G14" s="31">
        <f t="shared" si="6"/>
        <v>64482</v>
      </c>
      <c r="H14" s="31">
        <f t="shared" si="6"/>
        <v>0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2832808.11</v>
      </c>
      <c r="O14" s="32">
        <f t="shared" si="8"/>
        <v>6.107632155</v>
      </c>
    </row>
    <row r="15" ht="15.75" customHeight="1">
      <c r="A15" s="26" t="s">
        <v>19</v>
      </c>
      <c r="B15" s="92">
        <f>86010</f>
        <v>86010</v>
      </c>
      <c r="C15" s="20">
        <f>105990</f>
        <v>105990</v>
      </c>
      <c r="D15" s="20">
        <f>97360</f>
        <v>97360</v>
      </c>
      <c r="E15" s="20">
        <f>100090</f>
        <v>100090</v>
      </c>
      <c r="F15" s="20"/>
      <c r="G15" s="19"/>
      <c r="H15" s="20"/>
      <c r="I15" s="19"/>
      <c r="J15" s="20"/>
      <c r="K15" s="20"/>
      <c r="L15" s="20"/>
      <c r="M15" s="19"/>
      <c r="N15" s="21">
        <f t="shared" si="7"/>
        <v>389450</v>
      </c>
      <c r="O15" s="32">
        <f t="shared" si="8"/>
        <v>0.839667655</v>
      </c>
    </row>
    <row r="16" ht="15.75" customHeight="1">
      <c r="A16" s="26" t="s">
        <v>20</v>
      </c>
      <c r="B16" s="19">
        <f t="shared" ref="B16:E16" si="9">2709/2</f>
        <v>1354.5</v>
      </c>
      <c r="C16" s="19">
        <f t="shared" si="9"/>
        <v>1354.5</v>
      </c>
      <c r="D16" s="19">
        <f t="shared" si="9"/>
        <v>1354.5</v>
      </c>
      <c r="E16" s="19">
        <f t="shared" si="9"/>
        <v>1354.5</v>
      </c>
      <c r="F16" s="19"/>
      <c r="G16" s="19"/>
      <c r="H16" s="19"/>
      <c r="I16" s="20"/>
      <c r="J16" s="19"/>
      <c r="K16" s="20"/>
      <c r="L16" s="20"/>
      <c r="M16" s="19"/>
      <c r="N16" s="21">
        <f t="shared" si="7"/>
        <v>5418</v>
      </c>
      <c r="O16" s="32">
        <f t="shared" si="8"/>
        <v>0.01168139519</v>
      </c>
    </row>
    <row r="17" ht="15.75" customHeight="1">
      <c r="A17" s="26" t="s">
        <v>21</v>
      </c>
      <c r="B17" s="20">
        <f>51446.27</f>
        <v>51446.27</v>
      </c>
      <c r="C17" s="20">
        <v>57225.58</v>
      </c>
      <c r="D17" s="20">
        <v>45003.0</v>
      </c>
      <c r="E17" s="20">
        <v>62821.0</v>
      </c>
      <c r="F17" s="19"/>
      <c r="G17" s="19"/>
      <c r="H17" s="20"/>
      <c r="I17" s="20"/>
      <c r="J17" s="20"/>
      <c r="K17" s="20"/>
      <c r="L17" s="19"/>
      <c r="M17" s="19"/>
      <c r="N17" s="21">
        <f t="shared" si="7"/>
        <v>216495.85</v>
      </c>
      <c r="O17" s="32">
        <f t="shared" si="8"/>
        <v>0.4667725323</v>
      </c>
    </row>
    <row r="18" ht="15.75" customHeight="1">
      <c r="A18" s="26" t="s">
        <v>22</v>
      </c>
      <c r="B18" s="19">
        <f t="shared" ref="B18:E18" si="10">113832.24+113832.24</f>
        <v>227664.48</v>
      </c>
      <c r="C18" s="19">
        <f t="shared" si="10"/>
        <v>227664.48</v>
      </c>
      <c r="D18" s="19">
        <f t="shared" si="10"/>
        <v>227664.48</v>
      </c>
      <c r="E18" s="19">
        <f t="shared" si="10"/>
        <v>227664.48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910657.92</v>
      </c>
      <c r="O18" s="32">
        <f t="shared" si="8"/>
        <v>1.963409938</v>
      </c>
    </row>
    <row r="19" ht="15.75" customHeight="1">
      <c r="A19" s="34" t="s">
        <v>23</v>
      </c>
      <c r="B19" s="20">
        <v>968.0</v>
      </c>
      <c r="C19" s="19">
        <f t="shared" ref="C19:M19" si="11">136716.74/8/12</f>
        <v>1424.132708</v>
      </c>
      <c r="D19" s="19">
        <f t="shared" si="11"/>
        <v>1424.132708</v>
      </c>
      <c r="E19" s="19">
        <f t="shared" si="11"/>
        <v>1424.132708</v>
      </c>
      <c r="F19" s="19">
        <f t="shared" si="11"/>
        <v>1424.132708</v>
      </c>
      <c r="G19" s="19">
        <f t="shared" si="11"/>
        <v>1424.132708</v>
      </c>
      <c r="H19" s="19">
        <f t="shared" si="11"/>
        <v>1424.132708</v>
      </c>
      <c r="I19" s="19">
        <f t="shared" si="11"/>
        <v>1424.132708</v>
      </c>
      <c r="J19" s="19">
        <f t="shared" si="11"/>
        <v>1424.132708</v>
      </c>
      <c r="K19" s="19">
        <f t="shared" si="11"/>
        <v>1424.132708</v>
      </c>
      <c r="L19" s="19">
        <f t="shared" si="11"/>
        <v>1424.132708</v>
      </c>
      <c r="M19" s="19">
        <f t="shared" si="11"/>
        <v>1424.132708</v>
      </c>
      <c r="N19" s="21">
        <f t="shared" si="7"/>
        <v>16633.45979</v>
      </c>
      <c r="O19" s="32"/>
    </row>
    <row r="20" ht="15.75" customHeight="1">
      <c r="A20" s="26" t="s">
        <v>24</v>
      </c>
      <c r="B20" s="20">
        <v>5767.0</v>
      </c>
      <c r="C20" s="20">
        <v>5767.0</v>
      </c>
      <c r="D20" s="20">
        <v>5767.0</v>
      </c>
      <c r="E20" s="20">
        <v>5767.0</v>
      </c>
      <c r="F20" s="19"/>
      <c r="G20" s="19"/>
      <c r="H20" s="19"/>
      <c r="I20" s="19"/>
      <c r="J20" s="19"/>
      <c r="K20" s="19"/>
      <c r="L20" s="19"/>
      <c r="M20" s="19"/>
      <c r="N20" s="21">
        <f t="shared" si="7"/>
        <v>23068</v>
      </c>
      <c r="O20" s="32">
        <f t="shared" ref="O20:O29" si="12">N20/$N$7</f>
        <v>0.04973540497</v>
      </c>
    </row>
    <row r="21" ht="15.75" customHeight="1">
      <c r="A21" s="26" t="s">
        <v>25</v>
      </c>
      <c r="B21" s="20">
        <v>378972.0</v>
      </c>
      <c r="C21" s="19">
        <f>389377.25</f>
        <v>389377.25</v>
      </c>
      <c r="D21" s="19">
        <f>417756.96</f>
        <v>417756.96</v>
      </c>
      <c r="E21" s="19">
        <f>388533.27</f>
        <v>388533.27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1574639.48</v>
      </c>
      <c r="O21" s="32">
        <f t="shared" si="12"/>
        <v>3.394977121</v>
      </c>
    </row>
    <row r="22" ht="15.75" customHeight="1">
      <c r="A22" s="14" t="s">
        <v>26</v>
      </c>
      <c r="B22" s="20">
        <f t="shared" ref="B22:E22" si="13">4720+2950</f>
        <v>7670</v>
      </c>
      <c r="C22" s="20">
        <f t="shared" si="13"/>
        <v>7670</v>
      </c>
      <c r="D22" s="20">
        <f t="shared" si="13"/>
        <v>7670</v>
      </c>
      <c r="E22" s="20">
        <f t="shared" si="13"/>
        <v>7670</v>
      </c>
      <c r="F22" s="20"/>
      <c r="G22" s="20"/>
      <c r="H22" s="19"/>
      <c r="I22" s="19"/>
      <c r="J22" s="19"/>
      <c r="K22" s="19"/>
      <c r="L22" s="20"/>
      <c r="M22" s="20"/>
      <c r="N22" s="21">
        <f t="shared" si="7"/>
        <v>30680</v>
      </c>
      <c r="O22" s="32">
        <f t="shared" si="12"/>
        <v>0.06614713996</v>
      </c>
    </row>
    <row r="23" ht="15.75" customHeight="1">
      <c r="A23" s="39" t="s">
        <v>27</v>
      </c>
      <c r="B23" s="19">
        <f t="shared" ref="B23:D23" si="14">2548.84/3+6425/12+9813/12</f>
        <v>2202.78</v>
      </c>
      <c r="C23" s="19">
        <f t="shared" si="14"/>
        <v>2202.78</v>
      </c>
      <c r="D23" s="19">
        <f t="shared" si="14"/>
        <v>2202.78</v>
      </c>
      <c r="E23" s="20">
        <f t="shared" ref="E23:G23" si="15">6425/12+9813/12+2840/3</f>
        <v>2299.833333</v>
      </c>
      <c r="F23" s="20">
        <f t="shared" si="15"/>
        <v>2299.833333</v>
      </c>
      <c r="G23" s="20">
        <f t="shared" si="15"/>
        <v>2299.833333</v>
      </c>
      <c r="H23" s="20">
        <f t="shared" ref="H23:M23" si="16">6425/12+9813/12</f>
        <v>1353.166667</v>
      </c>
      <c r="I23" s="20">
        <f t="shared" si="16"/>
        <v>1353.166667</v>
      </c>
      <c r="J23" s="20">
        <f t="shared" si="16"/>
        <v>1353.166667</v>
      </c>
      <c r="K23" s="20">
        <f t="shared" si="16"/>
        <v>1353.166667</v>
      </c>
      <c r="L23" s="20">
        <f t="shared" si="16"/>
        <v>1353.166667</v>
      </c>
      <c r="M23" s="20">
        <f t="shared" si="16"/>
        <v>1353.166667</v>
      </c>
      <c r="N23" s="21">
        <f t="shared" si="7"/>
        <v>21626.84</v>
      </c>
      <c r="O23" s="32">
        <f t="shared" si="12"/>
        <v>0.04662821422</v>
      </c>
    </row>
    <row r="24" ht="15.75" customHeight="1">
      <c r="A24" s="26" t="s">
        <v>28</v>
      </c>
      <c r="B24" s="35">
        <v>0.0</v>
      </c>
      <c r="C24" s="35">
        <v>0.0</v>
      </c>
      <c r="D24" s="35">
        <v>6903.0</v>
      </c>
      <c r="E24" s="35">
        <f>'Misc Exp'!L43</f>
        <v>4450</v>
      </c>
      <c r="F24" s="20"/>
      <c r="G24" s="19"/>
      <c r="H24" s="20"/>
      <c r="I24" s="20"/>
      <c r="J24" s="20"/>
      <c r="K24" s="20"/>
      <c r="L24" s="20"/>
      <c r="M24" s="19"/>
      <c r="N24" s="21">
        <f t="shared" si="7"/>
        <v>11353</v>
      </c>
      <c r="O24" s="32">
        <f t="shared" si="12"/>
        <v>0.02447746023</v>
      </c>
    </row>
    <row r="25" ht="15.75" customHeight="1">
      <c r="A25" s="26" t="s">
        <v>29</v>
      </c>
      <c r="B25" s="20">
        <v>15863.25</v>
      </c>
      <c r="C25" s="20">
        <v>11970.0</v>
      </c>
      <c r="D25" s="20">
        <v>20071.0</v>
      </c>
      <c r="E25" s="35">
        <f>'Misc Exp'!L37</f>
        <v>20238.77</v>
      </c>
      <c r="F25" s="20"/>
      <c r="G25" s="20"/>
      <c r="H25" s="20"/>
      <c r="I25" s="20"/>
      <c r="J25" s="20"/>
      <c r="K25" s="20"/>
      <c r="L25" s="20"/>
      <c r="M25" s="20"/>
      <c r="N25" s="21">
        <f t="shared" si="7"/>
        <v>68143.02</v>
      </c>
      <c r="O25" s="32">
        <f t="shared" si="12"/>
        <v>0.1469187054</v>
      </c>
    </row>
    <row r="26" ht="15.75" customHeight="1">
      <c r="A26" s="26" t="s">
        <v>30</v>
      </c>
      <c r="B26" s="20">
        <v>0.0</v>
      </c>
      <c r="C26" s="20">
        <v>0.0</v>
      </c>
      <c r="D26" s="20">
        <v>0.0</v>
      </c>
      <c r="E26" s="20">
        <v>0.0</v>
      </c>
      <c r="F26" s="19"/>
      <c r="G26" s="19"/>
      <c r="H26" s="19"/>
      <c r="I26" s="19"/>
      <c r="J26" s="19"/>
      <c r="K26" s="19"/>
      <c r="L26" s="19"/>
      <c r="M26" s="19"/>
      <c r="N26" s="21">
        <f t="shared" si="7"/>
        <v>0</v>
      </c>
      <c r="O26" s="32">
        <f t="shared" si="12"/>
        <v>0</v>
      </c>
    </row>
    <row r="27" ht="15.75" customHeight="1">
      <c r="A27" s="26" t="s">
        <v>31</v>
      </c>
      <c r="B27" s="19">
        <f>HO!D39</f>
        <v>284702.8642</v>
      </c>
      <c r="C27" s="19">
        <f>HO!H39</f>
        <v>298516.9512</v>
      </c>
      <c r="D27" s="19">
        <f>HO!L39</f>
        <v>286023.6276</v>
      </c>
      <c r="E27" s="19">
        <f>HO!P39</f>
        <v>270258.6168</v>
      </c>
      <c r="F27" s="19" t="str">
        <f>HO!D53</f>
        <v>#DIV/0!</v>
      </c>
      <c r="G27" s="19" t="str">
        <f>HO!H53</f>
        <v>#DIV/0!</v>
      </c>
      <c r="H27" s="19" t="str">
        <f>HO!L53</f>
        <v>#DIV/0!</v>
      </c>
      <c r="I27" s="19" t="str">
        <f>HO!P53</f>
        <v>#DIV/0!</v>
      </c>
      <c r="J27" s="19" t="str">
        <f>HO!D69</f>
        <v>#DIV/0!</v>
      </c>
      <c r="K27" s="19" t="str">
        <f>HO!H69</f>
        <v>#DIV/0!</v>
      </c>
      <c r="L27" s="19" t="str">
        <f>HO!L69</f>
        <v>#DIV/0!</v>
      </c>
      <c r="M27" s="19" t="str">
        <f>HO!P69</f>
        <v>#DIV/0!</v>
      </c>
      <c r="N27" s="21" t="str">
        <f t="shared" si="7"/>
        <v>#DIV/0!</v>
      </c>
      <c r="O27" s="32" t="str">
        <f t="shared" si="12"/>
        <v>#DIV/0!</v>
      </c>
    </row>
    <row r="28" ht="15.75" customHeight="1">
      <c r="A28" s="41" t="s">
        <v>32</v>
      </c>
      <c r="B28" s="42">
        <f t="shared" ref="B28:M28" si="17">+SUM(B14:B27)</f>
        <v>1572171.074</v>
      </c>
      <c r="C28" s="42">
        <f t="shared" si="17"/>
        <v>1665550.414</v>
      </c>
      <c r="D28" s="42">
        <f t="shared" si="17"/>
        <v>1688216.43</v>
      </c>
      <c r="E28" s="42">
        <f t="shared" si="17"/>
        <v>1623907.533</v>
      </c>
      <c r="F28" s="43" t="str">
        <f t="shared" si="17"/>
        <v>#DIV/0!</v>
      </c>
      <c r="G28" s="42" t="str">
        <f t="shared" si="17"/>
        <v>#DIV/0!</v>
      </c>
      <c r="H28" s="42" t="str">
        <f t="shared" si="17"/>
        <v>#DIV/0!</v>
      </c>
      <c r="I28" s="42" t="str">
        <f t="shared" si="17"/>
        <v>#DIV/0!</v>
      </c>
      <c r="J28" s="42" t="str">
        <f t="shared" si="17"/>
        <v>#DIV/0!</v>
      </c>
      <c r="K28" s="42" t="str">
        <f t="shared" si="17"/>
        <v>#DIV/0!</v>
      </c>
      <c r="L28" s="42" t="str">
        <f t="shared" si="17"/>
        <v>#DIV/0!</v>
      </c>
      <c r="M28" s="42" t="str">
        <f t="shared" si="17"/>
        <v>#DIV/0!</v>
      </c>
      <c r="N28" s="42" t="str">
        <f t="shared" si="7"/>
        <v>#DIV/0!</v>
      </c>
      <c r="O28" s="44" t="str">
        <f t="shared" si="12"/>
        <v>#DIV/0!</v>
      </c>
    </row>
    <row r="29" ht="15.75" customHeight="1">
      <c r="A29" s="45" t="s">
        <v>33</v>
      </c>
      <c r="B29" s="46">
        <f t="shared" ref="B29:M29" si="18">B13-B28</f>
        <v>300413.736</v>
      </c>
      <c r="C29" s="46">
        <f t="shared" si="18"/>
        <v>389866.1719</v>
      </c>
      <c r="D29" s="46">
        <f t="shared" si="18"/>
        <v>317300.0747</v>
      </c>
      <c r="E29" s="46">
        <f t="shared" si="18"/>
        <v>261158.8802</v>
      </c>
      <c r="F29" s="46" t="str">
        <f t="shared" si="18"/>
        <v>#DIV/0!</v>
      </c>
      <c r="G29" s="46" t="str">
        <f t="shared" si="18"/>
        <v>#DIV/0!</v>
      </c>
      <c r="H29" s="46" t="str">
        <f t="shared" si="18"/>
        <v>#DIV/0!</v>
      </c>
      <c r="I29" s="46" t="str">
        <f t="shared" si="18"/>
        <v>#DIV/0!</v>
      </c>
      <c r="J29" s="46" t="str">
        <f t="shared" si="18"/>
        <v>#DIV/0!</v>
      </c>
      <c r="K29" s="46" t="str">
        <f t="shared" si="18"/>
        <v>#DIV/0!</v>
      </c>
      <c r="L29" s="46" t="str">
        <f t="shared" si="18"/>
        <v>#DIV/0!</v>
      </c>
      <c r="M29" s="46" t="str">
        <f t="shared" si="18"/>
        <v>#DIV/0!</v>
      </c>
      <c r="N29" s="46" t="str">
        <f t="shared" si="7"/>
        <v>#DIV/0!</v>
      </c>
      <c r="O29" s="47" t="str">
        <f t="shared" si="12"/>
        <v>#DIV/0!</v>
      </c>
    </row>
    <row r="30" ht="15.75" customHeight="1">
      <c r="A30" s="48" t="s">
        <v>34</v>
      </c>
      <c r="B30" s="49">
        <f t="shared" ref="B30:M30" si="19">(B14/B13)</f>
        <v>0.2721104685</v>
      </c>
      <c r="C30" s="49">
        <f t="shared" si="19"/>
        <v>0.2706934175</v>
      </c>
      <c r="D30" s="49">
        <f t="shared" si="19"/>
        <v>0.2837253887</v>
      </c>
      <c r="E30" s="49">
        <f t="shared" si="19"/>
        <v>0.2818658941</v>
      </c>
      <c r="F30" s="50" t="str">
        <f t="shared" si="19"/>
        <v>#DIV/0!</v>
      </c>
      <c r="G30" s="49" t="str">
        <f t="shared" si="19"/>
        <v>#DIV/0!</v>
      </c>
      <c r="H30" s="49" t="str">
        <f t="shared" si="19"/>
        <v>#DIV/0!</v>
      </c>
      <c r="I30" s="49" t="str">
        <f t="shared" si="19"/>
        <v>#DIV/0!</v>
      </c>
      <c r="J30" s="49" t="str">
        <f t="shared" si="19"/>
        <v>#DIV/0!</v>
      </c>
      <c r="K30" s="49" t="str">
        <f t="shared" si="19"/>
        <v>#DIV/0!</v>
      </c>
      <c r="L30" s="49" t="str">
        <f t="shared" si="19"/>
        <v>#DIV/0!</v>
      </c>
      <c r="M30" s="49" t="str">
        <f t="shared" si="19"/>
        <v>#DIV/0!</v>
      </c>
      <c r="N30" s="51"/>
      <c r="O30" s="51"/>
    </row>
    <row r="31" ht="15.75" customHeight="1"/>
    <row r="32" ht="15.75" customHeight="1">
      <c r="B32" s="73">
        <f t="shared" ref="B32:M32" si="20">B29+B27</f>
        <v>585116.6002</v>
      </c>
      <c r="C32" s="73">
        <f t="shared" si="20"/>
        <v>688383.1231</v>
      </c>
      <c r="D32" s="73">
        <f t="shared" si="20"/>
        <v>603323.7024</v>
      </c>
      <c r="E32" s="73">
        <f t="shared" si="20"/>
        <v>531417.497</v>
      </c>
      <c r="F32" s="73" t="str">
        <f t="shared" si="20"/>
        <v>#DIV/0!</v>
      </c>
      <c r="G32" s="73" t="str">
        <f t="shared" si="20"/>
        <v>#DIV/0!</v>
      </c>
      <c r="H32" s="73" t="str">
        <f t="shared" si="20"/>
        <v>#DIV/0!</v>
      </c>
      <c r="I32" s="73" t="str">
        <f t="shared" si="20"/>
        <v>#DIV/0!</v>
      </c>
      <c r="J32" s="73" t="str">
        <f t="shared" si="20"/>
        <v>#DIV/0!</v>
      </c>
      <c r="K32" s="73" t="str">
        <f t="shared" si="20"/>
        <v>#DIV/0!</v>
      </c>
      <c r="L32" s="73" t="str">
        <f t="shared" si="20"/>
        <v>#DIV/0!</v>
      </c>
      <c r="M32" s="73" t="str">
        <f t="shared" si="20"/>
        <v>#DIV/0!</v>
      </c>
    </row>
    <row r="33" ht="15.75" customHeight="1">
      <c r="B33" s="80">
        <f t="shared" ref="B33:M33" si="21">B32/B13</f>
        <v>0.3124646729</v>
      </c>
      <c r="C33" s="80">
        <f t="shared" si="21"/>
        <v>0.3349117293</v>
      </c>
      <c r="D33" s="80">
        <f t="shared" si="21"/>
        <v>0.3008320803</v>
      </c>
      <c r="E33" s="80">
        <f t="shared" si="21"/>
        <v>0.2819091642</v>
      </c>
      <c r="F33" s="80" t="str">
        <f t="shared" si="21"/>
        <v>#DIV/0!</v>
      </c>
      <c r="G33" s="80" t="str">
        <f t="shared" si="21"/>
        <v>#DIV/0!</v>
      </c>
      <c r="H33" s="80" t="str">
        <f t="shared" si="21"/>
        <v>#DIV/0!</v>
      </c>
      <c r="I33" s="80" t="str">
        <f t="shared" si="21"/>
        <v>#DIV/0!</v>
      </c>
      <c r="J33" s="80" t="str">
        <f t="shared" si="21"/>
        <v>#DIV/0!</v>
      </c>
      <c r="K33" s="80" t="str">
        <f t="shared" si="21"/>
        <v>#DIV/0!</v>
      </c>
      <c r="L33" s="80" t="str">
        <f t="shared" si="21"/>
        <v>#DIV/0!</v>
      </c>
      <c r="M33" s="80" t="str">
        <f t="shared" si="21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46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83">
        <v>80928.0</v>
      </c>
      <c r="C3" s="19">
        <f t="shared" ref="C3:M3" si="1">B7</f>
        <v>75279.8</v>
      </c>
      <c r="D3" s="19">
        <f t="shared" si="1"/>
        <v>65861.44</v>
      </c>
      <c r="E3" s="19">
        <f t="shared" si="1"/>
        <v>60614</v>
      </c>
      <c r="F3" s="19">
        <f t="shared" si="1"/>
        <v>60060</v>
      </c>
      <c r="G3" s="19">
        <f t="shared" si="1"/>
        <v>64772.52</v>
      </c>
      <c r="H3" s="19" t="str">
        <f t="shared" si="1"/>
        <v/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0">
        <v>591480.0</v>
      </c>
      <c r="C4" s="20">
        <v>586977.65</v>
      </c>
      <c r="D4" s="20">
        <v>518317.0</v>
      </c>
      <c r="E4" s="20">
        <v>468712.0</v>
      </c>
      <c r="F4" s="20">
        <v>529452.0</v>
      </c>
      <c r="G4" s="20"/>
      <c r="H4" s="20"/>
      <c r="I4" s="19"/>
      <c r="J4" s="19"/>
      <c r="K4" s="20"/>
      <c r="L4" s="20"/>
      <c r="M4" s="20"/>
      <c r="N4" s="21">
        <f>sum(B4:M4)</f>
        <v>2694938.65</v>
      </c>
      <c r="O4" s="22"/>
    </row>
    <row r="5" ht="15.75" customHeight="1">
      <c r="A5" s="14" t="s">
        <v>10</v>
      </c>
      <c r="B5" s="20">
        <v>0.0</v>
      </c>
      <c r="C5" s="20">
        <v>0.0</v>
      </c>
      <c r="D5" s="20">
        <v>0.0</v>
      </c>
      <c r="E5" s="20">
        <v>0.0</v>
      </c>
      <c r="F5" s="20">
        <v>0.0</v>
      </c>
      <c r="G5" s="20"/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0">
        <v>33396.92</v>
      </c>
      <c r="C6" s="20">
        <v>26189.06</v>
      </c>
      <c r="D6" s="20">
        <v>24713.0</v>
      </c>
      <c r="E6" s="20">
        <v>18719.0</v>
      </c>
      <c r="F6" s="20">
        <v>18555.0</v>
      </c>
      <c r="G6" s="20"/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0">
        <v>75279.8</v>
      </c>
      <c r="C7" s="20">
        <v>65861.44</v>
      </c>
      <c r="D7" s="20">
        <v>60614.0</v>
      </c>
      <c r="E7" s="20">
        <v>60060.0</v>
      </c>
      <c r="F7" s="20">
        <v>64772.52</v>
      </c>
      <c r="G7" s="20"/>
      <c r="H7" s="20"/>
      <c r="I7" s="20"/>
      <c r="J7" s="20"/>
      <c r="K7" s="19"/>
      <c r="L7" s="20"/>
      <c r="M7" s="20"/>
      <c r="N7" s="21">
        <f>sum(B7:M7)</f>
        <v>326587.76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2253836.58*1.05+48246.93*1.05</f>
        <v>2417187.686</v>
      </c>
      <c r="C9" s="19">
        <f>2199056*1.05+47913.53*1.05</f>
        <v>2359318.007</v>
      </c>
      <c r="D9" s="19">
        <f>1929334.13*1.05+30*1.05+43861.65*1.05</f>
        <v>2071887.069</v>
      </c>
      <c r="E9" s="19">
        <f>1851603*1.05+39229.96*1.05</f>
        <v>1985374.608</v>
      </c>
      <c r="F9" s="19"/>
      <c r="G9" s="20"/>
      <c r="H9" s="19"/>
      <c r="I9" s="19"/>
      <c r="J9" s="19"/>
      <c r="K9" s="20"/>
      <c r="L9" s="19"/>
      <c r="M9" s="19"/>
      <c r="N9" s="21">
        <f t="shared" ref="N9:N12" si="3">+SUM(B9:M9)</f>
        <v>8833767.369</v>
      </c>
      <c r="O9" s="22"/>
    </row>
    <row r="10" ht="15.75" customHeight="1">
      <c r="A10" s="26" t="s">
        <v>14</v>
      </c>
      <c r="B10" s="20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115104.1755</v>
      </c>
      <c r="C11" s="19">
        <f t="shared" si="4"/>
        <v>112348.4765</v>
      </c>
      <c r="D11" s="19">
        <f t="shared" si="4"/>
        <v>98661.289</v>
      </c>
      <c r="E11" s="19">
        <f t="shared" si="4"/>
        <v>94541.648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420655.589</v>
      </c>
      <c r="O11" s="22"/>
    </row>
    <row r="12" ht="15.75" customHeight="1">
      <c r="A12" s="26" t="s">
        <v>16</v>
      </c>
      <c r="B12" s="19">
        <f>113677.28*1.18+32664.31*1.18+3330.31*1.18</f>
        <v>176612.842</v>
      </c>
      <c r="C12" s="19">
        <f>113500.92*1.18+44161.46*1.18+3350.64*1.18</f>
        <v>189995.3636</v>
      </c>
      <c r="D12" s="19">
        <f>103890.88*1.18+(6947/0.18)*1.18+3191.97*1.18</f>
        <v>171899.2074</v>
      </c>
      <c r="E12" s="19">
        <f>93200*1.18+39209*1.18+1310*1.18</f>
        <v>157788.42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696295.833</v>
      </c>
      <c r="O12" s="22"/>
      <c r="T12" s="79">
        <f>8749.04*0.18</f>
        <v>1574.8272</v>
      </c>
    </row>
    <row r="13" ht="15.75" customHeight="1">
      <c r="A13" s="27" t="s">
        <v>17</v>
      </c>
      <c r="B13" s="28">
        <f t="shared" ref="B13:M13" si="5">B9+B10-B11-B12</f>
        <v>2125470.668</v>
      </c>
      <c r="C13" s="28">
        <f t="shared" si="5"/>
        <v>2056974.166</v>
      </c>
      <c r="D13" s="28">
        <f t="shared" si="5"/>
        <v>1801326.573</v>
      </c>
      <c r="E13" s="28">
        <f t="shared" si="5"/>
        <v>1733044.54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7716815.947</v>
      </c>
      <c r="O13" s="30">
        <f t="shared" ref="O13:O29" si="8">N13/$N$7</f>
        <v>23.62861348</v>
      </c>
    </row>
    <row r="14" ht="15.75" customHeight="1">
      <c r="A14" s="26" t="s">
        <v>18</v>
      </c>
      <c r="B14" s="31">
        <f t="shared" ref="B14:M14" si="6">+B3+B4-B5-B7</f>
        <v>597128.2</v>
      </c>
      <c r="C14" s="31">
        <f t="shared" si="6"/>
        <v>596396.01</v>
      </c>
      <c r="D14" s="31">
        <f t="shared" si="6"/>
        <v>523564.44</v>
      </c>
      <c r="E14" s="31">
        <f t="shared" si="6"/>
        <v>469266</v>
      </c>
      <c r="F14" s="31">
        <f t="shared" si="6"/>
        <v>524739.48</v>
      </c>
      <c r="G14" s="31">
        <f t="shared" si="6"/>
        <v>64772.52</v>
      </c>
      <c r="H14" s="31">
        <f t="shared" si="6"/>
        <v>0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2775866.65</v>
      </c>
      <c r="O14" s="32">
        <f t="shared" si="8"/>
        <v>8.499604057</v>
      </c>
    </row>
    <row r="15" ht="15.75" customHeight="1">
      <c r="A15" s="26" t="s">
        <v>19</v>
      </c>
      <c r="B15" s="20">
        <f>134910+22084/3</f>
        <v>142271.3333</v>
      </c>
      <c r="C15" s="20">
        <f>167140+22084/3</f>
        <v>174501.3333</v>
      </c>
      <c r="D15" s="20">
        <f>22084/3+154930</f>
        <v>162291.3333</v>
      </c>
      <c r="E15" s="20">
        <v>158220.0</v>
      </c>
      <c r="F15" s="20"/>
      <c r="G15" s="20"/>
      <c r="H15" s="20"/>
      <c r="I15" s="19"/>
      <c r="J15" s="20"/>
      <c r="K15" s="20"/>
      <c r="L15" s="20"/>
      <c r="M15" s="20"/>
      <c r="N15" s="21">
        <f t="shared" si="7"/>
        <v>637284</v>
      </c>
      <c r="O15" s="32">
        <f t="shared" si="8"/>
        <v>1.951340736</v>
      </c>
    </row>
    <row r="16" ht="15.75" customHeight="1">
      <c r="A16" s="26" t="s">
        <v>20</v>
      </c>
      <c r="B16" s="20">
        <f t="shared" ref="B16:D16" si="9">5310/3+219</f>
        <v>1989</v>
      </c>
      <c r="C16" s="20">
        <f t="shared" si="9"/>
        <v>1989</v>
      </c>
      <c r="D16" s="20">
        <f t="shared" si="9"/>
        <v>1989</v>
      </c>
      <c r="E16" s="33">
        <f>219+5310/3</f>
        <v>1989</v>
      </c>
      <c r="F16" s="20"/>
      <c r="G16" s="19"/>
      <c r="H16" s="20"/>
      <c r="I16" s="20"/>
      <c r="J16" s="20"/>
      <c r="K16" s="19"/>
      <c r="L16" s="19"/>
      <c r="M16" s="19"/>
      <c r="N16" s="21">
        <f t="shared" si="7"/>
        <v>7956</v>
      </c>
      <c r="O16" s="32">
        <f t="shared" si="8"/>
        <v>0.02436098646</v>
      </c>
    </row>
    <row r="17" ht="15.75" customHeight="1">
      <c r="A17" s="26" t="s">
        <v>21</v>
      </c>
      <c r="B17" s="20">
        <f>98881.92</f>
        <v>98881.92</v>
      </c>
      <c r="C17" s="20">
        <v>130928.0</v>
      </c>
      <c r="D17" s="20">
        <v>54139.0</v>
      </c>
      <c r="E17" s="20">
        <v>102386.0</v>
      </c>
      <c r="F17" s="19"/>
      <c r="G17" s="20"/>
      <c r="H17" s="20"/>
      <c r="I17" s="20"/>
      <c r="J17" s="20"/>
      <c r="K17" s="20"/>
      <c r="L17" s="20"/>
      <c r="M17" s="20"/>
      <c r="N17" s="21">
        <f t="shared" si="7"/>
        <v>386334.92</v>
      </c>
      <c r="O17" s="32">
        <f t="shared" si="8"/>
        <v>1.18294366</v>
      </c>
    </row>
    <row r="18" ht="15.75" customHeight="1">
      <c r="A18" s="26" t="s">
        <v>22</v>
      </c>
      <c r="B18" s="19">
        <f t="shared" ref="B18:E18" si="10">472000</f>
        <v>472000</v>
      </c>
      <c r="C18" s="19">
        <f t="shared" si="10"/>
        <v>472000</v>
      </c>
      <c r="D18" s="19">
        <f t="shared" si="10"/>
        <v>472000</v>
      </c>
      <c r="E18" s="19">
        <f t="shared" si="10"/>
        <v>472000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1888000</v>
      </c>
      <c r="O18" s="32">
        <f t="shared" si="8"/>
        <v>5.78098824</v>
      </c>
    </row>
    <row r="19" ht="15.75" customHeight="1">
      <c r="A19" s="34" t="s">
        <v>23</v>
      </c>
      <c r="B19" s="20">
        <f>1859</f>
        <v>1859</v>
      </c>
      <c r="C19" s="19">
        <f t="shared" ref="C19:M19" si="11">136716.74/8/12</f>
        <v>1424.132708</v>
      </c>
      <c r="D19" s="19">
        <f t="shared" si="11"/>
        <v>1424.132708</v>
      </c>
      <c r="E19" s="19">
        <f t="shared" si="11"/>
        <v>1424.132708</v>
      </c>
      <c r="F19" s="19">
        <f t="shared" si="11"/>
        <v>1424.132708</v>
      </c>
      <c r="G19" s="19">
        <f t="shared" si="11"/>
        <v>1424.132708</v>
      </c>
      <c r="H19" s="19">
        <f t="shared" si="11"/>
        <v>1424.132708</v>
      </c>
      <c r="I19" s="19">
        <f t="shared" si="11"/>
        <v>1424.132708</v>
      </c>
      <c r="J19" s="19">
        <f t="shared" si="11"/>
        <v>1424.132708</v>
      </c>
      <c r="K19" s="19">
        <f t="shared" si="11"/>
        <v>1424.132708</v>
      </c>
      <c r="L19" s="19">
        <f t="shared" si="11"/>
        <v>1424.132708</v>
      </c>
      <c r="M19" s="19">
        <f t="shared" si="11"/>
        <v>1424.132708</v>
      </c>
      <c r="N19" s="21">
        <f t="shared" si="7"/>
        <v>17524.45979</v>
      </c>
      <c r="O19" s="32">
        <f t="shared" si="8"/>
        <v>0.05365926694</v>
      </c>
    </row>
    <row r="20" ht="15.75" customHeight="1">
      <c r="A20" s="26" t="s">
        <v>24</v>
      </c>
      <c r="B20" s="93">
        <v>7302.0</v>
      </c>
      <c r="C20" s="93">
        <v>7302.0</v>
      </c>
      <c r="D20" s="93">
        <v>7302.0</v>
      </c>
      <c r="E20" s="93">
        <v>7302.0</v>
      </c>
      <c r="F20" s="91"/>
      <c r="G20" s="91"/>
      <c r="H20" s="19"/>
      <c r="I20" s="19"/>
      <c r="J20" s="19"/>
      <c r="K20" s="19"/>
      <c r="L20" s="19"/>
      <c r="M20" s="19"/>
      <c r="N20" s="21">
        <f t="shared" si="7"/>
        <v>29208</v>
      </c>
      <c r="O20" s="32">
        <f t="shared" si="8"/>
        <v>0.08943384774</v>
      </c>
    </row>
    <row r="21" ht="15.75" customHeight="1">
      <c r="A21" s="26" t="s">
        <v>25</v>
      </c>
      <c r="B21" s="19">
        <f>453973+7000</f>
        <v>460973</v>
      </c>
      <c r="C21" s="19">
        <f>466081.35+7000</f>
        <v>473081.35</v>
      </c>
      <c r="D21" s="19">
        <f>426367.08+7000</f>
        <v>433367.08</v>
      </c>
      <c r="E21" s="19">
        <f>455116.45+7000</f>
        <v>462116.45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1829537.88</v>
      </c>
      <c r="O21" s="32">
        <f t="shared" si="8"/>
        <v>5.601979327</v>
      </c>
    </row>
    <row r="22" ht="15.75" customHeight="1">
      <c r="A22" s="14" t="s">
        <v>26</v>
      </c>
      <c r="B22" s="20">
        <f t="shared" ref="B22:E22" si="12">4720+5145</f>
        <v>9865</v>
      </c>
      <c r="C22" s="19">
        <f t="shared" si="12"/>
        <v>9865</v>
      </c>
      <c r="D22" s="19">
        <f t="shared" si="12"/>
        <v>9865</v>
      </c>
      <c r="E22" s="19">
        <f t="shared" si="12"/>
        <v>9865</v>
      </c>
      <c r="F22" s="19"/>
      <c r="G22" s="19"/>
      <c r="H22" s="19"/>
      <c r="I22" s="19"/>
      <c r="J22" s="19"/>
      <c r="K22" s="19"/>
      <c r="L22" s="19"/>
      <c r="M22" s="19"/>
      <c r="N22" s="21">
        <f t="shared" si="7"/>
        <v>39460</v>
      </c>
      <c r="O22" s="32">
        <f t="shared" si="8"/>
        <v>0.1208251038</v>
      </c>
    </row>
    <row r="23" ht="15.75" customHeight="1">
      <c r="A23" s="39" t="s">
        <v>27</v>
      </c>
      <c r="B23" s="19">
        <f t="shared" ref="B23:D23" si="13">2548.84/3</f>
        <v>849.6133333</v>
      </c>
      <c r="C23" s="19">
        <f t="shared" si="13"/>
        <v>849.6133333</v>
      </c>
      <c r="D23" s="19">
        <f t="shared" si="13"/>
        <v>849.6133333</v>
      </c>
      <c r="E23" s="20">
        <f t="shared" ref="E23:G23" si="14">2840/3</f>
        <v>946.6666667</v>
      </c>
      <c r="F23" s="20">
        <f t="shared" si="14"/>
        <v>946.6666667</v>
      </c>
      <c r="G23" s="20">
        <f t="shared" si="14"/>
        <v>946.6666667</v>
      </c>
      <c r="H23" s="20"/>
      <c r="I23" s="20"/>
      <c r="J23" s="20"/>
      <c r="K23" s="19"/>
      <c r="L23" s="19"/>
      <c r="M23" s="19"/>
      <c r="N23" s="21">
        <f t="shared" si="7"/>
        <v>5388.84</v>
      </c>
      <c r="O23" s="32">
        <f t="shared" si="8"/>
        <v>0.01650043468</v>
      </c>
    </row>
    <row r="24" ht="15.75" customHeight="1">
      <c r="A24" s="26" t="s">
        <v>28</v>
      </c>
      <c r="B24" s="35">
        <f>7316</f>
        <v>7316</v>
      </c>
      <c r="C24" s="35">
        <v>0.0</v>
      </c>
      <c r="D24" s="35">
        <v>4130.0</v>
      </c>
      <c r="E24" s="35">
        <f>'Misc Exp'!K43</f>
        <v>10620</v>
      </c>
      <c r="F24" s="20"/>
      <c r="G24" s="19"/>
      <c r="H24" s="20"/>
      <c r="I24" s="20"/>
      <c r="J24" s="20"/>
      <c r="K24" s="20"/>
      <c r="L24" s="19"/>
      <c r="M24" s="20"/>
      <c r="N24" s="21">
        <f t="shared" si="7"/>
        <v>22066</v>
      </c>
      <c r="O24" s="32">
        <f t="shared" si="8"/>
        <v>0.06756530006</v>
      </c>
    </row>
    <row r="25" ht="15.75" customHeight="1">
      <c r="A25" s="26" t="s">
        <v>29</v>
      </c>
      <c r="B25" s="20">
        <v>8535.83</v>
      </c>
      <c r="C25" s="20">
        <v>9935.75</v>
      </c>
      <c r="D25" s="20">
        <v>17263.47</v>
      </c>
      <c r="E25" s="35">
        <f>'Misc Exp'!K37</f>
        <v>23598.95</v>
      </c>
      <c r="F25" s="20"/>
      <c r="G25" s="19"/>
      <c r="H25" s="20"/>
      <c r="I25" s="20"/>
      <c r="J25" s="20"/>
      <c r="K25" s="20"/>
      <c r="L25" s="20"/>
      <c r="M25" s="20"/>
      <c r="N25" s="21">
        <f t="shared" si="7"/>
        <v>59334</v>
      </c>
      <c r="O25" s="32">
        <f t="shared" si="8"/>
        <v>0.1816785785</v>
      </c>
    </row>
    <row r="26" ht="15.75" customHeight="1">
      <c r="A26" s="26" t="s">
        <v>30</v>
      </c>
      <c r="B26" s="20">
        <v>0.0</v>
      </c>
      <c r="C26" s="20">
        <v>0.0</v>
      </c>
      <c r="D26" s="20">
        <v>0.0</v>
      </c>
      <c r="E26" s="19"/>
      <c r="F26" s="19"/>
      <c r="G26" s="19"/>
      <c r="H26" s="19"/>
      <c r="I26" s="19"/>
      <c r="J26" s="19"/>
      <c r="K26" s="19"/>
      <c r="L26" s="19"/>
      <c r="M26" s="19"/>
      <c r="N26" s="21">
        <f t="shared" si="7"/>
        <v>0</v>
      </c>
      <c r="O26" s="32">
        <f t="shared" si="8"/>
        <v>0</v>
      </c>
    </row>
    <row r="27" ht="15.75" customHeight="1">
      <c r="A27" s="26" t="s">
        <v>31</v>
      </c>
      <c r="B27" s="19">
        <f>HO!D40</f>
        <v>323150.9642</v>
      </c>
      <c r="C27" s="19">
        <f>HO!H40</f>
        <v>298743.1653</v>
      </c>
      <c r="D27" s="19">
        <f>HO!L40</f>
        <v>256902.3788</v>
      </c>
      <c r="E27" s="19">
        <f>HO!P40</f>
        <v>248463.5114</v>
      </c>
      <c r="F27" s="19" t="str">
        <f>HO!D54</f>
        <v>#DIV/0!</v>
      </c>
      <c r="G27" s="19" t="str">
        <f>HO!H54</f>
        <v>#DIV/0!</v>
      </c>
      <c r="H27" s="19" t="str">
        <f>HO!L54</f>
        <v>#DIV/0!</v>
      </c>
      <c r="I27" s="19" t="str">
        <f>HO!P54</f>
        <v>#DIV/0!</v>
      </c>
      <c r="J27" s="19" t="str">
        <f>HO!D70</f>
        <v>#DIV/0!</v>
      </c>
      <c r="K27" s="19" t="str">
        <f>HO!H70</f>
        <v>#DIV/0!</v>
      </c>
      <c r="L27" s="19" t="str">
        <f>HO!L70</f>
        <v>#DIV/0!</v>
      </c>
      <c r="M27" s="19" t="str">
        <f>HO!P70</f>
        <v>#DIV/0!</v>
      </c>
      <c r="N27" s="21" t="str">
        <f t="shared" si="7"/>
        <v>#DIV/0!</v>
      </c>
      <c r="O27" s="32" t="str">
        <f t="shared" si="8"/>
        <v>#DIV/0!</v>
      </c>
    </row>
    <row r="28" ht="15.75" customHeight="1">
      <c r="A28" s="41" t="s">
        <v>32</v>
      </c>
      <c r="B28" s="42">
        <f t="shared" ref="B28:M28" si="15">+SUM(B14:B27)</f>
        <v>2132121.861</v>
      </c>
      <c r="C28" s="42">
        <f t="shared" si="15"/>
        <v>2177015.355</v>
      </c>
      <c r="D28" s="42">
        <f t="shared" si="15"/>
        <v>1945087.448</v>
      </c>
      <c r="E28" s="42">
        <f t="shared" si="15"/>
        <v>1968197.711</v>
      </c>
      <c r="F28" s="43" t="str">
        <f t="shared" si="15"/>
        <v>#DIV/0!</v>
      </c>
      <c r="G28" s="42" t="str">
        <f t="shared" si="15"/>
        <v>#DIV/0!</v>
      </c>
      <c r="H28" s="42" t="str">
        <f t="shared" si="15"/>
        <v>#DIV/0!</v>
      </c>
      <c r="I28" s="42" t="str">
        <f t="shared" si="15"/>
        <v>#DIV/0!</v>
      </c>
      <c r="J28" s="42" t="str">
        <f t="shared" si="15"/>
        <v>#DIV/0!</v>
      </c>
      <c r="K28" s="42" t="str">
        <f t="shared" si="15"/>
        <v>#DIV/0!</v>
      </c>
      <c r="L28" s="42" t="str">
        <f t="shared" si="15"/>
        <v>#DIV/0!</v>
      </c>
      <c r="M28" s="42" t="str">
        <f t="shared" si="15"/>
        <v>#DIV/0!</v>
      </c>
      <c r="N28" s="42" t="str">
        <f t="shared" si="7"/>
        <v>#DIV/0!</v>
      </c>
      <c r="O28" s="44" t="str">
        <f t="shared" si="8"/>
        <v>#DIV/0!</v>
      </c>
    </row>
    <row r="29" ht="15.75" customHeight="1">
      <c r="A29" s="45" t="s">
        <v>33</v>
      </c>
      <c r="B29" s="46">
        <f t="shared" ref="B29:M29" si="16">B13-B28</f>
        <v>-6651.192847</v>
      </c>
      <c r="C29" s="46">
        <f t="shared" si="16"/>
        <v>-120041.1883</v>
      </c>
      <c r="D29" s="46">
        <f t="shared" si="16"/>
        <v>-143760.8756</v>
      </c>
      <c r="E29" s="46">
        <f t="shared" si="16"/>
        <v>-235153.1708</v>
      </c>
      <c r="F29" s="46" t="str">
        <f t="shared" si="16"/>
        <v>#DIV/0!</v>
      </c>
      <c r="G29" s="46" t="str">
        <f t="shared" si="16"/>
        <v>#DIV/0!</v>
      </c>
      <c r="H29" s="46" t="str">
        <f t="shared" si="16"/>
        <v>#DIV/0!</v>
      </c>
      <c r="I29" s="46" t="str">
        <f t="shared" si="16"/>
        <v>#DIV/0!</v>
      </c>
      <c r="J29" s="46" t="str">
        <f t="shared" si="16"/>
        <v>#DIV/0!</v>
      </c>
      <c r="K29" s="46" t="str">
        <f t="shared" si="16"/>
        <v>#DIV/0!</v>
      </c>
      <c r="L29" s="46" t="str">
        <f t="shared" si="16"/>
        <v>#DIV/0!</v>
      </c>
      <c r="M29" s="46" t="str">
        <f t="shared" si="16"/>
        <v>#DIV/0!</v>
      </c>
      <c r="N29" s="46" t="str">
        <f t="shared" si="7"/>
        <v>#DIV/0!</v>
      </c>
      <c r="O29" s="47" t="str">
        <f t="shared" si="8"/>
        <v>#DIV/0!</v>
      </c>
    </row>
    <row r="30" ht="15.75" customHeight="1">
      <c r="A30" s="48" t="s">
        <v>34</v>
      </c>
      <c r="B30" s="49">
        <f t="shared" ref="B30:M30" si="17">(B14/B13)</f>
        <v>0.2809392804</v>
      </c>
      <c r="C30" s="49">
        <f t="shared" si="17"/>
        <v>0.2899385027</v>
      </c>
      <c r="D30" s="49">
        <f t="shared" si="17"/>
        <v>0.2906549251</v>
      </c>
      <c r="E30" s="49">
        <f t="shared" si="17"/>
        <v>0.2707754989</v>
      </c>
      <c r="F30" s="50" t="str">
        <f t="shared" si="17"/>
        <v>#DIV/0!</v>
      </c>
      <c r="G30" s="49" t="str">
        <f t="shared" si="17"/>
        <v>#DIV/0!</v>
      </c>
      <c r="H30" s="49" t="str">
        <f t="shared" si="17"/>
        <v>#DIV/0!</v>
      </c>
      <c r="I30" s="49" t="str">
        <f t="shared" si="17"/>
        <v>#DIV/0!</v>
      </c>
      <c r="J30" s="49" t="str">
        <f t="shared" si="17"/>
        <v>#DIV/0!</v>
      </c>
      <c r="K30" s="49" t="str">
        <f t="shared" si="17"/>
        <v>#DIV/0!</v>
      </c>
      <c r="L30" s="49" t="str">
        <f t="shared" si="17"/>
        <v>#DIV/0!</v>
      </c>
      <c r="M30" s="49" t="str">
        <f t="shared" si="17"/>
        <v>#DIV/0!</v>
      </c>
      <c r="N30" s="51"/>
      <c r="O30" s="51"/>
    </row>
    <row r="31" ht="15.75" customHeight="1"/>
    <row r="32" ht="15.75" customHeight="1">
      <c r="B32" s="73">
        <f t="shared" ref="B32:M32" si="18">B29+B27</f>
        <v>316499.7713</v>
      </c>
      <c r="C32" s="73">
        <f t="shared" si="18"/>
        <v>178701.977</v>
      </c>
      <c r="D32" s="73">
        <f t="shared" si="18"/>
        <v>113141.5032</v>
      </c>
      <c r="E32" s="73">
        <f t="shared" si="18"/>
        <v>13310.34063</v>
      </c>
      <c r="F32" s="73" t="str">
        <f t="shared" si="18"/>
        <v>#DIV/0!</v>
      </c>
      <c r="G32" s="73" t="str">
        <f t="shared" si="18"/>
        <v>#DIV/0!</v>
      </c>
      <c r="H32" s="73" t="str">
        <f t="shared" si="18"/>
        <v>#DIV/0!</v>
      </c>
      <c r="I32" s="73" t="str">
        <f t="shared" si="18"/>
        <v>#DIV/0!</v>
      </c>
      <c r="J32" s="73" t="str">
        <f t="shared" si="18"/>
        <v>#DIV/0!</v>
      </c>
      <c r="K32" s="73" t="str">
        <f t="shared" si="18"/>
        <v>#DIV/0!</v>
      </c>
      <c r="L32" s="73" t="str">
        <f t="shared" si="18"/>
        <v>#DIV/0!</v>
      </c>
      <c r="M32" s="73" t="str">
        <f t="shared" si="18"/>
        <v>#DIV/0!</v>
      </c>
    </row>
    <row r="33" ht="15.75" customHeight="1">
      <c r="B33" s="80">
        <f t="shared" ref="B33:M33" si="19">B32/B13</f>
        <v>0.1489080871</v>
      </c>
      <c r="C33" s="80">
        <f t="shared" si="19"/>
        <v>0.08687614067</v>
      </c>
      <c r="D33" s="80">
        <f t="shared" si="19"/>
        <v>0.06281010057</v>
      </c>
      <c r="E33" s="80">
        <f t="shared" si="19"/>
        <v>0.007680322299</v>
      </c>
      <c r="F33" s="80" t="str">
        <f t="shared" si="19"/>
        <v>#DIV/0!</v>
      </c>
      <c r="G33" s="80" t="str">
        <f t="shared" si="19"/>
        <v>#DIV/0!</v>
      </c>
      <c r="H33" s="80" t="str">
        <f t="shared" si="19"/>
        <v>#DIV/0!</v>
      </c>
      <c r="I33" s="80" t="str">
        <f t="shared" si="19"/>
        <v>#DIV/0!</v>
      </c>
      <c r="J33" s="80" t="str">
        <f t="shared" si="19"/>
        <v>#DIV/0!</v>
      </c>
      <c r="K33" s="80" t="str">
        <f t="shared" si="19"/>
        <v>#DIV/0!</v>
      </c>
      <c r="L33" s="80" t="str">
        <f t="shared" si="19"/>
        <v>#DIV/0!</v>
      </c>
      <c r="M33" s="80" t="str">
        <f t="shared" si="19"/>
        <v>#DIV/0!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47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21772.0</v>
      </c>
      <c r="C3" s="17">
        <f t="shared" ref="C3:M3" si="1">B7</f>
        <v>27514</v>
      </c>
      <c r="D3" s="17">
        <f t="shared" si="1"/>
        <v>27435.24</v>
      </c>
      <c r="E3" s="19">
        <f t="shared" si="1"/>
        <v>33059</v>
      </c>
      <c r="F3" s="19">
        <f t="shared" si="1"/>
        <v>25171</v>
      </c>
      <c r="G3" s="19">
        <f t="shared" si="1"/>
        <v>25480</v>
      </c>
      <c r="H3" s="19" t="str">
        <f t="shared" si="1"/>
        <v/>
      </c>
      <c r="I3" s="19" t="str">
        <f t="shared" si="1"/>
        <v/>
      </c>
      <c r="J3" s="19" t="str">
        <f t="shared" si="1"/>
        <v/>
      </c>
      <c r="K3" s="19" t="str">
        <f t="shared" si="1"/>
        <v/>
      </c>
      <c r="L3" s="19" t="str">
        <f t="shared" si="1"/>
        <v/>
      </c>
      <c r="M3" s="19" t="str">
        <f t="shared" si="1"/>
        <v/>
      </c>
      <c r="N3" s="21">
        <f>+SUM(J3:L3)</f>
        <v>0</v>
      </c>
      <c r="O3" s="22"/>
    </row>
    <row r="4" ht="15.75" customHeight="1">
      <c r="A4" s="14" t="s">
        <v>9</v>
      </c>
      <c r="B4" s="24">
        <v>505213.0</v>
      </c>
      <c r="C4" s="24">
        <v>533796.56</v>
      </c>
      <c r="D4" s="24">
        <v>551795.0</v>
      </c>
      <c r="E4" s="20">
        <v>523595.0</v>
      </c>
      <c r="F4" s="20">
        <v>597842.0</v>
      </c>
      <c r="G4" s="20"/>
      <c r="H4" s="20"/>
      <c r="I4" s="20"/>
      <c r="J4" s="20"/>
      <c r="K4" s="20"/>
      <c r="L4" s="20"/>
      <c r="M4" s="20"/>
      <c r="N4" s="21">
        <f>sum(B4:M4)</f>
        <v>2712241.56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4">
        <v>0.0</v>
      </c>
      <c r="E5" s="20">
        <v>0.0</v>
      </c>
      <c r="F5" s="20">
        <v>0.0</v>
      </c>
      <c r="G5" s="20"/>
      <c r="H5" s="20"/>
      <c r="I5" s="20"/>
      <c r="J5" s="20"/>
      <c r="K5" s="20"/>
      <c r="L5" s="20"/>
      <c r="M5" s="20"/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22006.0</v>
      </c>
      <c r="C6" s="24">
        <v>24242.04</v>
      </c>
      <c r="D6" s="24">
        <v>23447.0</v>
      </c>
      <c r="E6" s="20">
        <v>24492.0</v>
      </c>
      <c r="F6" s="20">
        <v>26311.71</v>
      </c>
      <c r="G6" s="20"/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27514.0</v>
      </c>
      <c r="C7" s="24">
        <v>27435.24</v>
      </c>
      <c r="D7" s="24">
        <v>33059.0</v>
      </c>
      <c r="E7" s="20">
        <v>25171.0</v>
      </c>
      <c r="F7" s="20">
        <v>25480.0</v>
      </c>
      <c r="G7" s="20"/>
      <c r="H7" s="20"/>
      <c r="I7" s="20"/>
      <c r="J7" s="20"/>
      <c r="K7" s="20"/>
      <c r="L7" s="20"/>
      <c r="M7" s="20"/>
      <c r="N7" s="21">
        <f>sum(B7:M7)</f>
        <v>138659.24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2155310.44*1.05+16985.87*1.05</f>
        <v>2280911.126</v>
      </c>
      <c r="C9" s="19">
        <f>2350081.58*1.05+16831.24*1.05</f>
        <v>2485258.461</v>
      </c>
      <c r="D9" s="19">
        <f>2436909.75*1.05+15012.85*1.05</f>
        <v>2574518.73</v>
      </c>
      <c r="E9" s="19">
        <f>2300624.42*1.05</f>
        <v>2415655.641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9756343.958</v>
      </c>
      <c r="O9" s="22"/>
    </row>
    <row r="10" ht="15.75" customHeight="1">
      <c r="A10" s="26" t="s">
        <v>14</v>
      </c>
      <c r="B10" s="20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108614.8155</v>
      </c>
      <c r="C11" s="19">
        <f t="shared" si="4"/>
        <v>118345.641</v>
      </c>
      <c r="D11" s="19">
        <f t="shared" si="4"/>
        <v>122596.13</v>
      </c>
      <c r="E11" s="19">
        <f t="shared" si="4"/>
        <v>115031.221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464587.8075</v>
      </c>
      <c r="O11" s="22"/>
    </row>
    <row r="12" ht="15.75" customHeight="1">
      <c r="A12" s="26" t="s">
        <v>16</v>
      </c>
      <c r="B12" s="20">
        <f>42034.5*1.18+38216.89*1.18+3438.85*1.18</f>
        <v>98754.4832</v>
      </c>
      <c r="C12" s="19">
        <f>42401.9*1.18+32172.91*1.18+4242.39*1.18</f>
        <v>93004.296</v>
      </c>
      <c r="D12" s="19">
        <f>37972.85*1.18+(7495.1/0.18)*1.18+3421.24*1.18</f>
        <v>97979.57064</v>
      </c>
      <c r="E12" s="19">
        <f>32074.01*1.18+40565.18*1.18+4282*1.18</f>
        <v>90767.0042</v>
      </c>
      <c r="F12" s="19"/>
      <c r="G12" s="19"/>
      <c r="H12" s="19"/>
      <c r="I12" s="19"/>
      <c r="J12" s="19"/>
      <c r="K12" s="19"/>
      <c r="L12" s="19"/>
      <c r="M12" s="19"/>
      <c r="N12" s="21">
        <f t="shared" si="3"/>
        <v>380505.354</v>
      </c>
      <c r="O12" s="22"/>
    </row>
    <row r="13" ht="15.75" customHeight="1">
      <c r="A13" s="27" t="s">
        <v>17</v>
      </c>
      <c r="B13" s="28">
        <f t="shared" ref="B13:M13" si="5">B9+B10-B11-B12</f>
        <v>2073541.827</v>
      </c>
      <c r="C13" s="28">
        <f t="shared" si="5"/>
        <v>2273908.524</v>
      </c>
      <c r="D13" s="28">
        <f t="shared" si="5"/>
        <v>2353943.029</v>
      </c>
      <c r="E13" s="28">
        <f t="shared" si="5"/>
        <v>2209857.416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8911250.796</v>
      </c>
      <c r="O13" s="30">
        <f>N13/$N$7</f>
        <v>64.26726986</v>
      </c>
    </row>
    <row r="14" ht="15.75" customHeight="1">
      <c r="A14" s="26" t="s">
        <v>18</v>
      </c>
      <c r="B14" s="31">
        <f t="shared" ref="B14:M14" si="6">+B3+B4-B5-B7</f>
        <v>499471</v>
      </c>
      <c r="C14" s="31">
        <f t="shared" si="6"/>
        <v>533875.32</v>
      </c>
      <c r="D14" s="31">
        <f t="shared" si="6"/>
        <v>546171.24</v>
      </c>
      <c r="E14" s="31">
        <f t="shared" si="6"/>
        <v>531483</v>
      </c>
      <c r="F14" s="31">
        <f t="shared" si="6"/>
        <v>597533</v>
      </c>
      <c r="G14" s="31">
        <f t="shared" si="6"/>
        <v>25480</v>
      </c>
      <c r="H14" s="31">
        <f t="shared" si="6"/>
        <v>0</v>
      </c>
      <c r="I14" s="31">
        <f t="shared" si="6"/>
        <v>0</v>
      </c>
      <c r="J14" s="31">
        <f t="shared" si="6"/>
        <v>0</v>
      </c>
      <c r="K14" s="31">
        <f t="shared" si="6"/>
        <v>0</v>
      </c>
      <c r="L14" s="31">
        <f t="shared" si="6"/>
        <v>0</v>
      </c>
      <c r="M14" s="31">
        <f t="shared" si="6"/>
        <v>0</v>
      </c>
      <c r="N14" s="21">
        <f t="shared" si="7"/>
        <v>2734013.56</v>
      </c>
      <c r="O14" s="32">
        <f t="shared" ref="O14:O29" si="8">N14/$N$13</f>
        <v>0.3068046925</v>
      </c>
    </row>
    <row r="15" ht="15.75" customHeight="1">
      <c r="A15" s="26" t="s">
        <v>19</v>
      </c>
      <c r="B15" s="20">
        <f>63414.4+11911</f>
        <v>75325.4</v>
      </c>
      <c r="C15" s="20">
        <f>65504.11+13225</f>
        <v>78729.11</v>
      </c>
      <c r="D15" s="19">
        <f>58975+14007</f>
        <v>72982</v>
      </c>
      <c r="E15" s="20">
        <f>52978+14007</f>
        <v>66985</v>
      </c>
      <c r="F15" s="19"/>
      <c r="G15" s="19"/>
      <c r="H15" s="20"/>
      <c r="I15" s="20"/>
      <c r="J15" s="20"/>
      <c r="K15" s="20"/>
      <c r="L15" s="20"/>
      <c r="M15" s="19"/>
      <c r="N15" s="21">
        <f t="shared" si="7"/>
        <v>294021.51</v>
      </c>
      <c r="O15" s="32">
        <f t="shared" si="8"/>
        <v>0.03299441534</v>
      </c>
    </row>
    <row r="16" ht="15.75" customHeight="1">
      <c r="A16" s="26" t="s">
        <v>20</v>
      </c>
      <c r="B16" s="20">
        <f t="shared" ref="B16:C16" si="9">942</f>
        <v>942</v>
      </c>
      <c r="C16" s="20">
        <f t="shared" si="9"/>
        <v>942</v>
      </c>
      <c r="D16" s="20">
        <f>942+474</f>
        <v>1416</v>
      </c>
      <c r="E16" s="19">
        <f>942</f>
        <v>942</v>
      </c>
      <c r="F16" s="20"/>
      <c r="G16" s="19"/>
      <c r="H16" s="19"/>
      <c r="I16" s="20"/>
      <c r="J16" s="20"/>
      <c r="K16" s="19"/>
      <c r="L16" s="19"/>
      <c r="M16" s="19"/>
      <c r="N16" s="21">
        <f t="shared" si="7"/>
        <v>4242</v>
      </c>
      <c r="O16" s="32">
        <f t="shared" si="8"/>
        <v>0.0004760274508</v>
      </c>
    </row>
    <row r="17" ht="15.75" customHeight="1">
      <c r="A17" s="26" t="s">
        <v>21</v>
      </c>
      <c r="B17" s="24">
        <f>166016.74</f>
        <v>166016.74</v>
      </c>
      <c r="C17" s="20">
        <v>171991.0</v>
      </c>
      <c r="D17" s="20">
        <v>181890.0</v>
      </c>
      <c r="E17" s="20">
        <v>189418.0</v>
      </c>
      <c r="F17" s="20"/>
      <c r="G17" s="19"/>
      <c r="H17" s="20"/>
      <c r="I17" s="20"/>
      <c r="J17" s="19"/>
      <c r="K17" s="20"/>
      <c r="L17" s="20"/>
      <c r="M17" s="20"/>
      <c r="N17" s="21">
        <f t="shared" si="7"/>
        <v>709315.74</v>
      </c>
      <c r="O17" s="32">
        <f t="shared" si="8"/>
        <v>0.07959777547</v>
      </c>
    </row>
    <row r="18" ht="15.75" customHeight="1">
      <c r="A18" s="26" t="s">
        <v>22</v>
      </c>
      <c r="B18" s="19">
        <f t="shared" ref="B18:C18" si="10">326539.52+65796.8</f>
        <v>392336.32</v>
      </c>
      <c r="C18" s="19">
        <f t="shared" si="10"/>
        <v>392336.32</v>
      </c>
      <c r="D18" s="19">
        <f>326539.52+65796.8+8615.36</f>
        <v>400951.68</v>
      </c>
      <c r="E18" s="20">
        <f>326539+65796+20652</f>
        <v>412987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1598611.32</v>
      </c>
      <c r="O18" s="32">
        <f t="shared" si="8"/>
        <v>0.1793924732</v>
      </c>
    </row>
    <row r="19" ht="15.75" customHeight="1">
      <c r="A19" s="34" t="s">
        <v>23</v>
      </c>
      <c r="B19" s="20">
        <v>1258.0</v>
      </c>
      <c r="C19" s="19">
        <f t="shared" ref="C19:M19" si="11">136716.74/8/12</f>
        <v>1424.132708</v>
      </c>
      <c r="D19" s="19">
        <f t="shared" si="11"/>
        <v>1424.132708</v>
      </c>
      <c r="E19" s="19">
        <f t="shared" si="11"/>
        <v>1424.132708</v>
      </c>
      <c r="F19" s="19">
        <f t="shared" si="11"/>
        <v>1424.132708</v>
      </c>
      <c r="G19" s="19">
        <f t="shared" si="11"/>
        <v>1424.132708</v>
      </c>
      <c r="H19" s="19">
        <f t="shared" si="11"/>
        <v>1424.132708</v>
      </c>
      <c r="I19" s="19">
        <f t="shared" si="11"/>
        <v>1424.132708</v>
      </c>
      <c r="J19" s="19">
        <f t="shared" si="11"/>
        <v>1424.132708</v>
      </c>
      <c r="K19" s="19">
        <f t="shared" si="11"/>
        <v>1424.132708</v>
      </c>
      <c r="L19" s="19">
        <f t="shared" si="11"/>
        <v>1424.132708</v>
      </c>
      <c r="M19" s="19">
        <f t="shared" si="11"/>
        <v>1424.132708</v>
      </c>
      <c r="N19" s="21">
        <f t="shared" si="7"/>
        <v>16923.45979</v>
      </c>
      <c r="O19" s="32">
        <f t="shared" si="8"/>
        <v>0.001899111604</v>
      </c>
    </row>
    <row r="20" ht="15.75" customHeight="1">
      <c r="A20" s="26" t="s">
        <v>24</v>
      </c>
      <c r="B20" s="68">
        <v>5767.0</v>
      </c>
      <c r="C20" s="68">
        <v>5767.0</v>
      </c>
      <c r="D20" s="68">
        <v>5767.0</v>
      </c>
      <c r="E20" s="68">
        <v>5767.0</v>
      </c>
      <c r="F20" s="68"/>
      <c r="G20" s="68"/>
      <c r="H20" s="68"/>
      <c r="I20" s="68"/>
      <c r="J20" s="68"/>
      <c r="K20" s="68"/>
      <c r="L20" s="68"/>
      <c r="M20" s="68"/>
      <c r="N20" s="21">
        <f t="shared" si="7"/>
        <v>23068</v>
      </c>
      <c r="O20" s="32">
        <f t="shared" si="8"/>
        <v>0.002588637726</v>
      </c>
    </row>
    <row r="21" ht="15.75" customHeight="1">
      <c r="A21" s="26" t="s">
        <v>25</v>
      </c>
      <c r="B21" s="19">
        <f>328499+5000</f>
        <v>333499</v>
      </c>
      <c r="C21" s="19">
        <f>337285.5+5000</f>
        <v>342285.5</v>
      </c>
      <c r="D21" s="19">
        <f>363150.81+5000</f>
        <v>368150.81</v>
      </c>
      <c r="E21" s="19">
        <f>315211.15+5000</f>
        <v>320211.15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1364146.46</v>
      </c>
      <c r="O21" s="32">
        <f t="shared" si="8"/>
        <v>0.1530813677</v>
      </c>
    </row>
    <row r="22" ht="15.75" customHeight="1">
      <c r="A22" s="14" t="s">
        <v>26</v>
      </c>
      <c r="B22" s="19">
        <f t="shared" ref="B22:E22" si="12">4720+2950</f>
        <v>7670</v>
      </c>
      <c r="C22" s="19">
        <f t="shared" si="12"/>
        <v>7670</v>
      </c>
      <c r="D22" s="19">
        <f t="shared" si="12"/>
        <v>7670</v>
      </c>
      <c r="E22" s="19">
        <f t="shared" si="12"/>
        <v>7670</v>
      </c>
      <c r="F22" s="20"/>
      <c r="G22" s="20"/>
      <c r="H22" s="19"/>
      <c r="I22" s="19"/>
      <c r="J22" s="19"/>
      <c r="K22" s="19"/>
      <c r="L22" s="19"/>
      <c r="M22" s="19"/>
      <c r="N22" s="21">
        <f t="shared" si="7"/>
        <v>30680</v>
      </c>
      <c r="O22" s="32">
        <f t="shared" si="8"/>
        <v>0.0034428388</v>
      </c>
    </row>
    <row r="23" ht="15.75" customHeight="1">
      <c r="A23" s="39" t="s">
        <v>27</v>
      </c>
      <c r="B23" s="19">
        <f t="shared" ref="B23:D23" si="13">2548.84/3</f>
        <v>849.6133333</v>
      </c>
      <c r="C23" s="19">
        <f t="shared" si="13"/>
        <v>849.6133333</v>
      </c>
      <c r="D23" s="19">
        <f t="shared" si="13"/>
        <v>849.6133333</v>
      </c>
      <c r="E23" s="20">
        <f t="shared" ref="E23:G23" si="14">2840/3</f>
        <v>946.6666667</v>
      </c>
      <c r="F23" s="20">
        <f t="shared" si="14"/>
        <v>946.6666667</v>
      </c>
      <c r="G23" s="20">
        <f t="shared" si="14"/>
        <v>946.6666667</v>
      </c>
      <c r="H23" s="20"/>
      <c r="I23" s="20"/>
      <c r="J23" s="20"/>
      <c r="K23" s="19"/>
      <c r="L23" s="19"/>
      <c r="M23" s="19"/>
      <c r="N23" s="21">
        <f t="shared" si="7"/>
        <v>5388.84</v>
      </c>
      <c r="O23" s="32">
        <f t="shared" si="8"/>
        <v>0.0006047231891</v>
      </c>
    </row>
    <row r="24" ht="15.75" customHeight="1">
      <c r="A24" s="26" t="s">
        <v>28</v>
      </c>
      <c r="B24" s="35">
        <v>0.0</v>
      </c>
      <c r="C24" s="35">
        <v>0.0</v>
      </c>
      <c r="D24" s="35">
        <v>4130.0</v>
      </c>
      <c r="E24" s="35">
        <f>'Misc Exp'!M43</f>
        <v>0</v>
      </c>
      <c r="F24" s="20"/>
      <c r="G24" s="20"/>
      <c r="H24" s="20"/>
      <c r="I24" s="20"/>
      <c r="J24" s="20"/>
      <c r="K24" s="20"/>
      <c r="L24" s="19"/>
      <c r="M24" s="20"/>
      <c r="N24" s="21">
        <f t="shared" si="7"/>
        <v>4130</v>
      </c>
      <c r="O24" s="32">
        <f t="shared" si="8"/>
        <v>0.0004634590693</v>
      </c>
    </row>
    <row r="25" ht="15.75" customHeight="1">
      <c r="A25" s="26" t="s">
        <v>29</v>
      </c>
      <c r="B25" s="20">
        <v>6229.03</v>
      </c>
      <c r="C25" s="20">
        <v>30891.89</v>
      </c>
      <c r="D25" s="20">
        <v>24520.0</v>
      </c>
      <c r="E25" s="35">
        <f>'Misc Exp'!M37</f>
        <v>17135</v>
      </c>
      <c r="F25" s="19"/>
      <c r="G25" s="20"/>
      <c r="H25" s="20"/>
      <c r="I25" s="20"/>
      <c r="J25" s="20"/>
      <c r="K25" s="20"/>
      <c r="L25" s="20"/>
      <c r="M25" s="20"/>
      <c r="N25" s="21">
        <f t="shared" si="7"/>
        <v>78775.92</v>
      </c>
      <c r="O25" s="32">
        <f t="shared" si="8"/>
        <v>0.008840051953</v>
      </c>
    </row>
    <row r="26" ht="15.75" customHeight="1">
      <c r="A26" s="26" t="s">
        <v>30</v>
      </c>
      <c r="B26" s="20">
        <f t="shared" ref="B26:E26" si="15">159903.89</f>
        <v>159903.89</v>
      </c>
      <c r="C26" s="20">
        <f t="shared" si="15"/>
        <v>159903.89</v>
      </c>
      <c r="D26" s="20">
        <f t="shared" si="15"/>
        <v>159903.89</v>
      </c>
      <c r="E26" s="20">
        <f t="shared" si="15"/>
        <v>159903.89</v>
      </c>
      <c r="F26" s="20"/>
      <c r="G26" s="20"/>
      <c r="H26" s="20"/>
      <c r="I26" s="20"/>
      <c r="J26" s="20"/>
      <c r="K26" s="20"/>
      <c r="L26" s="20"/>
      <c r="M26" s="20"/>
      <c r="N26" s="21">
        <f t="shared" si="7"/>
        <v>639615.56</v>
      </c>
      <c r="O26" s="32">
        <f t="shared" si="8"/>
        <v>0.07177618211</v>
      </c>
    </row>
    <row r="27" ht="15.75" customHeight="1">
      <c r="A27" s="26" t="s">
        <v>31</v>
      </c>
      <c r="B27" s="19">
        <f>HO!D41</f>
        <v>315255.8399</v>
      </c>
      <c r="C27" s="19">
        <f>HO!H41</f>
        <v>330249.4709</v>
      </c>
      <c r="D27" s="19">
        <f>HO!L41</f>
        <v>335715.6736</v>
      </c>
      <c r="E27" s="19">
        <f>HO!P41</f>
        <v>316823.3248</v>
      </c>
      <c r="F27" s="19" t="str">
        <f>HO!D55</f>
        <v>#DIV/0!</v>
      </c>
      <c r="G27" s="19" t="str">
        <f>HO!H55</f>
        <v>#DIV/0!</v>
      </c>
      <c r="H27" s="19" t="str">
        <f>HO!L55</f>
        <v>#DIV/0!</v>
      </c>
      <c r="I27" s="19" t="str">
        <f>HO!P55</f>
        <v>#DIV/0!</v>
      </c>
      <c r="J27" s="19" t="str">
        <f>HO!D71</f>
        <v>#DIV/0!</v>
      </c>
      <c r="K27" s="19" t="str">
        <f>HO!H71</f>
        <v>#DIV/0!</v>
      </c>
      <c r="L27" s="19" t="str">
        <f>HO!L71</f>
        <v>#DIV/0!</v>
      </c>
      <c r="M27" s="19" t="str">
        <f>HO!P71</f>
        <v>#DIV/0!</v>
      </c>
      <c r="N27" s="21" t="str">
        <f t="shared" si="7"/>
        <v>#DIV/0!</v>
      </c>
      <c r="O27" s="32" t="str">
        <f t="shared" si="8"/>
        <v>#DIV/0!</v>
      </c>
    </row>
    <row r="28" ht="15.75" customHeight="1">
      <c r="A28" s="41" t="s">
        <v>32</v>
      </c>
      <c r="B28" s="42">
        <f t="shared" ref="B28:M28" si="16">+SUM(B14:B27)</f>
        <v>1964523.833</v>
      </c>
      <c r="C28" s="42">
        <f t="shared" si="16"/>
        <v>2056915.247</v>
      </c>
      <c r="D28" s="42">
        <f t="shared" si="16"/>
        <v>2111542.04</v>
      </c>
      <c r="E28" s="42">
        <f t="shared" si="16"/>
        <v>2031696.164</v>
      </c>
      <c r="F28" s="43" t="str">
        <f t="shared" si="16"/>
        <v>#DIV/0!</v>
      </c>
      <c r="G28" s="42" t="str">
        <f t="shared" si="16"/>
        <v>#DIV/0!</v>
      </c>
      <c r="H28" s="42" t="str">
        <f t="shared" si="16"/>
        <v>#DIV/0!</v>
      </c>
      <c r="I28" s="42" t="str">
        <f t="shared" si="16"/>
        <v>#DIV/0!</v>
      </c>
      <c r="J28" s="42" t="str">
        <f t="shared" si="16"/>
        <v>#DIV/0!</v>
      </c>
      <c r="K28" s="42" t="str">
        <f t="shared" si="16"/>
        <v>#DIV/0!</v>
      </c>
      <c r="L28" s="42" t="str">
        <f t="shared" si="16"/>
        <v>#DIV/0!</v>
      </c>
      <c r="M28" s="42" t="str">
        <f t="shared" si="16"/>
        <v>#DIV/0!</v>
      </c>
      <c r="N28" s="42" t="str">
        <f t="shared" si="7"/>
        <v>#DIV/0!</v>
      </c>
      <c r="O28" s="44" t="str">
        <f t="shared" si="8"/>
        <v>#DIV/0!</v>
      </c>
    </row>
    <row r="29" ht="15.75" customHeight="1">
      <c r="A29" s="45" t="s">
        <v>33</v>
      </c>
      <c r="B29" s="46">
        <f t="shared" ref="B29:M29" si="17">B13-B28</f>
        <v>109017.9936</v>
      </c>
      <c r="C29" s="46">
        <f t="shared" si="17"/>
        <v>216993.2771</v>
      </c>
      <c r="D29" s="46">
        <f t="shared" si="17"/>
        <v>242400.9897</v>
      </c>
      <c r="E29" s="46">
        <f t="shared" si="17"/>
        <v>178161.2516</v>
      </c>
      <c r="F29" s="46" t="str">
        <f t="shared" si="17"/>
        <v>#DIV/0!</v>
      </c>
      <c r="G29" s="46" t="str">
        <f t="shared" si="17"/>
        <v>#DIV/0!</v>
      </c>
      <c r="H29" s="46" t="str">
        <f t="shared" si="17"/>
        <v>#DIV/0!</v>
      </c>
      <c r="I29" s="46" t="str">
        <f t="shared" si="17"/>
        <v>#DIV/0!</v>
      </c>
      <c r="J29" s="46" t="str">
        <f t="shared" si="17"/>
        <v>#DIV/0!</v>
      </c>
      <c r="K29" s="46" t="str">
        <f t="shared" si="17"/>
        <v>#DIV/0!</v>
      </c>
      <c r="L29" s="46" t="str">
        <f t="shared" si="17"/>
        <v>#DIV/0!</v>
      </c>
      <c r="M29" s="46" t="str">
        <f t="shared" si="17"/>
        <v>#DIV/0!</v>
      </c>
      <c r="N29" s="46" t="str">
        <f t="shared" si="7"/>
        <v>#DIV/0!</v>
      </c>
      <c r="O29" s="47" t="str">
        <f t="shared" si="8"/>
        <v>#DIV/0!</v>
      </c>
    </row>
    <row r="30" ht="15.75" customHeight="1">
      <c r="A30" s="48" t="s">
        <v>34</v>
      </c>
      <c r="B30" s="49">
        <f t="shared" ref="B30:M30" si="18">(B14/B13)</f>
        <v>0.240878189</v>
      </c>
      <c r="C30" s="49">
        <f t="shared" si="18"/>
        <v>0.2347831121</v>
      </c>
      <c r="D30" s="49">
        <f t="shared" si="18"/>
        <v>0.2320239841</v>
      </c>
      <c r="E30" s="49">
        <f t="shared" si="18"/>
        <v>0.2405055621</v>
      </c>
      <c r="F30" s="50" t="str">
        <f t="shared" si="18"/>
        <v>#DIV/0!</v>
      </c>
      <c r="G30" s="49" t="str">
        <f t="shared" si="18"/>
        <v>#DIV/0!</v>
      </c>
      <c r="H30" s="49" t="str">
        <f t="shared" si="18"/>
        <v>#DIV/0!</v>
      </c>
      <c r="I30" s="49" t="str">
        <f t="shared" si="18"/>
        <v>#DIV/0!</v>
      </c>
      <c r="J30" s="49" t="str">
        <f t="shared" si="18"/>
        <v>#DIV/0!</v>
      </c>
      <c r="K30" s="49" t="str">
        <f t="shared" si="18"/>
        <v>#DIV/0!</v>
      </c>
      <c r="L30" s="49" t="str">
        <f t="shared" si="18"/>
        <v>#DIV/0!</v>
      </c>
      <c r="M30" s="49" t="str">
        <f t="shared" si="18"/>
        <v>#DIV/0!</v>
      </c>
      <c r="N30" s="51"/>
      <c r="O30" s="51"/>
    </row>
    <row r="31" ht="15.75" customHeight="1"/>
    <row r="32" ht="15.75" customHeight="1">
      <c r="B32" s="73">
        <f t="shared" ref="B32:M32" si="19">B29+B27</f>
        <v>424273.8335</v>
      </c>
      <c r="C32" s="73">
        <f t="shared" si="19"/>
        <v>547242.748</v>
      </c>
      <c r="D32" s="73">
        <f t="shared" si="19"/>
        <v>578116.6633</v>
      </c>
      <c r="E32" s="73">
        <f t="shared" si="19"/>
        <v>494984.5764</v>
      </c>
      <c r="F32" s="73" t="str">
        <f t="shared" si="19"/>
        <v>#DIV/0!</v>
      </c>
      <c r="G32" s="73" t="str">
        <f t="shared" si="19"/>
        <v>#DIV/0!</v>
      </c>
      <c r="H32" s="73" t="str">
        <f t="shared" si="19"/>
        <v>#DIV/0!</v>
      </c>
      <c r="I32" s="73" t="str">
        <f t="shared" si="19"/>
        <v>#DIV/0!</v>
      </c>
      <c r="J32" s="73" t="str">
        <f t="shared" si="19"/>
        <v>#DIV/0!</v>
      </c>
      <c r="K32" s="73" t="str">
        <f t="shared" si="19"/>
        <v>#DIV/0!</v>
      </c>
      <c r="L32" s="73" t="str">
        <f t="shared" si="19"/>
        <v>#DIV/0!</v>
      </c>
      <c r="M32" s="73" t="str">
        <f t="shared" si="19"/>
        <v>#DIV/0!</v>
      </c>
    </row>
    <row r="33" ht="15.75" customHeight="1">
      <c r="B33" s="80">
        <f t="shared" ref="B33:M33" si="20">B32/B13</f>
        <v>0.2046131059</v>
      </c>
      <c r="C33" s="80">
        <f t="shared" si="20"/>
        <v>0.240661725</v>
      </c>
      <c r="D33" s="80">
        <f t="shared" si="20"/>
        <v>0.2455950106</v>
      </c>
      <c r="E33" s="80">
        <f t="shared" si="20"/>
        <v>0.2239893727</v>
      </c>
      <c r="F33" s="80" t="str">
        <f t="shared" si="20"/>
        <v>#DIV/0!</v>
      </c>
      <c r="G33" s="80" t="str">
        <f t="shared" si="20"/>
        <v>#DIV/0!</v>
      </c>
      <c r="H33" s="80" t="str">
        <f t="shared" si="20"/>
        <v>#DIV/0!</v>
      </c>
      <c r="I33" s="80" t="str">
        <f t="shared" si="20"/>
        <v>#DIV/0!</v>
      </c>
      <c r="J33" s="80" t="str">
        <f t="shared" si="20"/>
        <v>#DIV/0!</v>
      </c>
      <c r="K33" s="80" t="str">
        <f t="shared" si="20"/>
        <v>#DIV/0!</v>
      </c>
      <c r="L33" s="80" t="str">
        <f t="shared" si="20"/>
        <v>#DIV/0!</v>
      </c>
      <c r="M33" s="80" t="str">
        <f t="shared" si="20"/>
        <v>#DIV/0!</v>
      </c>
    </row>
    <row r="34" ht="15.75" customHeight="1">
      <c r="B34" s="70"/>
      <c r="C34" s="70"/>
      <c r="D34" s="70"/>
      <c r="E34" s="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6" width="12.63"/>
  </cols>
  <sheetData>
    <row r="1" ht="15.75" customHeight="1">
      <c r="A1" s="1" t="s">
        <v>49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7" t="s">
        <v>3</v>
      </c>
      <c r="O1" s="8"/>
    </row>
    <row r="2" ht="15.75" customHeight="1">
      <c r="A2" s="10" t="s">
        <v>6</v>
      </c>
      <c r="B2" s="12"/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  <c r="N2" s="12"/>
      <c r="O2" s="12"/>
    </row>
    <row r="3" ht="15.75" customHeight="1">
      <c r="A3" s="14" t="s">
        <v>7</v>
      </c>
      <c r="B3" s="15">
        <v>38039.0</v>
      </c>
      <c r="C3" s="17">
        <f t="shared" ref="C3:G3" si="1">B7</f>
        <v>18923</v>
      </c>
      <c r="D3" s="17">
        <f t="shared" si="1"/>
        <v>29450.06</v>
      </c>
      <c r="E3" s="17">
        <f t="shared" si="1"/>
        <v>29521.7</v>
      </c>
      <c r="F3" s="17">
        <f t="shared" si="1"/>
        <v>37727</v>
      </c>
      <c r="G3" s="17">
        <f t="shared" si="1"/>
        <v>35421</v>
      </c>
      <c r="H3" s="19"/>
      <c r="I3" s="19"/>
      <c r="J3" s="19"/>
      <c r="K3" s="19"/>
      <c r="L3" s="19"/>
      <c r="M3" s="20">
        <v>0.0</v>
      </c>
      <c r="N3" s="21">
        <f>+SUM(J3:L3)</f>
        <v>0</v>
      </c>
      <c r="O3" s="22"/>
    </row>
    <row r="4" ht="15.75" customHeight="1">
      <c r="A4" s="14" t="s">
        <v>9</v>
      </c>
      <c r="B4" s="24">
        <v>276308.0</v>
      </c>
      <c r="C4" s="24">
        <v>344183.63</v>
      </c>
      <c r="D4" s="24">
        <v>304172.64</v>
      </c>
      <c r="E4" s="20">
        <v>325675.0</v>
      </c>
      <c r="F4" s="20">
        <v>343465.46</v>
      </c>
      <c r="G4" s="20"/>
      <c r="H4" s="20"/>
      <c r="I4" s="20"/>
      <c r="J4" s="20"/>
      <c r="K4" s="20"/>
      <c r="L4" s="20"/>
      <c r="M4" s="20"/>
      <c r="N4" s="21">
        <f>sum(B4:M4)</f>
        <v>1593804.73</v>
      </c>
      <c r="O4" s="22"/>
    </row>
    <row r="5" ht="15.75" customHeight="1">
      <c r="A5" s="14" t="s">
        <v>10</v>
      </c>
      <c r="B5" s="24">
        <v>0.0</v>
      </c>
      <c r="C5" s="24">
        <v>0.0</v>
      </c>
      <c r="D5" s="24">
        <v>0.0</v>
      </c>
      <c r="E5" s="20">
        <v>0.0</v>
      </c>
      <c r="F5" s="20">
        <v>0.0</v>
      </c>
      <c r="G5" s="20"/>
      <c r="H5" s="20"/>
      <c r="I5" s="20"/>
      <c r="J5" s="20"/>
      <c r="K5" s="20"/>
      <c r="L5" s="20"/>
      <c r="M5" s="20">
        <v>0.0</v>
      </c>
      <c r="N5" s="21">
        <f t="shared" ref="N5:N6" si="2">+SUM(J5:L5)</f>
        <v>0</v>
      </c>
      <c r="O5" s="22"/>
    </row>
    <row r="6" ht="15.75" customHeight="1">
      <c r="A6" s="14" t="s">
        <v>11</v>
      </c>
      <c r="B6" s="24">
        <v>17291.0</v>
      </c>
      <c r="C6" s="24">
        <v>23745.75</v>
      </c>
      <c r="D6" s="24">
        <v>22116.97</v>
      </c>
      <c r="E6" s="20">
        <v>12964.0</v>
      </c>
      <c r="F6" s="20">
        <v>11508.0</v>
      </c>
      <c r="G6" s="20"/>
      <c r="H6" s="20"/>
      <c r="I6" s="20"/>
      <c r="J6" s="20"/>
      <c r="K6" s="20"/>
      <c r="L6" s="20"/>
      <c r="M6" s="20"/>
      <c r="N6" s="21">
        <f t="shared" si="2"/>
        <v>0</v>
      </c>
      <c r="O6" s="22"/>
    </row>
    <row r="7" ht="15.75" customHeight="1">
      <c r="A7" s="14" t="s">
        <v>12</v>
      </c>
      <c r="B7" s="24">
        <v>18923.0</v>
      </c>
      <c r="C7" s="24">
        <v>29450.06</v>
      </c>
      <c r="D7" s="24">
        <v>29521.7</v>
      </c>
      <c r="E7" s="20">
        <v>37727.0</v>
      </c>
      <c r="F7" s="20">
        <v>35421.0</v>
      </c>
      <c r="G7" s="20"/>
      <c r="H7" s="20"/>
      <c r="I7" s="20"/>
      <c r="J7" s="20"/>
      <c r="K7" s="20"/>
      <c r="L7" s="20"/>
      <c r="M7" s="20"/>
      <c r="N7" s="21">
        <f>sum(B7:M7)</f>
        <v>151042.76</v>
      </c>
      <c r="O7" s="22"/>
    </row>
    <row r="8" ht="15.75" customHeight="1">
      <c r="A8" s="12"/>
      <c r="B8" s="12"/>
      <c r="C8" s="12"/>
      <c r="D8" s="12"/>
      <c r="E8" s="12"/>
      <c r="F8" s="13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26" t="s">
        <v>13</v>
      </c>
      <c r="B9" s="19">
        <f>1186292.53*1.05+8788.9*1.05</f>
        <v>1254835.502</v>
      </c>
      <c r="C9" s="19">
        <f>1414654.49*1.05+12335.3*1.05</f>
        <v>1498339.28</v>
      </c>
      <c r="D9" s="19">
        <f>1249588.28*1.05+10*1.05+11185.2*1.05</f>
        <v>1323822.654</v>
      </c>
      <c r="E9" s="19">
        <f>1268638.66*1.05</f>
        <v>1332070.593</v>
      </c>
      <c r="F9" s="19"/>
      <c r="G9" s="19"/>
      <c r="H9" s="19"/>
      <c r="I9" s="19"/>
      <c r="J9" s="19"/>
      <c r="K9" s="20"/>
      <c r="L9" s="19"/>
      <c r="M9" s="19"/>
      <c r="N9" s="21">
        <f t="shared" ref="N9:N12" si="3">+SUM(B9:M9)</f>
        <v>5409068.028</v>
      </c>
      <c r="O9" s="22"/>
    </row>
    <row r="10" ht="15.75" customHeight="1">
      <c r="A10" s="26" t="s">
        <v>14</v>
      </c>
      <c r="B10" s="20"/>
      <c r="C10" s="20"/>
      <c r="D10" s="19"/>
      <c r="E10" s="19"/>
      <c r="F10" s="19"/>
      <c r="G10" s="19"/>
      <c r="H10" s="19"/>
      <c r="I10" s="19"/>
      <c r="J10" s="19"/>
      <c r="K10" s="19"/>
      <c r="L10" s="19"/>
      <c r="M10" s="20">
        <v>0.0</v>
      </c>
      <c r="N10" s="21">
        <f t="shared" si="3"/>
        <v>0</v>
      </c>
      <c r="O10" s="22"/>
    </row>
    <row r="11" ht="15.75" customHeight="1">
      <c r="A11" s="26" t="s">
        <v>15</v>
      </c>
      <c r="B11" s="19">
        <f t="shared" ref="B11:M11" si="4">(B9+B10)/1.05*0.05</f>
        <v>59754.0715</v>
      </c>
      <c r="C11" s="19">
        <f t="shared" si="4"/>
        <v>71349.4895</v>
      </c>
      <c r="D11" s="19">
        <f t="shared" si="4"/>
        <v>63039.174</v>
      </c>
      <c r="E11" s="19">
        <f t="shared" si="4"/>
        <v>63431.933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21">
        <f t="shared" si="3"/>
        <v>257574.668</v>
      </c>
      <c r="O11" s="22"/>
    </row>
    <row r="12" ht="15.75" customHeight="1">
      <c r="A12" s="26" t="s">
        <v>16</v>
      </c>
      <c r="B12" s="20">
        <f>20130*1.18</f>
        <v>23753.4</v>
      </c>
      <c r="C12" s="19">
        <f>28497*1.18</f>
        <v>33626.46</v>
      </c>
      <c r="D12" s="19">
        <f>25788.55*1.18+(10143.26/0.18)*1.18</f>
        <v>96925.19344</v>
      </c>
      <c r="E12" s="19">
        <f>33665.06*1.18+27118*1.18</f>
        <v>71724.0108</v>
      </c>
      <c r="F12" s="19"/>
      <c r="G12" s="19"/>
      <c r="H12" s="19"/>
      <c r="I12" s="19"/>
      <c r="J12" s="19"/>
      <c r="K12" s="19"/>
      <c r="L12" s="19"/>
      <c r="M12" s="20">
        <v>0.0</v>
      </c>
      <c r="N12" s="21">
        <f t="shared" si="3"/>
        <v>226029.0642</v>
      </c>
      <c r="O12" s="22"/>
    </row>
    <row r="13" ht="15.75" customHeight="1">
      <c r="A13" s="27" t="s">
        <v>17</v>
      </c>
      <c r="B13" s="28">
        <f t="shared" ref="B13:M13" si="5">B9+B10-B11-B12</f>
        <v>1171328.03</v>
      </c>
      <c r="C13" s="28">
        <f t="shared" si="5"/>
        <v>1393363.33</v>
      </c>
      <c r="D13" s="28">
        <f t="shared" si="5"/>
        <v>1163858.287</v>
      </c>
      <c r="E13" s="28">
        <f t="shared" si="5"/>
        <v>1196914.649</v>
      </c>
      <c r="F13" s="29">
        <f t="shared" si="5"/>
        <v>0</v>
      </c>
      <c r="G13" s="29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28">
        <f t="shared" si="5"/>
        <v>0</v>
      </c>
      <c r="M13" s="28">
        <f t="shared" si="5"/>
        <v>0</v>
      </c>
      <c r="N13" s="28">
        <f t="shared" ref="N13:N29" si="7">sum(B13:M13)</f>
        <v>4925464.296</v>
      </c>
      <c r="O13" s="30">
        <f>N13/$N$7</f>
        <v>32.60973446</v>
      </c>
    </row>
    <row r="14" ht="15.75" customHeight="1">
      <c r="A14" s="26" t="s">
        <v>18</v>
      </c>
      <c r="B14" s="20">
        <f t="shared" ref="B14:E14" si="6">+B3+B4-B5-B7</f>
        <v>295424</v>
      </c>
      <c r="C14" s="20">
        <f t="shared" si="6"/>
        <v>333656.57</v>
      </c>
      <c r="D14" s="20">
        <f t="shared" si="6"/>
        <v>304101</v>
      </c>
      <c r="E14" s="20">
        <f t="shared" si="6"/>
        <v>317469.7</v>
      </c>
      <c r="F14" s="31"/>
      <c r="G14" s="31"/>
      <c r="H14" s="31"/>
      <c r="I14" s="31"/>
      <c r="J14" s="31"/>
      <c r="K14" s="31"/>
      <c r="L14" s="31"/>
      <c r="M14" s="31">
        <f>+M3+M4-M5-M7</f>
        <v>0</v>
      </c>
      <c r="N14" s="21">
        <f t="shared" si="7"/>
        <v>1250651.27</v>
      </c>
      <c r="O14" s="32">
        <f t="shared" ref="O14:O29" si="8">N14/$N$13</f>
        <v>0.2539154067</v>
      </c>
    </row>
    <row r="15" ht="15.75" customHeight="1">
      <c r="A15" s="26" t="s">
        <v>19</v>
      </c>
      <c r="B15" s="20">
        <f>167575.44+12000</f>
        <v>179575.44</v>
      </c>
      <c r="C15" s="20">
        <v>168988.0</v>
      </c>
      <c r="D15" s="19">
        <f>107461</f>
        <v>107461</v>
      </c>
      <c r="E15" s="33">
        <v>108000.0</v>
      </c>
      <c r="F15" s="19"/>
      <c r="G15" s="19"/>
      <c r="H15" s="20"/>
      <c r="I15" s="20"/>
      <c r="J15" s="20"/>
      <c r="K15" s="20"/>
      <c r="L15" s="20"/>
      <c r="M15" s="19"/>
      <c r="N15" s="21">
        <f t="shared" si="7"/>
        <v>564024.44</v>
      </c>
      <c r="O15" s="32">
        <f t="shared" si="8"/>
        <v>0.1145119335</v>
      </c>
    </row>
    <row r="16" ht="15.75" customHeight="1">
      <c r="A16" s="26" t="s">
        <v>20</v>
      </c>
      <c r="B16" s="33">
        <v>1300.0</v>
      </c>
      <c r="C16" s="33">
        <v>1300.0</v>
      </c>
      <c r="D16" s="19">
        <f t="shared" ref="D16:E16" si="9">350+942</f>
        <v>1292</v>
      </c>
      <c r="E16" s="19">
        <f t="shared" si="9"/>
        <v>1292</v>
      </c>
      <c r="F16" s="20"/>
      <c r="G16" s="19"/>
      <c r="H16" s="19"/>
      <c r="I16" s="20"/>
      <c r="J16" s="20"/>
      <c r="K16" s="19"/>
      <c r="L16" s="19"/>
      <c r="M16" s="19"/>
      <c r="N16" s="21">
        <f t="shared" si="7"/>
        <v>5184</v>
      </c>
      <c r="O16" s="32">
        <f t="shared" si="8"/>
        <v>0.001052489611</v>
      </c>
    </row>
    <row r="17" ht="15.75" customHeight="1">
      <c r="A17" s="26" t="s">
        <v>21</v>
      </c>
      <c r="B17" s="24">
        <v>0.0</v>
      </c>
      <c r="C17" s="20">
        <v>0.0</v>
      </c>
      <c r="D17" s="20">
        <v>0.0</v>
      </c>
      <c r="E17" s="20">
        <v>0.0</v>
      </c>
      <c r="F17" s="20"/>
      <c r="G17" s="19"/>
      <c r="H17" s="20"/>
      <c r="I17" s="20"/>
      <c r="J17" s="19"/>
      <c r="K17" s="20"/>
      <c r="L17" s="20"/>
      <c r="M17" s="19"/>
      <c r="N17" s="21">
        <f t="shared" si="7"/>
        <v>0</v>
      </c>
      <c r="O17" s="32">
        <f t="shared" si="8"/>
        <v>0</v>
      </c>
    </row>
    <row r="18" ht="15.75" customHeight="1">
      <c r="A18" s="26" t="s">
        <v>22</v>
      </c>
      <c r="B18" s="19">
        <f t="shared" ref="B18:E18" si="10">283200</f>
        <v>283200</v>
      </c>
      <c r="C18" s="19">
        <f t="shared" si="10"/>
        <v>283200</v>
      </c>
      <c r="D18" s="19">
        <f t="shared" si="10"/>
        <v>283200</v>
      </c>
      <c r="E18" s="19">
        <f t="shared" si="10"/>
        <v>283200</v>
      </c>
      <c r="F18" s="19"/>
      <c r="G18" s="19"/>
      <c r="H18" s="19"/>
      <c r="I18" s="19"/>
      <c r="J18" s="19"/>
      <c r="K18" s="19"/>
      <c r="L18" s="19"/>
      <c r="M18" s="19"/>
      <c r="N18" s="21">
        <f t="shared" si="7"/>
        <v>1132800</v>
      </c>
      <c r="O18" s="32">
        <f t="shared" si="8"/>
        <v>0.2299884705</v>
      </c>
    </row>
    <row r="19" ht="15.75" customHeight="1">
      <c r="A19" s="34" t="s">
        <v>23</v>
      </c>
      <c r="B19" s="33">
        <v>1250.0</v>
      </c>
      <c r="C19" s="19">
        <f t="shared" ref="C19:M19" si="11">136716.74/8/12</f>
        <v>1424.132708</v>
      </c>
      <c r="D19" s="19">
        <f t="shared" si="11"/>
        <v>1424.132708</v>
      </c>
      <c r="E19" s="19">
        <f t="shared" si="11"/>
        <v>1424.132708</v>
      </c>
      <c r="F19" s="19">
        <f t="shared" si="11"/>
        <v>1424.132708</v>
      </c>
      <c r="G19" s="19">
        <f t="shared" si="11"/>
        <v>1424.132708</v>
      </c>
      <c r="H19" s="19">
        <f t="shared" si="11"/>
        <v>1424.132708</v>
      </c>
      <c r="I19" s="19">
        <f t="shared" si="11"/>
        <v>1424.132708</v>
      </c>
      <c r="J19" s="19">
        <f t="shared" si="11"/>
        <v>1424.132708</v>
      </c>
      <c r="K19" s="19">
        <f t="shared" si="11"/>
        <v>1424.132708</v>
      </c>
      <c r="L19" s="19">
        <f t="shared" si="11"/>
        <v>1424.132708</v>
      </c>
      <c r="M19" s="19">
        <f t="shared" si="11"/>
        <v>1424.132708</v>
      </c>
      <c r="N19" s="21">
        <f t="shared" si="7"/>
        <v>16915.45979</v>
      </c>
      <c r="O19" s="32">
        <f t="shared" si="8"/>
        <v>0.003434287364</v>
      </c>
    </row>
    <row r="20" ht="15.75" customHeight="1">
      <c r="A20" s="26" t="s">
        <v>24</v>
      </c>
      <c r="B20" s="115">
        <v>5767.0</v>
      </c>
      <c r="C20" s="115">
        <v>5767.0</v>
      </c>
      <c r="D20" s="115">
        <v>5767.0</v>
      </c>
      <c r="E20" s="115">
        <v>5767.0</v>
      </c>
      <c r="F20" s="68"/>
      <c r="G20" s="68"/>
      <c r="H20" s="68"/>
      <c r="I20" s="68"/>
      <c r="J20" s="68"/>
      <c r="K20" s="68"/>
      <c r="L20" s="68"/>
      <c r="M20" s="68"/>
      <c r="N20" s="21">
        <f t="shared" si="7"/>
        <v>23068</v>
      </c>
      <c r="O20" s="32">
        <f t="shared" si="8"/>
        <v>0.004683416347</v>
      </c>
    </row>
    <row r="21" ht="15.75" customHeight="1">
      <c r="A21" s="26" t="s">
        <v>25</v>
      </c>
      <c r="B21" s="19">
        <f>335327</f>
        <v>335327</v>
      </c>
      <c r="C21" s="19">
        <f>343489.82+6000</f>
        <v>349489.82</v>
      </c>
      <c r="D21" s="19">
        <f>291729.55+6000</f>
        <v>297729.55</v>
      </c>
      <c r="E21" s="19">
        <f>305489.62+6000</f>
        <v>311489.62</v>
      </c>
      <c r="F21" s="19"/>
      <c r="G21" s="19"/>
      <c r="H21" s="19"/>
      <c r="I21" s="19"/>
      <c r="J21" s="19"/>
      <c r="K21" s="19"/>
      <c r="L21" s="19"/>
      <c r="M21" s="19"/>
      <c r="N21" s="21">
        <f t="shared" si="7"/>
        <v>1294035.99</v>
      </c>
      <c r="O21" s="32">
        <f t="shared" si="8"/>
        <v>0.2627236566</v>
      </c>
    </row>
    <row r="22" ht="15.75" customHeight="1">
      <c r="A22" s="14" t="s">
        <v>26</v>
      </c>
      <c r="B22" s="19">
        <f>4720</f>
        <v>4720</v>
      </c>
      <c r="C22" s="20">
        <v>4720.0</v>
      </c>
      <c r="D22" s="20">
        <v>4720.0</v>
      </c>
      <c r="E22" s="20">
        <v>4720.0</v>
      </c>
      <c r="F22" s="20"/>
      <c r="G22" s="20"/>
      <c r="H22" s="19"/>
      <c r="I22" s="19"/>
      <c r="J22" s="19"/>
      <c r="K22" s="19"/>
      <c r="L22" s="19"/>
      <c r="M22" s="19"/>
      <c r="N22" s="21">
        <f t="shared" si="7"/>
        <v>18880</v>
      </c>
      <c r="O22" s="32">
        <f t="shared" si="8"/>
        <v>0.003833141175</v>
      </c>
    </row>
    <row r="23" ht="15.75" customHeight="1">
      <c r="A23" s="39" t="s">
        <v>27</v>
      </c>
      <c r="B23" s="20">
        <v>0.0</v>
      </c>
      <c r="C23" s="20">
        <v>0.0</v>
      </c>
      <c r="D23" s="20">
        <v>0.0</v>
      </c>
      <c r="E23" s="20">
        <f t="shared" ref="E23:G23" si="12">2840/3</f>
        <v>946.6666667</v>
      </c>
      <c r="F23" s="20">
        <f t="shared" si="12"/>
        <v>946.6666667</v>
      </c>
      <c r="G23" s="20">
        <f t="shared" si="12"/>
        <v>946.6666667</v>
      </c>
      <c r="H23" s="20"/>
      <c r="I23" s="20"/>
      <c r="J23" s="20"/>
      <c r="K23" s="19"/>
      <c r="L23" s="19"/>
      <c r="M23" s="19"/>
      <c r="N23" s="21">
        <f t="shared" si="7"/>
        <v>2840</v>
      </c>
      <c r="O23" s="32">
        <f t="shared" si="8"/>
        <v>0.0005765953887</v>
      </c>
    </row>
    <row r="24" ht="15.75" customHeight="1">
      <c r="A24" s="26" t="s">
        <v>28</v>
      </c>
      <c r="B24" s="35">
        <v>0.0</v>
      </c>
      <c r="C24" s="35">
        <v>0.0</v>
      </c>
      <c r="D24" s="35">
        <v>0.0</v>
      </c>
      <c r="E24" s="35">
        <f>'Misc Exp'!O43</f>
        <v>21076</v>
      </c>
      <c r="F24" s="20"/>
      <c r="G24" s="20"/>
      <c r="H24" s="20"/>
      <c r="I24" s="20"/>
      <c r="J24" s="20"/>
      <c r="K24" s="20"/>
      <c r="L24" s="19"/>
      <c r="M24" s="19"/>
      <c r="N24" s="21">
        <f t="shared" si="7"/>
        <v>21076</v>
      </c>
      <c r="O24" s="32">
        <f t="shared" si="8"/>
        <v>0.004278987469</v>
      </c>
    </row>
    <row r="25" ht="15.75" customHeight="1">
      <c r="A25" s="26" t="s">
        <v>29</v>
      </c>
      <c r="B25" s="20">
        <v>2429.17</v>
      </c>
      <c r="C25" s="20">
        <f>7186.17</f>
        <v>7186.17</v>
      </c>
      <c r="D25" s="20">
        <v>12230.0</v>
      </c>
      <c r="E25" s="35">
        <f>'Misc Exp'!O37</f>
        <v>6375.51</v>
      </c>
      <c r="F25" s="19"/>
      <c r="G25" s="20"/>
      <c r="H25" s="20"/>
      <c r="I25" s="20"/>
      <c r="J25" s="20"/>
      <c r="K25" s="20"/>
      <c r="L25" s="20"/>
      <c r="M25" s="19"/>
      <c r="N25" s="21">
        <f t="shared" si="7"/>
        <v>28220.85</v>
      </c>
      <c r="O25" s="32">
        <f t="shared" si="8"/>
        <v>0.005729581681</v>
      </c>
    </row>
    <row r="26" ht="15.75" customHeight="1">
      <c r="A26" s="26" t="s">
        <v>30</v>
      </c>
      <c r="B26" s="20">
        <v>0.0</v>
      </c>
      <c r="C26" s="20">
        <v>0.0</v>
      </c>
      <c r="D26" s="20">
        <v>0.0</v>
      </c>
      <c r="E26" s="20">
        <v>0.0</v>
      </c>
      <c r="F26" s="20"/>
      <c r="G26" s="20"/>
      <c r="H26" s="20"/>
      <c r="I26" s="20"/>
      <c r="J26" s="20"/>
      <c r="K26" s="20"/>
      <c r="L26" s="20"/>
      <c r="M26" s="19"/>
      <c r="N26" s="21">
        <f t="shared" si="7"/>
        <v>0</v>
      </c>
      <c r="O26" s="32">
        <f t="shared" si="8"/>
        <v>0</v>
      </c>
    </row>
    <row r="27" ht="15.75" customHeight="1">
      <c r="A27" s="26" t="s">
        <v>31</v>
      </c>
      <c r="B27" s="19">
        <f>HO!D42</f>
        <v>178085.6297</v>
      </c>
      <c r="C27" s="19">
        <f>HO!H42</f>
        <v>202364.1222</v>
      </c>
      <c r="D27" s="19">
        <f>HO!L42</f>
        <v>165987.6487</v>
      </c>
      <c r="E27" s="19">
        <f>HO!P42</f>
        <v>171599.5231</v>
      </c>
      <c r="F27" s="19"/>
      <c r="G27" s="19"/>
      <c r="H27" s="19"/>
      <c r="I27" s="19"/>
      <c r="J27" s="19"/>
      <c r="K27" s="19"/>
      <c r="L27" s="19"/>
      <c r="M27" s="19" t="str">
        <f>HO!P72</f>
        <v>#DIV/0!</v>
      </c>
      <c r="N27" s="21" t="str">
        <f t="shared" si="7"/>
        <v>#DIV/0!</v>
      </c>
      <c r="O27" s="32" t="str">
        <f t="shared" si="8"/>
        <v>#DIV/0!</v>
      </c>
    </row>
    <row r="28" ht="15.75" customHeight="1">
      <c r="A28" s="41" t="s">
        <v>32</v>
      </c>
      <c r="B28" s="42">
        <f t="shared" ref="B28:M28" si="13">+SUM(B14:B27)</f>
        <v>1287078.24</v>
      </c>
      <c r="C28" s="42">
        <f t="shared" si="13"/>
        <v>1358095.815</v>
      </c>
      <c r="D28" s="42">
        <f t="shared" si="13"/>
        <v>1183912.331</v>
      </c>
      <c r="E28" s="42">
        <f t="shared" si="13"/>
        <v>1233360.152</v>
      </c>
      <c r="F28" s="43">
        <f t="shared" si="13"/>
        <v>2370.799375</v>
      </c>
      <c r="G28" s="42">
        <f t="shared" si="13"/>
        <v>2370.799375</v>
      </c>
      <c r="H28" s="42">
        <f t="shared" si="13"/>
        <v>1424.132708</v>
      </c>
      <c r="I28" s="42">
        <f t="shared" si="13"/>
        <v>1424.132708</v>
      </c>
      <c r="J28" s="42">
        <f t="shared" si="13"/>
        <v>1424.132708</v>
      </c>
      <c r="K28" s="42">
        <f t="shared" si="13"/>
        <v>1424.132708</v>
      </c>
      <c r="L28" s="42">
        <f t="shared" si="13"/>
        <v>1424.132708</v>
      </c>
      <c r="M28" s="42" t="str">
        <f t="shared" si="13"/>
        <v>#DIV/0!</v>
      </c>
      <c r="N28" s="42" t="str">
        <f t="shared" si="7"/>
        <v>#DIV/0!</v>
      </c>
      <c r="O28" s="44" t="str">
        <f t="shared" si="8"/>
        <v>#DIV/0!</v>
      </c>
    </row>
    <row r="29" ht="15.75" customHeight="1">
      <c r="A29" s="45" t="s">
        <v>33</v>
      </c>
      <c r="B29" s="46">
        <f t="shared" ref="B29:M29" si="14">B13-B28</f>
        <v>-115750.2097</v>
      </c>
      <c r="C29" s="46">
        <f t="shared" si="14"/>
        <v>35267.51506</v>
      </c>
      <c r="D29" s="46">
        <f t="shared" si="14"/>
        <v>-20054.04489</v>
      </c>
      <c r="E29" s="46">
        <f t="shared" si="14"/>
        <v>-36445.50326</v>
      </c>
      <c r="F29" s="46">
        <f t="shared" si="14"/>
        <v>-2370.799375</v>
      </c>
      <c r="G29" s="46">
        <f t="shared" si="14"/>
        <v>-2370.799375</v>
      </c>
      <c r="H29" s="46">
        <f t="shared" si="14"/>
        <v>-1424.132708</v>
      </c>
      <c r="I29" s="46">
        <f t="shared" si="14"/>
        <v>-1424.132708</v>
      </c>
      <c r="J29" s="46">
        <f t="shared" si="14"/>
        <v>-1424.132708</v>
      </c>
      <c r="K29" s="46">
        <f t="shared" si="14"/>
        <v>-1424.132708</v>
      </c>
      <c r="L29" s="46">
        <f t="shared" si="14"/>
        <v>-1424.132708</v>
      </c>
      <c r="M29" s="46" t="str">
        <f t="shared" si="14"/>
        <v>#DIV/0!</v>
      </c>
      <c r="N29" s="46" t="str">
        <f t="shared" si="7"/>
        <v>#DIV/0!</v>
      </c>
      <c r="O29" s="47" t="str">
        <f t="shared" si="8"/>
        <v>#DIV/0!</v>
      </c>
    </row>
    <row r="30" ht="15.75" customHeight="1">
      <c r="A30" s="48" t="s">
        <v>34</v>
      </c>
      <c r="B30" s="49">
        <f t="shared" ref="B30:M30" si="15">(B14/B13)</f>
        <v>0.2522128665</v>
      </c>
      <c r="C30" s="49">
        <f t="shared" si="15"/>
        <v>0.2394612825</v>
      </c>
      <c r="D30" s="49">
        <f t="shared" si="15"/>
        <v>0.2612869655</v>
      </c>
      <c r="E30" s="49">
        <f t="shared" si="15"/>
        <v>0.2652400488</v>
      </c>
      <c r="F30" s="50" t="str">
        <f t="shared" si="15"/>
        <v>#DIV/0!</v>
      </c>
      <c r="G30" s="49" t="str">
        <f t="shared" si="15"/>
        <v>#DIV/0!</v>
      </c>
      <c r="H30" s="49" t="str">
        <f t="shared" si="15"/>
        <v>#DIV/0!</v>
      </c>
      <c r="I30" s="49" t="str">
        <f t="shared" si="15"/>
        <v>#DIV/0!</v>
      </c>
      <c r="J30" s="49" t="str">
        <f t="shared" si="15"/>
        <v>#DIV/0!</v>
      </c>
      <c r="K30" s="49" t="str">
        <f t="shared" si="15"/>
        <v>#DIV/0!</v>
      </c>
      <c r="L30" s="49" t="str">
        <f t="shared" si="15"/>
        <v>#DIV/0!</v>
      </c>
      <c r="M30" s="49" t="str">
        <f t="shared" si="15"/>
        <v>#DIV/0!</v>
      </c>
      <c r="N30" s="51"/>
      <c r="O30" s="51"/>
    </row>
    <row r="31" ht="15.75" customHeight="1"/>
    <row r="32" ht="15.75" customHeight="1">
      <c r="B32" s="73">
        <f t="shared" ref="B32:L32" si="16">B29+B27</f>
        <v>62335.42</v>
      </c>
      <c r="C32" s="73">
        <f t="shared" si="16"/>
        <v>237631.6373</v>
      </c>
      <c r="D32" s="73">
        <f t="shared" si="16"/>
        <v>145933.6038</v>
      </c>
      <c r="E32" s="73">
        <f t="shared" si="16"/>
        <v>135154.0198</v>
      </c>
      <c r="F32" s="73">
        <f t="shared" si="16"/>
        <v>-2370.799375</v>
      </c>
      <c r="G32" s="73">
        <f t="shared" si="16"/>
        <v>-2370.799375</v>
      </c>
      <c r="H32" s="73">
        <f t="shared" si="16"/>
        <v>-1424.132708</v>
      </c>
      <c r="I32" s="73">
        <f t="shared" si="16"/>
        <v>-1424.132708</v>
      </c>
      <c r="J32" s="73">
        <f t="shared" si="16"/>
        <v>-1424.132708</v>
      </c>
      <c r="K32" s="73">
        <f t="shared" si="16"/>
        <v>-1424.132708</v>
      </c>
      <c r="L32" s="73">
        <f t="shared" si="16"/>
        <v>-1424.132708</v>
      </c>
    </row>
    <row r="33" ht="15.75" customHeight="1">
      <c r="B33" s="80">
        <f t="shared" ref="B33:L33" si="17">B32/B13</f>
        <v>0.05321773099</v>
      </c>
      <c r="C33" s="80">
        <f t="shared" si="17"/>
        <v>0.1705453504</v>
      </c>
      <c r="D33" s="80">
        <f t="shared" si="17"/>
        <v>0.1253877775</v>
      </c>
      <c r="E33" s="80">
        <f t="shared" si="17"/>
        <v>0.112918678</v>
      </c>
      <c r="F33" s="80" t="str">
        <f t="shared" si="17"/>
        <v>#DIV/0!</v>
      </c>
      <c r="G33" s="80" t="str">
        <f t="shared" si="17"/>
        <v>#DIV/0!</v>
      </c>
      <c r="H33" s="80" t="str">
        <f t="shared" si="17"/>
        <v>#DIV/0!</v>
      </c>
      <c r="I33" s="80" t="str">
        <f t="shared" si="17"/>
        <v>#DIV/0!</v>
      </c>
      <c r="J33" s="80" t="str">
        <f t="shared" si="17"/>
        <v>#DIV/0!</v>
      </c>
      <c r="K33" s="80" t="str">
        <f t="shared" si="17"/>
        <v>#DIV/0!</v>
      </c>
      <c r="L33" s="80" t="str">
        <f t="shared" si="17"/>
        <v>#DIV/0!</v>
      </c>
    </row>
    <row r="34" ht="15.75" customHeight="1">
      <c r="B34" s="70"/>
      <c r="C34" s="70"/>
      <c r="D34" s="70"/>
      <c r="E34" s="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N1:O1"/>
  </mergeCells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6" width="12.63"/>
  </cols>
  <sheetData>
    <row r="1" ht="15.75" customHeight="1">
      <c r="A1" s="1" t="s">
        <v>4</v>
      </c>
      <c r="B1" s="3">
        <v>46113.0</v>
      </c>
      <c r="C1" s="3">
        <v>46143.0</v>
      </c>
      <c r="D1" s="3">
        <v>46174.0</v>
      </c>
      <c r="E1" s="3">
        <v>46204.0</v>
      </c>
      <c r="F1" s="3">
        <v>46235.0</v>
      </c>
      <c r="G1" s="3">
        <v>46266.0</v>
      </c>
      <c r="H1" s="3">
        <v>46296.0</v>
      </c>
      <c r="I1" s="3">
        <v>46327.0</v>
      </c>
      <c r="J1" s="3">
        <v>46357.0</v>
      </c>
      <c r="K1" s="3">
        <v>46388.0</v>
      </c>
      <c r="L1" s="3">
        <v>46419.0</v>
      </c>
      <c r="M1" s="3">
        <v>46447.0</v>
      </c>
      <c r="N1" s="94" t="s">
        <v>50</v>
      </c>
    </row>
    <row r="2" ht="15.75" customHeight="1">
      <c r="A2" s="95" t="s">
        <v>51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1">
        <f>+SUM(B2:M2)</f>
        <v>0</v>
      </c>
    </row>
    <row r="3" ht="15.75" customHeight="1">
      <c r="A3" s="96" t="s">
        <v>52</v>
      </c>
      <c r="B3" s="20"/>
      <c r="C3" s="19"/>
      <c r="D3" s="19"/>
      <c r="E3" s="20"/>
      <c r="F3" s="19"/>
      <c r="G3" s="20"/>
      <c r="H3" s="20"/>
      <c r="I3" s="20"/>
      <c r="J3" s="97"/>
      <c r="K3" s="98"/>
      <c r="L3" s="97"/>
      <c r="M3" s="99"/>
      <c r="N3" s="21"/>
    </row>
    <row r="4" ht="15.75" customHeight="1">
      <c r="A4" s="96" t="s">
        <v>53</v>
      </c>
      <c r="B4" s="20">
        <f>20000</f>
        <v>20000</v>
      </c>
      <c r="C4" s="19"/>
      <c r="D4" s="20">
        <v>0.0</v>
      </c>
      <c r="E4" s="20">
        <f>40900+35400</f>
        <v>76300</v>
      </c>
      <c r="F4" s="19"/>
      <c r="G4" s="20"/>
      <c r="H4" s="20"/>
      <c r="I4" s="20"/>
      <c r="J4" s="97"/>
      <c r="K4" s="98"/>
      <c r="L4" s="97"/>
      <c r="M4" s="99"/>
      <c r="N4" s="21"/>
    </row>
    <row r="5" ht="15.75" customHeight="1">
      <c r="A5" s="96" t="s">
        <v>55</v>
      </c>
      <c r="B5" s="20"/>
      <c r="C5" s="19">
        <f>91462</f>
        <v>91462</v>
      </c>
      <c r="D5" s="19"/>
      <c r="E5" s="20">
        <v>37760.0</v>
      </c>
      <c r="F5" s="19"/>
      <c r="G5" s="20"/>
      <c r="H5" s="20"/>
      <c r="I5" s="20"/>
      <c r="J5" s="97"/>
      <c r="K5" s="98"/>
      <c r="L5" s="97"/>
      <c r="M5" s="99"/>
      <c r="N5" s="21"/>
    </row>
    <row r="6" ht="15.75" customHeight="1">
      <c r="A6" s="96" t="s">
        <v>56</v>
      </c>
      <c r="B6" s="20"/>
      <c r="C6" s="19"/>
      <c r="D6" s="19"/>
      <c r="E6" s="20"/>
      <c r="F6" s="19"/>
      <c r="G6" s="20"/>
      <c r="H6" s="20"/>
      <c r="I6" s="20"/>
      <c r="J6" s="97"/>
      <c r="K6" s="98"/>
      <c r="L6" s="97"/>
      <c r="M6" s="99"/>
      <c r="N6" s="21"/>
    </row>
    <row r="7" ht="15.75" customHeight="1">
      <c r="A7" s="96" t="s">
        <v>57</v>
      </c>
      <c r="B7" s="20"/>
      <c r="C7" s="19"/>
      <c r="D7" s="19"/>
      <c r="E7" s="20"/>
      <c r="F7" s="19"/>
      <c r="G7" s="20"/>
      <c r="H7" s="20"/>
      <c r="I7" s="20"/>
      <c r="J7" s="97"/>
      <c r="K7" s="98"/>
      <c r="L7" s="97"/>
      <c r="M7" s="99"/>
      <c r="N7" s="21"/>
    </row>
    <row r="8" ht="15.75" customHeight="1">
      <c r="A8" s="96" t="s">
        <v>58</v>
      </c>
      <c r="B8" s="20">
        <f>100000+70000</f>
        <v>170000</v>
      </c>
      <c r="C8" s="19">
        <f>64940</f>
        <v>64940</v>
      </c>
      <c r="D8" s="19">
        <f>(4000+45400+26000+40000+78000)/2</f>
        <v>96700</v>
      </c>
      <c r="E8" s="20">
        <f>21000+40000+15000+77800+10000</f>
        <v>163800</v>
      </c>
      <c r="F8" s="19"/>
      <c r="G8" s="20"/>
      <c r="H8" s="20"/>
      <c r="I8" s="20"/>
      <c r="J8" s="97"/>
      <c r="K8" s="98"/>
      <c r="L8" s="97"/>
      <c r="M8" s="99"/>
      <c r="N8" s="21"/>
    </row>
    <row r="9" ht="15.75" customHeight="1">
      <c r="A9" s="96" t="s">
        <v>60</v>
      </c>
      <c r="B9" s="20"/>
      <c r="C9" s="19"/>
      <c r="D9" s="19"/>
      <c r="E9" s="20">
        <v>52840.0</v>
      </c>
      <c r="F9" s="19"/>
      <c r="G9" s="20"/>
      <c r="H9" s="20"/>
      <c r="I9" s="20"/>
      <c r="J9" s="97"/>
      <c r="K9" s="98"/>
      <c r="L9" s="97"/>
      <c r="M9" s="99"/>
      <c r="N9" s="21"/>
    </row>
    <row r="10" ht="15.75" customHeight="1">
      <c r="A10" s="96" t="s">
        <v>61</v>
      </c>
      <c r="B10" s="20"/>
      <c r="C10" s="19"/>
      <c r="D10" s="19"/>
      <c r="E10" s="20"/>
      <c r="F10" s="19"/>
      <c r="G10" s="20"/>
      <c r="H10" s="20"/>
      <c r="I10" s="20"/>
      <c r="J10" s="97"/>
      <c r="K10" s="98"/>
      <c r="L10" s="97"/>
      <c r="M10" s="99"/>
      <c r="N10" s="21"/>
    </row>
    <row r="11" ht="15.75" customHeight="1">
      <c r="A11" s="96" t="s">
        <v>62</v>
      </c>
      <c r="B11" s="20"/>
      <c r="C11" s="19"/>
      <c r="D11" s="19"/>
      <c r="E11" s="20"/>
      <c r="F11" s="19"/>
      <c r="G11" s="20"/>
      <c r="H11" s="20"/>
      <c r="I11" s="20"/>
      <c r="J11" s="97"/>
      <c r="K11" s="98"/>
      <c r="L11" s="97"/>
      <c r="M11" s="99"/>
      <c r="N11" s="21"/>
    </row>
    <row r="12" ht="15.75" customHeight="1">
      <c r="A12" s="96" t="s">
        <v>63</v>
      </c>
      <c r="B12" s="20"/>
      <c r="C12" s="19"/>
      <c r="D12" s="19"/>
      <c r="E12" s="20"/>
      <c r="F12" s="19"/>
      <c r="G12" s="20"/>
      <c r="H12" s="20"/>
      <c r="I12" s="20"/>
      <c r="J12" s="97"/>
      <c r="K12" s="98"/>
      <c r="L12" s="97"/>
      <c r="M12" s="99"/>
      <c r="N12" s="21"/>
    </row>
    <row r="13" ht="15.75" customHeight="1">
      <c r="A13" s="96" t="s">
        <v>64</v>
      </c>
      <c r="B13" s="20">
        <f t="shared" ref="B13:M13" si="1">151653.85/12+43429/12+(21664.84+86659.34)/12</f>
        <v>25283.91917</v>
      </c>
      <c r="C13" s="20">
        <f t="shared" si="1"/>
        <v>25283.91917</v>
      </c>
      <c r="D13" s="20">
        <f t="shared" si="1"/>
        <v>25283.91917</v>
      </c>
      <c r="E13" s="20">
        <f t="shared" si="1"/>
        <v>25283.91917</v>
      </c>
      <c r="F13" s="20">
        <f t="shared" si="1"/>
        <v>25283.91917</v>
      </c>
      <c r="G13" s="20">
        <f t="shared" si="1"/>
        <v>25283.91917</v>
      </c>
      <c r="H13" s="20">
        <f t="shared" si="1"/>
        <v>25283.91917</v>
      </c>
      <c r="I13" s="20">
        <f t="shared" si="1"/>
        <v>25283.91917</v>
      </c>
      <c r="J13" s="20">
        <f t="shared" si="1"/>
        <v>25283.91917</v>
      </c>
      <c r="K13" s="20">
        <f t="shared" si="1"/>
        <v>25283.91917</v>
      </c>
      <c r="L13" s="20">
        <f t="shared" si="1"/>
        <v>25283.91917</v>
      </c>
      <c r="M13" s="20">
        <f t="shared" si="1"/>
        <v>25283.91917</v>
      </c>
      <c r="N13" s="21"/>
    </row>
    <row r="14" ht="15.75" customHeight="1">
      <c r="A14" s="96" t="s">
        <v>65</v>
      </c>
      <c r="B14" s="20"/>
      <c r="C14" s="19"/>
      <c r="D14" s="20"/>
      <c r="E14" s="20"/>
      <c r="F14" s="19"/>
      <c r="G14" s="20"/>
      <c r="H14" s="20"/>
      <c r="I14" s="20"/>
      <c r="J14" s="97"/>
      <c r="K14" s="98"/>
      <c r="L14" s="97"/>
      <c r="M14" s="99"/>
      <c r="N14" s="21"/>
    </row>
    <row r="15" ht="15.75" customHeight="1">
      <c r="A15" s="96" t="s">
        <v>66</v>
      </c>
      <c r="B15" s="20">
        <f>33628+40414.59+120853.87*1.18+142583.32*1.18</f>
        <v>384898.4742</v>
      </c>
      <c r="C15" s="19">
        <f>74450.76*1.18+137927.47*1.18+150718.92*1.18</f>
        <v>428454.637</v>
      </c>
      <c r="D15" s="19">
        <f>72661.33*1.18+150879.52*1.18+149368.31*1.18</f>
        <v>440032.8088</v>
      </c>
      <c r="E15" s="20">
        <f>67716.56*1.18+141498.95*1.18+142373*1.18</f>
        <v>414874.4418</v>
      </c>
      <c r="F15" s="19"/>
      <c r="G15" s="20"/>
      <c r="H15" s="20"/>
      <c r="I15" s="20"/>
      <c r="J15" s="97"/>
      <c r="K15" s="98"/>
      <c r="L15" s="97"/>
      <c r="M15" s="99"/>
      <c r="N15" s="21"/>
    </row>
    <row r="16" ht="15.75" customHeight="1">
      <c r="A16" s="96" t="s">
        <v>68</v>
      </c>
      <c r="B16" s="20">
        <f>23658.94*1.18+42996.23*1.18+76750.38*1.18</f>
        <v>169218.549</v>
      </c>
      <c r="C16" s="19">
        <f>198494.88</f>
        <v>198494.88</v>
      </c>
      <c r="D16" s="19">
        <f>18341.75*1.18+15748.96*1.18+50531*1.18</f>
        <v>99853.6178</v>
      </c>
      <c r="E16" s="20">
        <f>31643*1.18+51638*1.18+106924*1.18</f>
        <v>224441.9</v>
      </c>
      <c r="F16" s="19"/>
      <c r="G16" s="20"/>
      <c r="H16" s="20"/>
      <c r="I16" s="20"/>
      <c r="J16" s="97"/>
      <c r="K16" s="98"/>
      <c r="L16" s="97"/>
      <c r="M16" s="99"/>
      <c r="N16" s="21"/>
    </row>
    <row r="17" ht="15.75" customHeight="1">
      <c r="A17" s="41" t="s">
        <v>70</v>
      </c>
      <c r="B17" s="117">
        <f t="shared" ref="B17:M17" si="2">sum(B3:B16)</f>
        <v>769400.9424</v>
      </c>
      <c r="C17" s="117">
        <f t="shared" si="2"/>
        <v>808635.4362</v>
      </c>
      <c r="D17" s="117">
        <f t="shared" si="2"/>
        <v>661870.3458</v>
      </c>
      <c r="E17" s="117">
        <f t="shared" si="2"/>
        <v>995300.261</v>
      </c>
      <c r="F17" s="117">
        <f t="shared" si="2"/>
        <v>25283.91917</v>
      </c>
      <c r="G17" s="117">
        <f t="shared" si="2"/>
        <v>25283.91917</v>
      </c>
      <c r="H17" s="117">
        <f t="shared" si="2"/>
        <v>25283.91917</v>
      </c>
      <c r="I17" s="117">
        <f t="shared" si="2"/>
        <v>25283.91917</v>
      </c>
      <c r="J17" s="117">
        <f t="shared" si="2"/>
        <v>25283.91917</v>
      </c>
      <c r="K17" s="117">
        <f t="shared" si="2"/>
        <v>25283.91917</v>
      </c>
      <c r="L17" s="117">
        <f t="shared" si="2"/>
        <v>25283.91917</v>
      </c>
      <c r="M17" s="117">
        <f t="shared" si="2"/>
        <v>25283.91917</v>
      </c>
      <c r="N17" s="41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ht="15.75" customHeight="1"/>
    <row r="19" ht="15.75" customHeight="1">
      <c r="C19" s="19">
        <f>71669.02*1.18+122654.94*1.18+195931.22*1.18</f>
        <v>460501.1124</v>
      </c>
    </row>
    <row r="20" ht="15.75" customHeight="1">
      <c r="B20" s="119"/>
      <c r="C20" s="119"/>
    </row>
    <row r="21" ht="15.75" customHeight="1">
      <c r="B21" s="119"/>
      <c r="C21" s="11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6" width="12.63"/>
  </cols>
  <sheetData>
    <row r="1" ht="15.75" customHeight="1">
      <c r="A1" s="100" t="s">
        <v>54</v>
      </c>
      <c r="B1" s="101"/>
      <c r="C1" s="101"/>
      <c r="D1" s="101"/>
      <c r="E1" s="102"/>
      <c r="F1" s="102"/>
      <c r="G1" s="102"/>
      <c r="H1" s="102"/>
      <c r="I1" s="102"/>
      <c r="J1" s="102"/>
      <c r="K1" s="102"/>
      <c r="L1" s="102"/>
      <c r="M1" s="102"/>
      <c r="N1" s="103"/>
    </row>
    <row r="2" ht="15.75" customHeight="1">
      <c r="A2" s="101"/>
      <c r="B2" s="3">
        <v>45748.0</v>
      </c>
      <c r="C2" s="3">
        <v>45778.0</v>
      </c>
      <c r="D2" s="3">
        <v>45809.0</v>
      </c>
      <c r="E2" s="3">
        <v>45839.0</v>
      </c>
      <c r="F2" s="11">
        <v>45870.0</v>
      </c>
      <c r="G2" s="3">
        <v>45901.0</v>
      </c>
      <c r="H2" s="3">
        <v>45931.0</v>
      </c>
      <c r="I2" s="3">
        <v>45962.0</v>
      </c>
      <c r="J2" s="3">
        <v>45992.0</v>
      </c>
      <c r="K2" s="3">
        <v>46023.0</v>
      </c>
      <c r="L2" s="3">
        <v>46054.0</v>
      </c>
      <c r="M2" s="3">
        <v>46082.0</v>
      </c>
      <c r="N2" s="104" t="s">
        <v>59</v>
      </c>
    </row>
    <row r="3" ht="15.75" customHeight="1">
      <c r="A3" s="105" t="s">
        <v>6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ht="15.75" customHeight="1">
      <c r="A4" s="107" t="s">
        <v>7</v>
      </c>
      <c r="B4" s="38">
        <v>1311694.0</v>
      </c>
      <c r="C4" s="60">
        <f t="shared" ref="C4:M4" si="1">B7</f>
        <v>1493885</v>
      </c>
      <c r="D4" s="60">
        <f t="shared" si="1"/>
        <v>1493731.46</v>
      </c>
      <c r="E4" s="60">
        <f t="shared" si="1"/>
        <v>2136551.69</v>
      </c>
      <c r="F4" s="60">
        <f t="shared" si="1"/>
        <v>1770515.83</v>
      </c>
      <c r="G4" s="60">
        <f t="shared" si="1"/>
        <v>1718087.28</v>
      </c>
      <c r="H4" s="60">
        <f t="shared" si="1"/>
        <v>1724491.43</v>
      </c>
      <c r="I4" s="60" t="str">
        <f t="shared" si="1"/>
        <v/>
      </c>
      <c r="J4" s="60" t="str">
        <f t="shared" si="1"/>
        <v/>
      </c>
      <c r="K4" s="60" t="str">
        <f t="shared" si="1"/>
        <v/>
      </c>
      <c r="L4" s="60" t="str">
        <f t="shared" si="1"/>
        <v/>
      </c>
      <c r="M4" s="60" t="str">
        <f t="shared" si="1"/>
        <v/>
      </c>
      <c r="N4" s="108"/>
    </row>
    <row r="5" ht="15.75" customHeight="1">
      <c r="A5" s="107" t="s">
        <v>9</v>
      </c>
      <c r="B5" s="38">
        <f>6160112</f>
        <v>6160112</v>
      </c>
      <c r="C5" s="60">
        <f>6596192.24</f>
        <v>6596192.24</v>
      </c>
      <c r="D5" s="38">
        <f>7115590.9+39776</f>
        <v>7155366.9</v>
      </c>
      <c r="E5" s="38">
        <f>6016020-38765</f>
        <v>5977255</v>
      </c>
      <c r="F5" s="60">
        <f>6865239.71</f>
        <v>6865239.71</v>
      </c>
      <c r="G5" s="60">
        <f>6345527.51</f>
        <v>6345527.51</v>
      </c>
      <c r="H5" s="60"/>
      <c r="I5" s="60"/>
      <c r="J5" s="60"/>
      <c r="K5" s="60"/>
      <c r="L5" s="60"/>
      <c r="M5" s="60"/>
      <c r="N5" s="109">
        <f t="shared" ref="N5:N6" si="2">SUM(B5:M5)</f>
        <v>39099693.36</v>
      </c>
    </row>
    <row r="6" ht="15.75" customHeight="1">
      <c r="A6" s="107" t="s">
        <v>10</v>
      </c>
      <c r="B6" s="38">
        <v>6080124.0</v>
      </c>
      <c r="C6" s="38">
        <f>6736750.78-186270-304531</f>
        <v>6245949.78</v>
      </c>
      <c r="D6" s="38">
        <v>6406016.0</v>
      </c>
      <c r="E6" s="38">
        <v>6128496.88</v>
      </c>
      <c r="F6" s="38">
        <v>6520635.68</v>
      </c>
      <c r="G6" s="38">
        <f>6427854</f>
        <v>6427854</v>
      </c>
      <c r="H6" s="38"/>
      <c r="I6" s="60"/>
      <c r="J6" s="60"/>
      <c r="K6" s="60"/>
      <c r="L6" s="38"/>
      <c r="M6" s="38"/>
      <c r="N6" s="109">
        <f t="shared" si="2"/>
        <v>37809076.34</v>
      </c>
    </row>
    <row r="7" ht="15.75" customHeight="1">
      <c r="A7" s="107" t="s">
        <v>12</v>
      </c>
      <c r="B7" s="38">
        <f>1294571+199314</f>
        <v>1493885</v>
      </c>
      <c r="C7" s="60">
        <f>1317687.46+176044</f>
        <v>1493731.46</v>
      </c>
      <c r="D7" s="110">
        <f>1836700.73+299850.96</f>
        <v>2136551.69</v>
      </c>
      <c r="E7" s="111">
        <f>1475927+294588.83</f>
        <v>1770515.83</v>
      </c>
      <c r="F7" s="111">
        <f>1483159.28+234928</f>
        <v>1718087.28</v>
      </c>
      <c r="G7" s="110">
        <f>1489757.43+234734</f>
        <v>1724491.43</v>
      </c>
      <c r="H7" s="111"/>
      <c r="I7" s="111"/>
      <c r="J7" s="111"/>
      <c r="K7" s="111"/>
      <c r="L7" s="111"/>
      <c r="M7" s="60"/>
      <c r="N7" s="108"/>
      <c r="P7" s="112"/>
    </row>
    <row r="8" ht="15.75" customHeight="1">
      <c r="A8" s="106"/>
      <c r="B8" s="106"/>
      <c r="C8" s="106"/>
      <c r="D8" s="106"/>
      <c r="E8" s="106"/>
      <c r="F8" s="106"/>
      <c r="G8" s="106"/>
      <c r="H8" s="113"/>
      <c r="I8" s="113"/>
      <c r="J8" s="113"/>
      <c r="K8" s="113"/>
      <c r="L8" s="113"/>
      <c r="M8" s="113"/>
      <c r="N8" s="106"/>
    </row>
    <row r="9" ht="15.75" customHeight="1">
      <c r="A9" s="114" t="s">
        <v>67</v>
      </c>
      <c r="B9" s="60">
        <f t="shared" ref="B9:M9" si="3">B4+B5-B6-B7</f>
        <v>-102203</v>
      </c>
      <c r="C9" s="60">
        <f t="shared" si="3"/>
        <v>350396</v>
      </c>
      <c r="D9" s="60">
        <f t="shared" si="3"/>
        <v>106530.67</v>
      </c>
      <c r="E9" s="60">
        <f t="shared" si="3"/>
        <v>214793.98</v>
      </c>
      <c r="F9" s="60">
        <f t="shared" si="3"/>
        <v>397032.58</v>
      </c>
      <c r="G9" s="60">
        <f t="shared" si="3"/>
        <v>-88730.64</v>
      </c>
      <c r="H9" s="60">
        <f t="shared" si="3"/>
        <v>1724491.43</v>
      </c>
      <c r="I9" s="60">
        <f t="shared" si="3"/>
        <v>0</v>
      </c>
      <c r="J9" s="60">
        <f t="shared" si="3"/>
        <v>0</v>
      </c>
      <c r="K9" s="60">
        <f t="shared" si="3"/>
        <v>0</v>
      </c>
      <c r="L9" s="60">
        <f t="shared" si="3"/>
        <v>0</v>
      </c>
      <c r="M9" s="60">
        <f t="shared" si="3"/>
        <v>0</v>
      </c>
      <c r="N9" s="109">
        <f t="shared" ref="N9:N26" si="4">sum(B9:M9)</f>
        <v>2602311.02</v>
      </c>
    </row>
    <row r="10" ht="15.75" customHeight="1">
      <c r="A10" s="114" t="s">
        <v>69</v>
      </c>
      <c r="B10" s="38">
        <f>16504+83736</f>
        <v>100240</v>
      </c>
      <c r="C10" s="38">
        <f>12434+53649</f>
        <v>66083</v>
      </c>
      <c r="D10" s="60">
        <f>39540+17668</f>
        <v>57208</v>
      </c>
      <c r="E10" s="38">
        <v>16125.0</v>
      </c>
      <c r="F10" s="60">
        <f>7433.7+25305</f>
        <v>32738.7</v>
      </c>
      <c r="G10" s="60">
        <f>2791+23092</f>
        <v>25883</v>
      </c>
      <c r="H10" s="60"/>
      <c r="I10" s="60"/>
      <c r="J10" s="60"/>
      <c r="K10" s="60"/>
      <c r="L10" s="60"/>
      <c r="M10" s="60"/>
      <c r="N10" s="109">
        <f t="shared" si="4"/>
        <v>298277.7</v>
      </c>
    </row>
    <row r="11" ht="15.75" customHeight="1">
      <c r="A11" s="114" t="s">
        <v>19</v>
      </c>
      <c r="B11" s="38">
        <f>3010+218510</f>
        <v>221520</v>
      </c>
      <c r="C11" s="38">
        <v>213600.0</v>
      </c>
      <c r="D11" s="116">
        <f>215000+7210</f>
        <v>222210</v>
      </c>
      <c r="E11" s="38">
        <v>241300.0</v>
      </c>
      <c r="F11" s="60"/>
      <c r="G11" s="60"/>
      <c r="H11" s="60"/>
      <c r="I11" s="38"/>
      <c r="J11" s="38"/>
      <c r="K11" s="38"/>
      <c r="L11" s="60"/>
      <c r="M11" s="60"/>
      <c r="N11" s="109">
        <f t="shared" si="4"/>
        <v>898630</v>
      </c>
    </row>
    <row r="12" ht="15.75" customHeight="1">
      <c r="A12" s="114" t="s">
        <v>71</v>
      </c>
      <c r="B12" s="38">
        <f>60000</f>
        <v>60000</v>
      </c>
      <c r="C12" s="38">
        <v>48000.0</v>
      </c>
      <c r="D12" s="38">
        <v>46500.0</v>
      </c>
      <c r="E12" s="38">
        <v>46500.0</v>
      </c>
      <c r="F12" s="38"/>
      <c r="G12" s="38"/>
      <c r="H12" s="38"/>
      <c r="I12" s="60"/>
      <c r="J12" s="38"/>
      <c r="K12" s="38"/>
      <c r="L12" s="38"/>
      <c r="M12" s="60"/>
      <c r="N12" s="109">
        <f t="shared" si="4"/>
        <v>201000</v>
      </c>
    </row>
    <row r="13" ht="15.75" customHeight="1">
      <c r="A13" s="114" t="s">
        <v>20</v>
      </c>
      <c r="B13" s="38">
        <f>198+600+600</f>
        <v>1398</v>
      </c>
      <c r="C13" s="38">
        <v>2859.0</v>
      </c>
      <c r="D13" s="38">
        <f>3536+600</f>
        <v>4136</v>
      </c>
      <c r="E13" s="60">
        <f>600</f>
        <v>600</v>
      </c>
      <c r="F13" s="60"/>
      <c r="G13" s="60"/>
      <c r="H13" s="60"/>
      <c r="I13" s="38"/>
      <c r="J13" s="60"/>
      <c r="K13" s="60"/>
      <c r="L13" s="60"/>
      <c r="M13" s="60"/>
      <c r="N13" s="109">
        <f t="shared" si="4"/>
        <v>8993</v>
      </c>
    </row>
    <row r="14" ht="15.75" customHeight="1">
      <c r="A14" s="114" t="s">
        <v>21</v>
      </c>
      <c r="B14" s="38">
        <f>148024.88</f>
        <v>148024.88</v>
      </c>
      <c r="C14" s="38">
        <v>172236.0</v>
      </c>
      <c r="D14" s="38">
        <v>166790.0</v>
      </c>
      <c r="E14" s="38">
        <v>178887.0</v>
      </c>
      <c r="F14" s="60"/>
      <c r="G14" s="60"/>
      <c r="H14" s="38"/>
      <c r="I14" s="60"/>
      <c r="J14" s="60"/>
      <c r="K14" s="38"/>
      <c r="L14" s="38"/>
      <c r="M14" s="60"/>
      <c r="N14" s="109">
        <f t="shared" si="4"/>
        <v>665937.88</v>
      </c>
    </row>
    <row r="15" ht="15.75" customHeight="1">
      <c r="A15" s="114" t="s">
        <v>72</v>
      </c>
      <c r="B15" s="69">
        <v>3551.83</v>
      </c>
      <c r="C15" s="19">
        <f t="shared" ref="C15:M15" si="5">136716.74/8/12</f>
        <v>1424.132708</v>
      </c>
      <c r="D15" s="19">
        <f t="shared" si="5"/>
        <v>1424.132708</v>
      </c>
      <c r="E15" s="19">
        <f t="shared" si="5"/>
        <v>1424.132708</v>
      </c>
      <c r="F15" s="19">
        <f t="shared" si="5"/>
        <v>1424.132708</v>
      </c>
      <c r="G15" s="19">
        <f t="shared" si="5"/>
        <v>1424.132708</v>
      </c>
      <c r="H15" s="19">
        <f t="shared" si="5"/>
        <v>1424.132708</v>
      </c>
      <c r="I15" s="19">
        <f t="shared" si="5"/>
        <v>1424.132708</v>
      </c>
      <c r="J15" s="19">
        <f t="shared" si="5"/>
        <v>1424.132708</v>
      </c>
      <c r="K15" s="19">
        <f t="shared" si="5"/>
        <v>1424.132708</v>
      </c>
      <c r="L15" s="19">
        <f t="shared" si="5"/>
        <v>1424.132708</v>
      </c>
      <c r="M15" s="19">
        <f t="shared" si="5"/>
        <v>1424.132708</v>
      </c>
      <c r="N15" s="109">
        <f t="shared" si="4"/>
        <v>19217.28979</v>
      </c>
    </row>
    <row r="16" ht="15.75" customHeight="1">
      <c r="A16" s="114" t="s">
        <v>73</v>
      </c>
      <c r="B16" s="60">
        <f t="shared" ref="B16:D16" si="6">299219</f>
        <v>299219</v>
      </c>
      <c r="C16" s="60">
        <f t="shared" si="6"/>
        <v>299219</v>
      </c>
      <c r="D16" s="60">
        <f t="shared" si="6"/>
        <v>299219</v>
      </c>
      <c r="E16" s="38">
        <v>303555.0</v>
      </c>
      <c r="F16" s="60"/>
      <c r="G16" s="60"/>
      <c r="H16" s="60"/>
      <c r="I16" s="60"/>
      <c r="J16" s="60"/>
      <c r="K16" s="60"/>
      <c r="L16" s="60"/>
      <c r="M16" s="60"/>
      <c r="N16" s="109">
        <f t="shared" si="4"/>
        <v>1201212</v>
      </c>
    </row>
    <row r="17" ht="15.75" customHeight="1">
      <c r="A17" s="114" t="s">
        <v>24</v>
      </c>
      <c r="B17" s="38">
        <v>8353.0</v>
      </c>
      <c r="C17" s="38">
        <v>8353.0</v>
      </c>
      <c r="D17" s="38">
        <v>8353.0</v>
      </c>
      <c r="E17" s="38">
        <v>8353.0</v>
      </c>
      <c r="F17" s="60"/>
      <c r="G17" s="60"/>
      <c r="H17" s="60"/>
      <c r="I17" s="60"/>
      <c r="J17" s="60"/>
      <c r="K17" s="60"/>
      <c r="L17" s="60"/>
      <c r="M17" s="60"/>
      <c r="N17" s="109">
        <f t="shared" si="4"/>
        <v>33412</v>
      </c>
    </row>
    <row r="18" ht="15.75" customHeight="1">
      <c r="A18" s="114" t="s">
        <v>25</v>
      </c>
      <c r="B18" s="60">
        <f>697502+22000+3372+22420</f>
        <v>745294</v>
      </c>
      <c r="C18" s="60">
        <f>716273.43+22420+22000</f>
        <v>760693.43</v>
      </c>
      <c r="D18" s="60">
        <f>718396.31+22000+22420</f>
        <v>762816.31</v>
      </c>
      <c r="E18" s="60">
        <f>708714.66+22000+16439</f>
        <v>747153.66</v>
      </c>
      <c r="F18" s="60"/>
      <c r="G18" s="60"/>
      <c r="H18" s="60"/>
      <c r="I18" s="60"/>
      <c r="J18" s="60"/>
      <c r="K18" s="60"/>
      <c r="L18" s="60"/>
      <c r="M18" s="60"/>
      <c r="N18" s="109">
        <f t="shared" si="4"/>
        <v>3015957.4</v>
      </c>
    </row>
    <row r="19" ht="15.75" customHeight="1">
      <c r="A19" s="114" t="s">
        <v>74</v>
      </c>
      <c r="B19" s="38">
        <v>0.0</v>
      </c>
      <c r="C19" s="69">
        <v>0.0</v>
      </c>
      <c r="D19" s="38">
        <v>0.0</v>
      </c>
      <c r="E19" s="120">
        <v>0.0</v>
      </c>
      <c r="F19" s="121"/>
      <c r="G19" s="121"/>
      <c r="H19" s="121"/>
      <c r="I19" s="121"/>
      <c r="J19" s="121"/>
      <c r="K19" s="121"/>
      <c r="L19" s="121"/>
      <c r="M19" s="121"/>
      <c r="N19" s="109">
        <f t="shared" si="4"/>
        <v>0</v>
      </c>
    </row>
    <row r="20" ht="15.75" customHeight="1">
      <c r="A20" s="114" t="s">
        <v>28</v>
      </c>
      <c r="B20" s="69">
        <v>124056.0</v>
      </c>
      <c r="C20" s="69">
        <v>153117.64</v>
      </c>
      <c r="D20" s="69">
        <v>74971.0</v>
      </c>
      <c r="E20" s="120">
        <f>'Misc Exp'!P43</f>
        <v>113838</v>
      </c>
      <c r="F20" s="38"/>
      <c r="G20" s="38"/>
      <c r="H20" s="38"/>
      <c r="I20" s="38"/>
      <c r="J20" s="38"/>
      <c r="K20" s="38"/>
      <c r="L20" s="38"/>
      <c r="M20" s="60"/>
      <c r="N20" s="109">
        <f t="shared" si="4"/>
        <v>465982.64</v>
      </c>
    </row>
    <row r="21" ht="15.75" customHeight="1">
      <c r="A21" s="114" t="s">
        <v>75</v>
      </c>
      <c r="B21" s="38">
        <v>0.0</v>
      </c>
      <c r="C21" s="38">
        <v>0.0</v>
      </c>
      <c r="D21" s="120">
        <v>0.0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09">
        <f t="shared" si="4"/>
        <v>0</v>
      </c>
    </row>
    <row r="22" ht="15.75" customHeight="1">
      <c r="A22" s="114" t="s">
        <v>26</v>
      </c>
      <c r="B22" s="38">
        <f t="shared" ref="B22:C22" si="7">14160+7080</f>
        <v>21240</v>
      </c>
      <c r="C22" s="38">
        <f t="shared" si="7"/>
        <v>21240</v>
      </c>
      <c r="D22" s="38">
        <f t="shared" ref="D22:E22" si="8">14160+17700/2</f>
        <v>23010</v>
      </c>
      <c r="E22" s="38">
        <f t="shared" si="8"/>
        <v>23010</v>
      </c>
      <c r="F22" s="60"/>
      <c r="G22" s="60"/>
      <c r="H22" s="60"/>
      <c r="I22" s="60"/>
      <c r="J22" s="60"/>
      <c r="K22" s="60"/>
      <c r="L22" s="60"/>
      <c r="M22" s="60"/>
      <c r="N22" s="109">
        <f t="shared" si="4"/>
        <v>88500</v>
      </c>
    </row>
    <row r="23" ht="15.75" customHeight="1">
      <c r="A23" s="114" t="s">
        <v>29</v>
      </c>
      <c r="B23" s="69">
        <v>163516.0</v>
      </c>
      <c r="C23" s="38">
        <f>246583</f>
        <v>246583</v>
      </c>
      <c r="D23" s="38">
        <f>220454</f>
        <v>220454</v>
      </c>
      <c r="E23" s="38">
        <f>'Misc Exp'!P37</f>
        <v>259111</v>
      </c>
      <c r="F23" s="38"/>
      <c r="G23" s="38"/>
      <c r="H23" s="38"/>
      <c r="I23" s="38"/>
      <c r="J23" s="38"/>
      <c r="K23" s="38"/>
      <c r="L23" s="60"/>
      <c r="M23" s="38"/>
      <c r="N23" s="109">
        <f t="shared" si="4"/>
        <v>889664</v>
      </c>
    </row>
    <row r="24" ht="15.75" customHeight="1">
      <c r="A24" s="114" t="s">
        <v>76</v>
      </c>
      <c r="B24" s="38">
        <v>0.0</v>
      </c>
      <c r="C24" s="38">
        <v>0.0</v>
      </c>
      <c r="D24" s="38">
        <v>0.0</v>
      </c>
      <c r="E24" s="121"/>
      <c r="F24" s="121"/>
      <c r="G24" s="121"/>
      <c r="H24" s="121"/>
      <c r="I24" s="121"/>
      <c r="J24" s="121"/>
      <c r="K24" s="121"/>
      <c r="L24" s="121"/>
      <c r="M24" s="121"/>
      <c r="N24" s="109">
        <f t="shared" si="4"/>
        <v>0</v>
      </c>
    </row>
    <row r="25" ht="15.75" customHeight="1">
      <c r="A25" s="114" t="s">
        <v>77</v>
      </c>
      <c r="B25" s="60">
        <f>133694+285946.5</f>
        <v>419640.5</v>
      </c>
      <c r="C25" s="38">
        <f>127794+185060</f>
        <v>312854</v>
      </c>
      <c r="D25" s="60">
        <f>165436+171778</f>
        <v>337214</v>
      </c>
      <c r="E25" s="60">
        <f>194582+(170488+2730)</f>
        <v>367800</v>
      </c>
      <c r="F25" s="60"/>
      <c r="G25" s="60"/>
      <c r="H25" s="60"/>
      <c r="I25" s="121"/>
      <c r="J25" s="121"/>
      <c r="K25" s="121"/>
      <c r="L25" s="121"/>
      <c r="M25" s="121"/>
      <c r="N25" s="109">
        <f t="shared" si="4"/>
        <v>1437508.5</v>
      </c>
    </row>
    <row r="26" ht="15.75" customHeight="1">
      <c r="A26" s="122" t="s">
        <v>32</v>
      </c>
      <c r="B26" s="63">
        <f t="shared" ref="B26:F26" si="9">SUM(B10:B25)</f>
        <v>2316053.21</v>
      </c>
      <c r="C26" s="63">
        <f t="shared" si="9"/>
        <v>2306262.203</v>
      </c>
      <c r="D26" s="63">
        <f t="shared" si="9"/>
        <v>2224305.443</v>
      </c>
      <c r="E26" s="63">
        <f t="shared" si="9"/>
        <v>2307656.793</v>
      </c>
      <c r="F26" s="123">
        <f t="shared" si="9"/>
        <v>34162.83271</v>
      </c>
      <c r="G26" s="123">
        <f t="shared" ref="G26:M26" si="10">SUM(G11:G25)</f>
        <v>1424.132708</v>
      </c>
      <c r="H26" s="123">
        <f t="shared" si="10"/>
        <v>1424.132708</v>
      </c>
      <c r="I26" s="123">
        <f t="shared" si="10"/>
        <v>1424.132708</v>
      </c>
      <c r="J26" s="123">
        <f t="shared" si="10"/>
        <v>1424.132708</v>
      </c>
      <c r="K26" s="123">
        <f t="shared" si="10"/>
        <v>1424.132708</v>
      </c>
      <c r="L26" s="123">
        <f t="shared" si="10"/>
        <v>1424.132708</v>
      </c>
      <c r="M26" s="123">
        <f t="shared" si="10"/>
        <v>1424.132708</v>
      </c>
      <c r="N26" s="63">
        <f t="shared" si="4"/>
        <v>9198409.41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</cols>
  <sheetData>
    <row r="1">
      <c r="B1" s="124" t="s">
        <v>79</v>
      </c>
      <c r="C1" s="124" t="s">
        <v>80</v>
      </c>
      <c r="D1" s="124" t="s">
        <v>81</v>
      </c>
      <c r="E1" s="124" t="s">
        <v>82</v>
      </c>
      <c r="F1" s="124" t="s">
        <v>83</v>
      </c>
      <c r="G1" s="125" t="s">
        <v>84</v>
      </c>
      <c r="H1" s="124" t="s">
        <v>85</v>
      </c>
      <c r="I1" s="124" t="s">
        <v>86</v>
      </c>
      <c r="J1" s="124" t="s">
        <v>87</v>
      </c>
      <c r="K1" s="124" t="s">
        <v>88</v>
      </c>
      <c r="L1" s="124" t="s">
        <v>89</v>
      </c>
      <c r="M1" s="124" t="s">
        <v>90</v>
      </c>
      <c r="N1" s="124" t="s">
        <v>91</v>
      </c>
      <c r="O1" s="124" t="s">
        <v>70</v>
      </c>
    </row>
    <row r="2">
      <c r="A2" s="126" t="s">
        <v>92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</row>
    <row r="3">
      <c r="A3" s="128" t="s">
        <v>93</v>
      </c>
      <c r="B3" s="129">
        <v>0.0</v>
      </c>
      <c r="C3" s="129">
        <v>0.0</v>
      </c>
      <c r="D3" s="129">
        <v>0.0</v>
      </c>
      <c r="E3" s="129">
        <v>0.0</v>
      </c>
      <c r="F3" s="129">
        <v>0.0</v>
      </c>
      <c r="G3" s="129">
        <v>0.0</v>
      </c>
      <c r="H3" s="129">
        <v>0.0</v>
      </c>
      <c r="I3" s="129">
        <v>8136.0</v>
      </c>
      <c r="J3" s="129">
        <v>491.0</v>
      </c>
      <c r="K3" s="129">
        <v>5181.0</v>
      </c>
      <c r="L3" s="129">
        <v>0.0</v>
      </c>
      <c r="M3" s="129">
        <v>0.0</v>
      </c>
      <c r="N3" s="129">
        <v>0.0</v>
      </c>
      <c r="O3" s="129">
        <f t="shared" ref="O3:O24" si="1">sum(B3:N3)</f>
        <v>13808</v>
      </c>
    </row>
    <row r="4">
      <c r="A4" s="128" t="s">
        <v>94</v>
      </c>
      <c r="B4" s="129">
        <v>0.0</v>
      </c>
      <c r="C4" s="129">
        <v>0.0</v>
      </c>
      <c r="D4" s="129">
        <v>0.0</v>
      </c>
      <c r="E4" s="129">
        <v>0.0</v>
      </c>
      <c r="F4" s="129">
        <v>0.0</v>
      </c>
      <c r="G4" s="129">
        <v>0.0</v>
      </c>
      <c r="H4" s="129">
        <v>0.0</v>
      </c>
      <c r="I4" s="129">
        <v>0.0</v>
      </c>
      <c r="J4" s="129">
        <v>0.0</v>
      </c>
      <c r="K4" s="129">
        <v>0.0</v>
      </c>
      <c r="L4" s="129">
        <v>0.0</v>
      </c>
      <c r="M4" s="129">
        <v>0.0</v>
      </c>
      <c r="N4" s="129">
        <v>0.0</v>
      </c>
      <c r="O4" s="129">
        <f t="shared" si="1"/>
        <v>0</v>
      </c>
    </row>
    <row r="5">
      <c r="A5" s="128" t="s">
        <v>95</v>
      </c>
      <c r="B5" s="130"/>
      <c r="C5" s="129">
        <v>12634.0</v>
      </c>
      <c r="D5" s="130"/>
      <c r="E5" s="129">
        <v>682.0</v>
      </c>
      <c r="F5" s="129">
        <v>367.0</v>
      </c>
      <c r="G5" s="130"/>
      <c r="H5" s="130"/>
      <c r="I5" s="130"/>
      <c r="J5" s="130"/>
      <c r="K5" s="130"/>
      <c r="L5" s="130"/>
      <c r="M5" s="130"/>
      <c r="N5" s="129">
        <v>160.0</v>
      </c>
      <c r="O5" s="129">
        <f t="shared" si="1"/>
        <v>13843</v>
      </c>
    </row>
    <row r="6">
      <c r="A6" s="128" t="s">
        <v>96</v>
      </c>
      <c r="B6" s="130"/>
      <c r="C6" s="130"/>
      <c r="D6" s="130"/>
      <c r="E6" s="130"/>
      <c r="F6" s="130"/>
      <c r="G6" s="130"/>
      <c r="H6" s="130"/>
      <c r="I6" s="130"/>
      <c r="J6" s="130"/>
      <c r="K6" s="129">
        <v>21240.0</v>
      </c>
      <c r="L6" s="129">
        <v>21240.0</v>
      </c>
      <c r="M6" s="130"/>
      <c r="N6" s="130"/>
      <c r="O6" s="129">
        <f t="shared" si="1"/>
        <v>42480</v>
      </c>
    </row>
    <row r="7">
      <c r="A7" s="128" t="s">
        <v>97</v>
      </c>
      <c r="B7" s="130"/>
      <c r="C7" s="129">
        <v>22750.0</v>
      </c>
      <c r="D7" s="130"/>
      <c r="E7" s="130"/>
      <c r="F7" s="129">
        <v>3150.0</v>
      </c>
      <c r="G7" s="130"/>
      <c r="H7" s="130"/>
      <c r="I7" s="130"/>
      <c r="J7" s="130"/>
      <c r="K7" s="130"/>
      <c r="L7" s="130"/>
      <c r="M7" s="130"/>
      <c r="N7" s="130"/>
      <c r="O7" s="129">
        <f t="shared" si="1"/>
        <v>25900</v>
      </c>
    </row>
    <row r="8">
      <c r="A8" s="128" t="s">
        <v>98</v>
      </c>
      <c r="B8" s="130"/>
      <c r="C8" s="130"/>
      <c r="D8" s="130"/>
      <c r="E8" s="130"/>
      <c r="F8" s="130"/>
      <c r="G8" s="130"/>
      <c r="H8" s="130"/>
      <c r="I8" s="129">
        <v>713.68</v>
      </c>
      <c r="J8" s="129">
        <v>302.4</v>
      </c>
      <c r="K8" s="129">
        <v>1029.13</v>
      </c>
      <c r="L8" s="129">
        <v>2195.37</v>
      </c>
      <c r="M8" s="129">
        <v>1907.67</v>
      </c>
      <c r="N8" s="130"/>
      <c r="O8" s="129">
        <f t="shared" si="1"/>
        <v>6148.25</v>
      </c>
    </row>
    <row r="9">
      <c r="A9" s="128" t="s">
        <v>99</v>
      </c>
      <c r="B9" s="130"/>
      <c r="C9" s="130"/>
      <c r="D9" s="130"/>
      <c r="E9" s="130"/>
      <c r="F9" s="130"/>
      <c r="G9" s="130"/>
      <c r="H9" s="130"/>
      <c r="I9" s="129">
        <v>1080.71</v>
      </c>
      <c r="J9" s="129">
        <v>1715.6</v>
      </c>
      <c r="K9" s="129">
        <v>2816.0</v>
      </c>
      <c r="L9" s="129">
        <v>1238.0</v>
      </c>
      <c r="M9" s="129">
        <v>1271.0</v>
      </c>
      <c r="N9" s="130"/>
      <c r="O9" s="129">
        <f t="shared" si="1"/>
        <v>8121.31</v>
      </c>
    </row>
    <row r="10">
      <c r="A10" s="128" t="s">
        <v>100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29">
        <v>527.23</v>
      </c>
      <c r="O10" s="129">
        <f t="shared" si="1"/>
        <v>527.23</v>
      </c>
    </row>
    <row r="11">
      <c r="A11" s="128" t="s">
        <v>74</v>
      </c>
      <c r="B11" s="130"/>
      <c r="C11" s="130"/>
      <c r="D11" s="130"/>
      <c r="E11" s="130"/>
      <c r="F11" s="130"/>
      <c r="G11" s="130"/>
      <c r="H11" s="130"/>
      <c r="I11" s="129">
        <v>1400.0</v>
      </c>
      <c r="J11" s="129">
        <v>2950.0</v>
      </c>
      <c r="K11" s="129">
        <v>1400.0</v>
      </c>
      <c r="L11" s="129">
        <v>4455.0</v>
      </c>
      <c r="M11" s="129">
        <v>1000.0</v>
      </c>
      <c r="N11" s="130"/>
      <c r="O11" s="129">
        <f t="shared" si="1"/>
        <v>11205</v>
      </c>
    </row>
    <row r="12">
      <c r="A12" s="128" t="s">
        <v>101</v>
      </c>
      <c r="B12" s="129">
        <v>4562.0</v>
      </c>
      <c r="C12" s="129">
        <v>4562.0</v>
      </c>
      <c r="D12" s="129">
        <v>4562.0</v>
      </c>
      <c r="E12" s="129">
        <v>4562.0</v>
      </c>
      <c r="F12" s="129">
        <v>4562.0</v>
      </c>
      <c r="G12" s="129">
        <v>4562.0</v>
      </c>
      <c r="H12" s="129">
        <v>4562.0</v>
      </c>
      <c r="I12" s="130"/>
      <c r="J12" s="130"/>
      <c r="K12" s="130"/>
      <c r="L12" s="130"/>
      <c r="M12" s="130"/>
      <c r="N12" s="130"/>
      <c r="O12" s="129">
        <f t="shared" si="1"/>
        <v>31934</v>
      </c>
    </row>
    <row r="13">
      <c r="A13" s="128" t="s">
        <v>102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29">
        <v>800.0</v>
      </c>
      <c r="L13" s="130"/>
      <c r="M13" s="130"/>
      <c r="N13" s="130"/>
      <c r="O13" s="129">
        <f t="shared" si="1"/>
        <v>800</v>
      </c>
    </row>
    <row r="14">
      <c r="A14" s="128" t="s">
        <v>103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29">
        <v>1900.0</v>
      </c>
      <c r="M14" s="130"/>
      <c r="N14" s="130"/>
      <c r="O14" s="129">
        <f t="shared" si="1"/>
        <v>1900</v>
      </c>
    </row>
    <row r="15">
      <c r="A15" s="128" t="s">
        <v>104</v>
      </c>
      <c r="B15" s="129">
        <v>5000.0</v>
      </c>
      <c r="C15" s="129">
        <v>700.0</v>
      </c>
      <c r="D15" s="129">
        <v>3000.0</v>
      </c>
      <c r="E15" s="129">
        <v>3000.0</v>
      </c>
      <c r="F15" s="130"/>
      <c r="G15" s="129">
        <v>5000.0</v>
      </c>
      <c r="H15" s="129">
        <v>4000.0</v>
      </c>
      <c r="I15" s="130"/>
      <c r="J15" s="130"/>
      <c r="K15" s="130"/>
      <c r="L15" s="129">
        <v>4000.0</v>
      </c>
      <c r="M15" s="130"/>
      <c r="N15" s="130"/>
      <c r="O15" s="129">
        <f t="shared" si="1"/>
        <v>24700</v>
      </c>
    </row>
    <row r="16">
      <c r="A16" s="128" t="s">
        <v>105</v>
      </c>
      <c r="B16" s="129">
        <v>95.0</v>
      </c>
      <c r="C16" s="129">
        <v>2367.0</v>
      </c>
      <c r="D16" s="129">
        <v>7770.0</v>
      </c>
      <c r="E16" s="129">
        <v>9400.0</v>
      </c>
      <c r="F16" s="129">
        <v>2630.0</v>
      </c>
      <c r="G16" s="129">
        <v>4721.0</v>
      </c>
      <c r="H16" s="129">
        <v>200.0</v>
      </c>
      <c r="I16" s="130"/>
      <c r="J16" s="130"/>
      <c r="K16" s="130"/>
      <c r="L16" s="129">
        <v>7353.0</v>
      </c>
      <c r="M16" s="130"/>
      <c r="N16" s="130"/>
      <c r="O16" s="129">
        <f t="shared" si="1"/>
        <v>34536</v>
      </c>
    </row>
    <row r="17">
      <c r="A17" s="128" t="s">
        <v>106</v>
      </c>
      <c r="B17" s="129">
        <v>1014.0</v>
      </c>
      <c r="C17" s="129">
        <v>4840.0</v>
      </c>
      <c r="D17" s="129">
        <v>900.0</v>
      </c>
      <c r="E17" s="129">
        <v>529.0</v>
      </c>
      <c r="F17" s="129">
        <v>1818.0</v>
      </c>
      <c r="G17" s="129">
        <v>5047.0</v>
      </c>
      <c r="H17" s="129">
        <v>1500.0</v>
      </c>
      <c r="I17" s="130"/>
      <c r="J17" s="130"/>
      <c r="K17" s="130"/>
      <c r="L17" s="130"/>
      <c r="M17" s="130"/>
      <c r="N17" s="130"/>
      <c r="O17" s="129">
        <f t="shared" si="1"/>
        <v>15648</v>
      </c>
    </row>
    <row r="18">
      <c r="A18" s="128" t="s">
        <v>107</v>
      </c>
      <c r="B18" s="130"/>
      <c r="C18" s="130"/>
      <c r="D18" s="130"/>
      <c r="E18" s="130"/>
      <c r="F18" s="130"/>
      <c r="G18" s="130"/>
      <c r="H18" s="130"/>
      <c r="I18" s="129">
        <v>1975.0</v>
      </c>
      <c r="J18" s="129">
        <v>325.0</v>
      </c>
      <c r="K18" s="129">
        <v>3634.0</v>
      </c>
      <c r="L18" s="129">
        <v>1136.0</v>
      </c>
      <c r="M18" s="129">
        <v>1213.0</v>
      </c>
      <c r="N18" s="130"/>
      <c r="O18" s="129">
        <f t="shared" si="1"/>
        <v>8283</v>
      </c>
    </row>
    <row r="19">
      <c r="A19" s="128" t="s">
        <v>108</v>
      </c>
      <c r="B19" s="129">
        <v>1494.19</v>
      </c>
      <c r="C19" s="130"/>
      <c r="D19" s="129">
        <v>2804.19</v>
      </c>
      <c r="E19" s="129">
        <v>915.02</v>
      </c>
      <c r="F19" s="129">
        <v>3924.0</v>
      </c>
      <c r="G19" s="129">
        <v>167.53</v>
      </c>
      <c r="H19" s="129">
        <v>1393.4</v>
      </c>
      <c r="I19" s="129">
        <v>933.66</v>
      </c>
      <c r="J19" s="129">
        <v>2500.53</v>
      </c>
      <c r="K19" s="129">
        <v>3427.31</v>
      </c>
      <c r="L19" s="129">
        <v>9458.88</v>
      </c>
      <c r="M19" s="129">
        <v>1304.0</v>
      </c>
      <c r="N19" s="130"/>
      <c r="O19" s="129">
        <f t="shared" si="1"/>
        <v>28322.71</v>
      </c>
    </row>
    <row r="20">
      <c r="A20" s="128" t="s">
        <v>109</v>
      </c>
      <c r="B20" s="129">
        <v>70.0</v>
      </c>
      <c r="C20" s="129">
        <v>160.0</v>
      </c>
      <c r="D20" s="129">
        <v>5019.0</v>
      </c>
      <c r="E20" s="129">
        <v>1156.0</v>
      </c>
      <c r="F20" s="129">
        <v>3467.0</v>
      </c>
      <c r="G20" s="129">
        <v>1070.0</v>
      </c>
      <c r="H20" s="129">
        <v>3175.0</v>
      </c>
      <c r="I20" s="130"/>
      <c r="J20" s="130"/>
      <c r="K20" s="130"/>
      <c r="L20" s="129">
        <v>570.0</v>
      </c>
      <c r="M20" s="129">
        <v>413.0</v>
      </c>
      <c r="N20" s="130"/>
      <c r="O20" s="129">
        <f t="shared" si="1"/>
        <v>15100</v>
      </c>
    </row>
    <row r="21">
      <c r="A21" s="128" t="s">
        <v>110</v>
      </c>
      <c r="B21" s="129">
        <v>1000.0</v>
      </c>
      <c r="C21" s="129">
        <v>9000.0</v>
      </c>
      <c r="D21" s="129">
        <v>2300.0</v>
      </c>
      <c r="E21" s="129">
        <v>1400.0</v>
      </c>
      <c r="F21" s="130"/>
      <c r="G21" s="129">
        <v>3609.0</v>
      </c>
      <c r="H21" s="129">
        <v>4000.0</v>
      </c>
      <c r="I21" s="129">
        <v>6986.0</v>
      </c>
      <c r="J21" s="131"/>
      <c r="K21" s="129">
        <v>3300.0</v>
      </c>
      <c r="L21" s="129">
        <v>3963.0</v>
      </c>
      <c r="M21" s="129">
        <v>779.0</v>
      </c>
      <c r="N21" s="129">
        <v>150.0</v>
      </c>
      <c r="O21" s="129">
        <f t="shared" si="1"/>
        <v>36487</v>
      </c>
    </row>
    <row r="22">
      <c r="A22" s="128" t="s">
        <v>111</v>
      </c>
      <c r="B22" s="129">
        <v>515.0</v>
      </c>
      <c r="C22" s="129">
        <v>25550.0</v>
      </c>
      <c r="D22" s="129">
        <v>645.0</v>
      </c>
      <c r="E22" s="129">
        <v>1239.0</v>
      </c>
      <c r="F22" s="129">
        <v>1360.0</v>
      </c>
      <c r="G22" s="129">
        <v>2942.0</v>
      </c>
      <c r="H22" s="129">
        <v>600.0</v>
      </c>
      <c r="I22" s="129">
        <v>970.0</v>
      </c>
      <c r="J22" s="129">
        <v>870.0</v>
      </c>
      <c r="K22" s="129">
        <v>815.0</v>
      </c>
      <c r="L22" s="129">
        <v>700.0</v>
      </c>
      <c r="M22" s="129">
        <v>1210.0</v>
      </c>
      <c r="N22" s="130"/>
      <c r="O22" s="129">
        <f t="shared" si="1"/>
        <v>37416</v>
      </c>
    </row>
    <row r="23">
      <c r="A23" s="128" t="s">
        <v>109</v>
      </c>
      <c r="B23" s="130"/>
      <c r="C23" s="130"/>
      <c r="D23" s="130"/>
      <c r="E23" s="130"/>
      <c r="F23" s="130"/>
      <c r="G23" s="130"/>
      <c r="H23" s="130"/>
      <c r="I23" s="129">
        <v>1300.0</v>
      </c>
      <c r="J23" s="129">
        <v>661.0</v>
      </c>
      <c r="K23" s="129">
        <v>3662.0</v>
      </c>
      <c r="L23" s="130"/>
      <c r="M23" s="130"/>
      <c r="N23" s="130"/>
      <c r="O23" s="129">
        <f t="shared" si="1"/>
        <v>5623</v>
      </c>
    </row>
    <row r="24">
      <c r="A24" s="128" t="s">
        <v>112</v>
      </c>
      <c r="B24" s="130"/>
      <c r="C24" s="130"/>
      <c r="D24" s="130"/>
      <c r="E24" s="130"/>
      <c r="F24" s="130"/>
      <c r="G24" s="130"/>
      <c r="H24" s="130"/>
      <c r="I24" s="129">
        <v>196.66</v>
      </c>
      <c r="J24" s="129">
        <v>1227.52</v>
      </c>
      <c r="K24" s="129">
        <v>1183.95</v>
      </c>
      <c r="L24" s="129">
        <v>657.33</v>
      </c>
      <c r="M24" s="129">
        <v>299.85</v>
      </c>
      <c r="N24" s="130"/>
      <c r="O24" s="129">
        <f t="shared" si="1"/>
        <v>3565.31</v>
      </c>
    </row>
    <row r="25">
      <c r="A25" s="127"/>
      <c r="B25" s="132">
        <f t="shared" ref="B25:O25" si="2">sum(B2:B24)</f>
        <v>13750.19</v>
      </c>
      <c r="C25" s="132">
        <f t="shared" si="2"/>
        <v>82563</v>
      </c>
      <c r="D25" s="132">
        <f t="shared" si="2"/>
        <v>27000.19</v>
      </c>
      <c r="E25" s="132">
        <f t="shared" si="2"/>
        <v>22883.02</v>
      </c>
      <c r="F25" s="132">
        <f t="shared" si="2"/>
        <v>21278</v>
      </c>
      <c r="G25" s="132">
        <f t="shared" si="2"/>
        <v>27118.53</v>
      </c>
      <c r="H25" s="132">
        <f t="shared" si="2"/>
        <v>19430.4</v>
      </c>
      <c r="I25" s="132">
        <f t="shared" si="2"/>
        <v>23691.71</v>
      </c>
      <c r="J25" s="132">
        <f t="shared" si="2"/>
        <v>11043.05</v>
      </c>
      <c r="K25" s="132">
        <f t="shared" si="2"/>
        <v>48488.39</v>
      </c>
      <c r="L25" s="132">
        <f t="shared" si="2"/>
        <v>58866.58</v>
      </c>
      <c r="M25" s="132">
        <f t="shared" si="2"/>
        <v>9397.52</v>
      </c>
      <c r="N25" s="132">
        <f t="shared" si="2"/>
        <v>837.23</v>
      </c>
      <c r="O25" s="132">
        <f t="shared" si="2"/>
        <v>366347.81</v>
      </c>
    </row>
    <row r="26">
      <c r="A26" s="127"/>
      <c r="B26" s="133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</row>
    <row r="27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</row>
    <row r="28">
      <c r="A28" s="126" t="s">
        <v>28</v>
      </c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</row>
    <row r="29">
      <c r="A29" s="135" t="s">
        <v>28</v>
      </c>
      <c r="B29" s="127"/>
      <c r="C29" s="127"/>
      <c r="D29" s="136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</row>
    <row r="30">
      <c r="A30" s="128" t="s">
        <v>113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8" t="s">
        <v>114</v>
      </c>
    </row>
    <row r="31">
      <c r="A31" s="128" t="s">
        <v>115</v>
      </c>
      <c r="B31" s="129">
        <v>7846.0</v>
      </c>
      <c r="C31" s="129">
        <f>5192+24072+225+400+5739+8354+11186+802+17708</f>
        <v>73678</v>
      </c>
      <c r="D31" s="129">
        <v>24576.0</v>
      </c>
      <c r="E31" s="129">
        <v>11605.0</v>
      </c>
      <c r="F31" s="129">
        <v>5930.0</v>
      </c>
      <c r="G31" s="129">
        <v>33346.0</v>
      </c>
      <c r="H31" s="129">
        <v>14602.0</v>
      </c>
      <c r="I31" s="129">
        <v>15099.0</v>
      </c>
      <c r="J31" s="129">
        <v>5260.0</v>
      </c>
      <c r="K31" s="129">
        <v>5357.0</v>
      </c>
      <c r="L31" s="129">
        <v>10980.0</v>
      </c>
      <c r="M31" s="129">
        <v>8800.0</v>
      </c>
      <c r="N31" s="128">
        <v>0.0</v>
      </c>
      <c r="O31" s="129">
        <f>sum(B31:N31)</f>
        <v>217079</v>
      </c>
    </row>
    <row r="32">
      <c r="A32" s="127"/>
      <c r="B32" s="132">
        <f t="shared" ref="B32:N32" si="3">sum(B30:B31)</f>
        <v>7846</v>
      </c>
      <c r="C32" s="132">
        <f t="shared" si="3"/>
        <v>73678</v>
      </c>
      <c r="D32" s="132">
        <f t="shared" si="3"/>
        <v>24576</v>
      </c>
      <c r="E32" s="132">
        <f t="shared" si="3"/>
        <v>11605</v>
      </c>
      <c r="F32" s="132">
        <f t="shared" si="3"/>
        <v>5930</v>
      </c>
      <c r="G32" s="132">
        <f t="shared" si="3"/>
        <v>33346</v>
      </c>
      <c r="H32" s="132">
        <f t="shared" si="3"/>
        <v>14602</v>
      </c>
      <c r="I32" s="132">
        <f t="shared" si="3"/>
        <v>15099</v>
      </c>
      <c r="J32" s="132">
        <f t="shared" si="3"/>
        <v>5260</v>
      </c>
      <c r="K32" s="132">
        <f t="shared" si="3"/>
        <v>5357</v>
      </c>
      <c r="L32" s="132">
        <f t="shared" si="3"/>
        <v>10980</v>
      </c>
      <c r="M32" s="132">
        <f t="shared" si="3"/>
        <v>8800</v>
      </c>
      <c r="N32" s="132">
        <f t="shared" si="3"/>
        <v>0</v>
      </c>
      <c r="O32" s="145">
        <f>sum(O31)</f>
        <v>217079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88"/>
    <col customWidth="1" min="2" max="6" width="12.63"/>
    <col customWidth="1" min="15" max="15" width="11.13"/>
  </cols>
  <sheetData>
    <row r="1" ht="15.75" customHeight="1">
      <c r="A1" s="137" t="s">
        <v>116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39"/>
    </row>
    <row r="2" ht="15.75" customHeight="1">
      <c r="A2" s="45" t="s">
        <v>117</v>
      </c>
      <c r="B2" s="140">
        <v>46113.0</v>
      </c>
      <c r="C2" s="140">
        <v>46143.0</v>
      </c>
      <c r="D2" s="140">
        <v>46174.0</v>
      </c>
      <c r="E2" s="140">
        <v>46204.0</v>
      </c>
      <c r="F2" s="141">
        <v>46235.0</v>
      </c>
      <c r="G2" s="140">
        <v>46266.0</v>
      </c>
      <c r="H2" s="140">
        <v>46296.0</v>
      </c>
      <c r="I2" s="140">
        <v>46327.0</v>
      </c>
      <c r="J2" s="140">
        <v>46357.0</v>
      </c>
      <c r="K2" s="140">
        <v>46388.0</v>
      </c>
      <c r="L2" s="140">
        <v>46419.0</v>
      </c>
      <c r="M2" s="140">
        <v>46447.0</v>
      </c>
      <c r="N2" s="142" t="s">
        <v>59</v>
      </c>
      <c r="O2" s="143"/>
    </row>
    <row r="3" ht="15.75" customHeight="1">
      <c r="A3" s="144" t="s">
        <v>118</v>
      </c>
      <c r="B3" s="24">
        <f>CK!B26</f>
        <v>2316053.21</v>
      </c>
      <c r="C3" s="24">
        <f>CK!C26</f>
        <v>2306262.203</v>
      </c>
      <c r="D3" s="24">
        <f>CK!D26</f>
        <v>2224305.443</v>
      </c>
      <c r="E3" s="24">
        <f>CK!E26</f>
        <v>2307656.793</v>
      </c>
      <c r="F3" s="24">
        <f>CK!F26</f>
        <v>34162.83271</v>
      </c>
      <c r="G3" s="24">
        <f>CK!G26</f>
        <v>1424.132708</v>
      </c>
      <c r="H3" s="24">
        <f>CK!H26</f>
        <v>1424.132708</v>
      </c>
      <c r="I3" s="24">
        <f>CK!I26</f>
        <v>1424.132708</v>
      </c>
      <c r="J3" s="24">
        <f>CK!J26</f>
        <v>1424.132708</v>
      </c>
      <c r="K3" s="24">
        <f>CK!K26</f>
        <v>1424.132708</v>
      </c>
      <c r="L3" s="24">
        <f>CK!L26</f>
        <v>1424.132708</v>
      </c>
      <c r="M3" s="24">
        <f>CK!M26</f>
        <v>1424.132708</v>
      </c>
      <c r="N3" s="146">
        <f t="shared" ref="N3:N14" si="2">sum(B3:M3)</f>
        <v>9198409.41</v>
      </c>
      <c r="O3" s="103"/>
    </row>
    <row r="4" ht="15.75" customHeight="1">
      <c r="A4" s="147" t="s">
        <v>119</v>
      </c>
      <c r="B4" s="24">
        <f>24780+24780+150+2428+3000+3834/12</f>
        <v>55457.5</v>
      </c>
      <c r="C4" s="24">
        <f>24780+24780+150+2428+3000+4050+3834/12</f>
        <v>59507.5</v>
      </c>
      <c r="D4" s="24">
        <f>24780+24780+150+2428+3000+7210+3834/12</f>
        <v>62667.5</v>
      </c>
      <c r="E4" s="24">
        <f>49560+3834/12+150+2528+3000</f>
        <v>55557.5</v>
      </c>
      <c r="F4" s="24">
        <f t="shared" ref="F4:M4" si="1">3834/12</f>
        <v>319.5</v>
      </c>
      <c r="G4" s="24">
        <f t="shared" si="1"/>
        <v>319.5</v>
      </c>
      <c r="H4" s="24">
        <f t="shared" si="1"/>
        <v>319.5</v>
      </c>
      <c r="I4" s="24">
        <f t="shared" si="1"/>
        <v>319.5</v>
      </c>
      <c r="J4" s="24">
        <f t="shared" si="1"/>
        <v>319.5</v>
      </c>
      <c r="K4" s="24">
        <f t="shared" si="1"/>
        <v>319.5</v>
      </c>
      <c r="L4" s="24">
        <f t="shared" si="1"/>
        <v>319.5</v>
      </c>
      <c r="M4" s="24">
        <f t="shared" si="1"/>
        <v>319.5</v>
      </c>
      <c r="N4" s="146">
        <f t="shared" si="2"/>
        <v>235746</v>
      </c>
      <c r="O4" s="103"/>
      <c r="R4" s="79">
        <f>961892/7</f>
        <v>137413.1429</v>
      </c>
    </row>
    <row r="5" ht="15.75" customHeight="1">
      <c r="A5" s="147" t="s">
        <v>120</v>
      </c>
      <c r="B5" s="24">
        <f t="shared" ref="B5:E5" si="3">55755</f>
        <v>55755</v>
      </c>
      <c r="C5" s="24">
        <f t="shared" si="3"/>
        <v>55755</v>
      </c>
      <c r="D5" s="24">
        <f t="shared" si="3"/>
        <v>55755</v>
      </c>
      <c r="E5" s="24">
        <f t="shared" si="3"/>
        <v>55755</v>
      </c>
      <c r="F5" s="24"/>
      <c r="G5" s="24"/>
      <c r="H5" s="24"/>
      <c r="I5" s="24"/>
      <c r="J5" s="24"/>
      <c r="K5" s="24"/>
      <c r="L5" s="24"/>
      <c r="M5" s="24"/>
      <c r="N5" s="146">
        <f t="shared" si="2"/>
        <v>223020</v>
      </c>
      <c r="O5" s="103"/>
    </row>
    <row r="6" ht="15.75" customHeight="1">
      <c r="A6" s="144" t="s">
        <v>109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146">
        <f t="shared" si="2"/>
        <v>0</v>
      </c>
      <c r="O6" s="103"/>
    </row>
    <row r="7" ht="15.75" customHeight="1">
      <c r="A7" s="148" t="s">
        <v>42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146">
        <f t="shared" si="2"/>
        <v>0</v>
      </c>
      <c r="O7" s="149"/>
    </row>
    <row r="8" ht="15.75" customHeight="1">
      <c r="A8" s="144" t="s">
        <v>121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146">
        <f t="shared" si="2"/>
        <v>0</v>
      </c>
      <c r="O8" s="149"/>
    </row>
    <row r="9" ht="15.75" customHeight="1">
      <c r="A9" s="144" t="s">
        <v>122</v>
      </c>
      <c r="B9" s="24">
        <f>408176+126576+89419+144395</f>
        <v>768566</v>
      </c>
      <c r="C9" s="24">
        <f>547799.47+144395+89419</f>
        <v>781613.47</v>
      </c>
      <c r="D9" s="24">
        <f>417992.54+129806.93+30000+90000</f>
        <v>667799.47</v>
      </c>
      <c r="E9" s="24">
        <f>417992.54+144455.43</f>
        <v>562447.97</v>
      </c>
      <c r="F9" s="24"/>
      <c r="G9" s="24"/>
      <c r="H9" s="24"/>
      <c r="I9" s="24"/>
      <c r="J9" s="24"/>
      <c r="K9" s="24"/>
      <c r="L9" s="24"/>
      <c r="M9" s="24"/>
      <c r="N9" s="146">
        <f t="shared" si="2"/>
        <v>2780426.91</v>
      </c>
      <c r="O9" s="149"/>
    </row>
    <row r="10" ht="15.75" customHeight="1">
      <c r="A10" s="144" t="s">
        <v>123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146">
        <f t="shared" si="2"/>
        <v>0</v>
      </c>
      <c r="O10" s="103"/>
    </row>
    <row r="11" ht="15.75" customHeight="1">
      <c r="A11" s="144" t="s">
        <v>29</v>
      </c>
      <c r="B11" s="24">
        <f>33713.83</f>
        <v>33713.83</v>
      </c>
      <c r="C11" s="24">
        <f>60248.72</f>
        <v>60248.72</v>
      </c>
      <c r="D11" s="24">
        <v>92966.0</v>
      </c>
      <c r="E11" s="24">
        <f>'Misc Exp'!Q37</f>
        <v>52215.45</v>
      </c>
      <c r="F11" s="24"/>
      <c r="G11" s="24"/>
      <c r="H11" s="24"/>
      <c r="I11" s="24"/>
      <c r="J11" s="24"/>
      <c r="K11" s="24"/>
      <c r="L11" s="24"/>
      <c r="M11" s="24"/>
      <c r="N11" s="146">
        <f t="shared" si="2"/>
        <v>239144</v>
      </c>
      <c r="O11" s="103"/>
    </row>
    <row r="12" ht="15.75" customHeight="1">
      <c r="A12" s="144" t="s">
        <v>124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146">
        <f t="shared" si="2"/>
        <v>0</v>
      </c>
      <c r="O12" s="103"/>
    </row>
    <row r="13" ht="15.75" customHeight="1">
      <c r="A13" s="144" t="s">
        <v>125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146">
        <f t="shared" si="2"/>
        <v>0</v>
      </c>
      <c r="O13" s="103"/>
    </row>
    <row r="14" ht="15.75" customHeight="1">
      <c r="A14" s="144" t="s">
        <v>126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146">
        <f t="shared" si="2"/>
        <v>0</v>
      </c>
      <c r="O14" s="103"/>
    </row>
    <row r="15" ht="15.75" customHeight="1">
      <c r="A15" s="148" t="s">
        <v>127</v>
      </c>
      <c r="B15" s="24">
        <f t="shared" ref="B15:C15" si="4">22000</f>
        <v>22000</v>
      </c>
      <c r="C15" s="24">
        <f t="shared" si="4"/>
        <v>22000</v>
      </c>
      <c r="D15" s="24">
        <v>22000.0</v>
      </c>
      <c r="E15" s="24">
        <v>22000.0</v>
      </c>
      <c r="F15" s="24"/>
      <c r="G15" s="24"/>
      <c r="H15" s="24"/>
      <c r="I15" s="24"/>
      <c r="J15" s="24"/>
      <c r="K15" s="24"/>
      <c r="L15" s="24"/>
      <c r="M15" s="24"/>
      <c r="N15" s="146"/>
      <c r="O15" s="103"/>
    </row>
    <row r="16" ht="15.75" customHeight="1">
      <c r="A16" s="144" t="s">
        <v>128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146">
        <f t="shared" ref="N16:N25" si="5">sum(B16:M16)</f>
        <v>0</v>
      </c>
      <c r="O16" s="103"/>
    </row>
    <row r="17" ht="15.75" customHeight="1">
      <c r="A17" s="144" t="s">
        <v>129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146">
        <f t="shared" si="5"/>
        <v>0</v>
      </c>
      <c r="O17" s="103"/>
    </row>
    <row r="18" ht="15.75" customHeight="1">
      <c r="A18" s="144" t="s">
        <v>131</v>
      </c>
      <c r="B18" s="24">
        <f t="shared" ref="B18:M18" si="6">151635/12</f>
        <v>12636.25</v>
      </c>
      <c r="C18" s="24">
        <f t="shared" si="6"/>
        <v>12636.25</v>
      </c>
      <c r="D18" s="24">
        <f t="shared" si="6"/>
        <v>12636.25</v>
      </c>
      <c r="E18" s="24">
        <f t="shared" si="6"/>
        <v>12636.25</v>
      </c>
      <c r="F18" s="24">
        <f t="shared" si="6"/>
        <v>12636.25</v>
      </c>
      <c r="G18" s="24">
        <f t="shared" si="6"/>
        <v>12636.25</v>
      </c>
      <c r="H18" s="24">
        <f t="shared" si="6"/>
        <v>12636.25</v>
      </c>
      <c r="I18" s="24">
        <f t="shared" si="6"/>
        <v>12636.25</v>
      </c>
      <c r="J18" s="24">
        <f t="shared" si="6"/>
        <v>12636.25</v>
      </c>
      <c r="K18" s="24">
        <f t="shared" si="6"/>
        <v>12636.25</v>
      </c>
      <c r="L18" s="24">
        <f t="shared" si="6"/>
        <v>12636.25</v>
      </c>
      <c r="M18" s="24">
        <f t="shared" si="6"/>
        <v>12636.25</v>
      </c>
      <c r="N18" s="146">
        <f t="shared" si="5"/>
        <v>151635</v>
      </c>
      <c r="O18" s="103"/>
    </row>
    <row r="19" ht="15.75" customHeight="1">
      <c r="A19" s="144" t="s">
        <v>136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146">
        <f t="shared" si="5"/>
        <v>0</v>
      </c>
      <c r="O19" s="103"/>
    </row>
    <row r="20" ht="15.75" customHeight="1">
      <c r="A20" s="144" t="s">
        <v>137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146">
        <f t="shared" si="5"/>
        <v>0</v>
      </c>
      <c r="O20" s="103"/>
    </row>
    <row r="21" ht="15.75" customHeight="1">
      <c r="A21" s="144" t="s">
        <v>138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146">
        <f t="shared" si="5"/>
        <v>0</v>
      </c>
      <c r="O21" s="103"/>
    </row>
    <row r="22" ht="15.75" customHeight="1">
      <c r="A22" s="144" t="s">
        <v>139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146">
        <f t="shared" si="5"/>
        <v>0</v>
      </c>
      <c r="O22" s="103"/>
    </row>
    <row r="23" ht="15.75" customHeight="1">
      <c r="A23" s="144" t="s">
        <v>140</v>
      </c>
      <c r="B23" s="24"/>
      <c r="C23" s="24"/>
      <c r="D23" s="24"/>
      <c r="E23" s="24"/>
      <c r="F23" s="24"/>
      <c r="G23" s="72"/>
      <c r="H23" s="24"/>
      <c r="I23" s="24"/>
      <c r="J23" s="24"/>
      <c r="K23" s="24"/>
      <c r="L23" s="24"/>
      <c r="M23" s="24"/>
      <c r="N23" s="146">
        <f t="shared" si="5"/>
        <v>0</v>
      </c>
      <c r="O23" s="103"/>
    </row>
    <row r="24" ht="15.75" customHeight="1">
      <c r="A24" s="158" t="s">
        <v>142</v>
      </c>
      <c r="B24" s="24">
        <v>-9446.4</v>
      </c>
      <c r="C24" s="24">
        <v>0.0</v>
      </c>
      <c r="D24" s="24">
        <v>-7023.0</v>
      </c>
      <c r="E24" s="24">
        <v>-7822.0</v>
      </c>
      <c r="F24" s="24"/>
      <c r="G24" s="24"/>
      <c r="H24" s="24"/>
      <c r="I24" s="24"/>
      <c r="J24" s="24"/>
      <c r="K24" s="24"/>
      <c r="L24" s="24"/>
      <c r="M24" s="24"/>
      <c r="N24" s="146">
        <f t="shared" si="5"/>
        <v>-24291.4</v>
      </c>
      <c r="O24" s="159"/>
    </row>
    <row r="25" ht="15.75" customHeight="1">
      <c r="A25" s="102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146">
        <f t="shared" si="5"/>
        <v>0</v>
      </c>
      <c r="O25" s="159"/>
    </row>
    <row r="26" ht="15.75" customHeight="1">
      <c r="A26" s="45" t="s">
        <v>145</v>
      </c>
      <c r="B26" s="81">
        <f t="shared" ref="B26:G26" si="7">+SUM(B3:B24)</f>
        <v>3254735.39</v>
      </c>
      <c r="C26" s="81">
        <f t="shared" si="7"/>
        <v>3298023.143</v>
      </c>
      <c r="D26" s="81">
        <f t="shared" si="7"/>
        <v>3131106.663</v>
      </c>
      <c r="E26" s="81">
        <f t="shared" si="7"/>
        <v>3060446.963</v>
      </c>
      <c r="F26" s="81">
        <f t="shared" si="7"/>
        <v>47118.58271</v>
      </c>
      <c r="G26" s="81">
        <f t="shared" si="7"/>
        <v>14379.88271</v>
      </c>
      <c r="H26" s="81">
        <f t="shared" ref="H26:K26" si="8">+SUM(H3:H23)</f>
        <v>14379.88271</v>
      </c>
      <c r="I26" s="81">
        <f t="shared" si="8"/>
        <v>14379.88271</v>
      </c>
      <c r="J26" s="81">
        <f t="shared" si="8"/>
        <v>14379.88271</v>
      </c>
      <c r="K26" s="81">
        <f t="shared" si="8"/>
        <v>14379.88271</v>
      </c>
      <c r="L26" s="81">
        <f t="shared" ref="L26:M26" si="9">+SUM(L3:L24)</f>
        <v>14379.88271</v>
      </c>
      <c r="M26" s="81">
        <f t="shared" si="9"/>
        <v>14379.88271</v>
      </c>
      <c r="N26" s="163"/>
      <c r="O26" s="163"/>
    </row>
    <row r="27" ht="15.75" customHeight="1">
      <c r="A27" s="165"/>
      <c r="B27" s="165"/>
      <c r="C27" s="84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</row>
    <row r="28" ht="15.75" customHeight="1">
      <c r="A28" s="167"/>
      <c r="B28" s="168" t="s">
        <v>156</v>
      </c>
      <c r="C28" s="45" t="s">
        <v>159</v>
      </c>
      <c r="D28" s="45" t="s">
        <v>161</v>
      </c>
      <c r="E28" s="170"/>
      <c r="F28" s="168" t="s">
        <v>162</v>
      </c>
      <c r="G28" s="45" t="s">
        <v>159</v>
      </c>
      <c r="H28" s="45" t="s">
        <v>161</v>
      </c>
      <c r="I28" s="170"/>
      <c r="J28" s="45" t="s">
        <v>163</v>
      </c>
      <c r="K28" s="45" t="s">
        <v>159</v>
      </c>
      <c r="L28" s="45" t="s">
        <v>161</v>
      </c>
      <c r="M28" s="170"/>
      <c r="N28" s="45" t="s">
        <v>164</v>
      </c>
      <c r="O28" s="45" t="s">
        <v>159</v>
      </c>
      <c r="P28" s="45" t="s">
        <v>161</v>
      </c>
    </row>
    <row r="29" ht="15.75" customHeight="1">
      <c r="A29" s="148" t="s">
        <v>166</v>
      </c>
      <c r="B29" s="173">
        <f>'Noida Sec - 18'!B13</f>
        <v>1723585.031</v>
      </c>
      <c r="C29" s="174">
        <f t="shared" ref="C29:C34" si="10">B29/$B$43</f>
        <v>0.08051325184</v>
      </c>
      <c r="D29" s="173">
        <f t="shared" ref="D29:D42" si="11">$B$26*C29</f>
        <v>262049.3301</v>
      </c>
      <c r="E29" s="176"/>
      <c r="F29" s="173">
        <f>'Noida Sec - 18'!C13</f>
        <v>1987870.787</v>
      </c>
      <c r="G29" s="174">
        <f t="shared" ref="G29:G42" si="12">F29/$F$43</f>
        <v>0.08753940563</v>
      </c>
      <c r="H29" s="173">
        <f t="shared" ref="H29:H42" si="13">G29*$C$26</f>
        <v>288706.9857</v>
      </c>
      <c r="I29" s="176"/>
      <c r="J29" s="173">
        <f>'Noida Sec - 18'!D13</f>
        <v>1852189.212</v>
      </c>
      <c r="K29" s="174">
        <f t="shared" ref="K29:K42" si="14">J29/$J$43</f>
        <v>0.08436516457</v>
      </c>
      <c r="L29" s="173">
        <f t="shared" ref="L29:L42" si="15">$D$26*K29</f>
        <v>264156.3289</v>
      </c>
      <c r="M29" s="176"/>
      <c r="N29" s="173">
        <f>'Noida Sec - 18'!E13</f>
        <v>1843290.482</v>
      </c>
      <c r="O29" s="174">
        <f t="shared" ref="O29:O42" si="16">N29/$N$43</f>
        <v>0.08634989563</v>
      </c>
      <c r="P29" s="173">
        <f t="shared" ref="P29:P42" si="17">O29*$E$26</f>
        <v>264269.2758</v>
      </c>
    </row>
    <row r="30" ht="15.75" customHeight="1">
      <c r="A30" s="148" t="s">
        <v>171</v>
      </c>
      <c r="B30" s="173">
        <f>'Noida Sec -143'!B13</f>
        <v>947119.2532</v>
      </c>
      <c r="C30" s="174">
        <f t="shared" si="10"/>
        <v>0.04424246531</v>
      </c>
      <c r="D30" s="173">
        <f t="shared" si="11"/>
        <v>143997.5176</v>
      </c>
      <c r="E30" s="176"/>
      <c r="F30" s="173">
        <f>'Noida Sec -143'!C13</f>
        <v>1045825.304</v>
      </c>
      <c r="G30" s="174">
        <f t="shared" si="12"/>
        <v>0.04605476678</v>
      </c>
      <c r="H30" s="173">
        <f t="shared" si="13"/>
        <v>151889.6867</v>
      </c>
      <c r="I30" s="176"/>
      <c r="J30" s="173">
        <f>'Noida Sec -143'!D13</f>
        <v>845448.0794</v>
      </c>
      <c r="K30" s="174">
        <f t="shared" si="14"/>
        <v>0.03850922243</v>
      </c>
      <c r="L30" s="173">
        <f t="shared" si="15"/>
        <v>120576.4829</v>
      </c>
      <c r="M30" s="176"/>
      <c r="N30" s="173">
        <f>'Noida Sec -143'!E13</f>
        <v>909729.825</v>
      </c>
      <c r="O30" s="174">
        <f t="shared" si="16"/>
        <v>0.042616764</v>
      </c>
      <c r="P30" s="173">
        <f t="shared" si="17"/>
        <v>130426.346</v>
      </c>
    </row>
    <row r="31" ht="15.75" customHeight="1">
      <c r="A31" s="148" t="s">
        <v>175</v>
      </c>
      <c r="B31" s="173">
        <f>'Faridabad Sec15'!B13</f>
        <v>881529.1148</v>
      </c>
      <c r="C31" s="174">
        <f t="shared" si="10"/>
        <v>0.04117857508</v>
      </c>
      <c r="D31" s="173">
        <f t="shared" si="11"/>
        <v>134025.3656</v>
      </c>
      <c r="E31" s="176"/>
      <c r="F31" s="173">
        <f>'Faridabad Sec15'!C13</f>
        <v>983842.3732</v>
      </c>
      <c r="G31" s="174">
        <f t="shared" si="12"/>
        <v>0.04332523881</v>
      </c>
      <c r="H31" s="173">
        <f t="shared" si="13"/>
        <v>142887.6403</v>
      </c>
      <c r="I31" s="176"/>
      <c r="J31" s="173">
        <f>'Faridabad Sec15'!D13</f>
        <v>1022441.209</v>
      </c>
      <c r="K31" s="174">
        <f t="shared" si="14"/>
        <v>0.04657106319</v>
      </c>
      <c r="L31" s="173">
        <f t="shared" si="15"/>
        <v>145818.9662</v>
      </c>
      <c r="M31" s="176"/>
      <c r="N31" s="173">
        <f>'Faridabad Sec15'!E13</f>
        <v>895692.1104</v>
      </c>
      <c r="O31" s="174">
        <f t="shared" si="16"/>
        <v>0.04195916</v>
      </c>
      <c r="P31" s="173">
        <f t="shared" si="17"/>
        <v>128413.7838</v>
      </c>
    </row>
    <row r="32" ht="15.75" customHeight="1">
      <c r="A32" s="148" t="s">
        <v>87</v>
      </c>
      <c r="B32" s="173">
        <f>DLF!B13</f>
        <v>1720611.327</v>
      </c>
      <c r="C32" s="174">
        <f t="shared" si="10"/>
        <v>0.0803743422</v>
      </c>
      <c r="D32" s="173">
        <f t="shared" si="11"/>
        <v>261597.216</v>
      </c>
      <c r="E32" s="176"/>
      <c r="F32" s="173">
        <f>DLF!C13</f>
        <v>1648470.969</v>
      </c>
      <c r="G32" s="174">
        <f t="shared" si="12"/>
        <v>0.0725933344</v>
      </c>
      <c r="H32" s="173">
        <f t="shared" si="13"/>
        <v>239414.4968</v>
      </c>
      <c r="I32" s="176"/>
      <c r="J32" s="173">
        <f>DLF!D13</f>
        <v>1596762.308</v>
      </c>
      <c r="K32" s="174">
        <f t="shared" si="14"/>
        <v>0.07273075237</v>
      </c>
      <c r="L32" s="173">
        <f t="shared" si="15"/>
        <v>227727.7433</v>
      </c>
      <c r="M32" s="176"/>
      <c r="N32" s="173">
        <f>DLF!E13</f>
        <v>1683795.371</v>
      </c>
      <c r="O32" s="174">
        <f t="shared" si="16"/>
        <v>0.07887826472</v>
      </c>
      <c r="P32" s="173">
        <f t="shared" si="17"/>
        <v>241402.7457</v>
      </c>
    </row>
    <row r="33" ht="15.75" customHeight="1">
      <c r="A33" s="148" t="s">
        <v>88</v>
      </c>
      <c r="B33" s="173">
        <f>'Gurgaon Sec-15'!B13</f>
        <v>1904054.295</v>
      </c>
      <c r="C33" s="174">
        <f t="shared" si="10"/>
        <v>0.08894345228</v>
      </c>
      <c r="D33" s="173">
        <f t="shared" si="11"/>
        <v>289487.4018</v>
      </c>
      <c r="E33" s="176"/>
      <c r="F33" s="173">
        <f>'Gurgaon Sec-15'!C13</f>
        <v>2270266.894</v>
      </c>
      <c r="G33" s="174">
        <f t="shared" si="12"/>
        <v>0.09997521763</v>
      </c>
      <c r="H33" s="173">
        <f t="shared" si="13"/>
        <v>329720.5814</v>
      </c>
      <c r="I33" s="176"/>
      <c r="J33" s="173">
        <f>'Gurgaon Sec-15'!D13</f>
        <v>1805549.445</v>
      </c>
      <c r="K33" s="174">
        <f t="shared" si="14"/>
        <v>0.0822407749</v>
      </c>
      <c r="L33" s="173">
        <f t="shared" si="15"/>
        <v>257504.6382</v>
      </c>
      <c r="M33" s="176"/>
      <c r="N33" s="173">
        <f>'Gurgaon Sec-15'!E13</f>
        <v>1687622.245</v>
      </c>
      <c r="O33" s="174">
        <f t="shared" si="16"/>
        <v>0.07905753661</v>
      </c>
      <c r="P33" s="173">
        <f t="shared" si="17"/>
        <v>241951.3978</v>
      </c>
    </row>
    <row r="34" ht="15.75" customHeight="1">
      <c r="A34" s="148" t="s">
        <v>154</v>
      </c>
      <c r="B34" s="173">
        <f>'Gurgaon Sec - 10'!B13</f>
        <v>662481.064</v>
      </c>
      <c r="C34" s="174">
        <f t="shared" si="10"/>
        <v>0.03094625665</v>
      </c>
      <c r="D34" s="173">
        <f t="shared" si="11"/>
        <v>100721.8767</v>
      </c>
      <c r="E34" s="176"/>
      <c r="F34" s="173">
        <f>'Gurgaon Sec - 10'!C13</f>
        <v>701542.5576</v>
      </c>
      <c r="G34" s="174">
        <f t="shared" si="12"/>
        <v>0.03089366719</v>
      </c>
      <c r="H34" s="173">
        <f t="shared" si="13"/>
        <v>101888.0294</v>
      </c>
      <c r="I34" s="176"/>
      <c r="J34" s="173">
        <f>'Gurgaon Sec - 10'!D13</f>
        <v>620725.439</v>
      </c>
      <c r="K34" s="174">
        <f t="shared" si="14"/>
        <v>0.02827335538</v>
      </c>
      <c r="L34" s="173">
        <f t="shared" si="15"/>
        <v>88526.89139</v>
      </c>
      <c r="M34" s="176"/>
      <c r="N34" s="173">
        <f>'Gurgaon Sec - 10'!E13</f>
        <v>535046.1448</v>
      </c>
      <c r="O34" s="174">
        <f t="shared" si="16"/>
        <v>0.02506451328</v>
      </c>
      <c r="P34" s="173">
        <f t="shared" si="17"/>
        <v>76708.61355</v>
      </c>
    </row>
    <row r="35" ht="15.75" customHeight="1">
      <c r="A35" s="148" t="s">
        <v>155</v>
      </c>
      <c r="B35" s="178">
        <v>0.0</v>
      </c>
      <c r="C35" s="179">
        <v>0.0</v>
      </c>
      <c r="D35" s="173">
        <f t="shared" si="11"/>
        <v>0</v>
      </c>
      <c r="E35" s="176"/>
      <c r="F35" s="173">
        <f>'Gurgaon Sector 31'!C13</f>
        <v>56291.4726</v>
      </c>
      <c r="G35" s="174">
        <f t="shared" si="12"/>
        <v>0.002478894547</v>
      </c>
      <c r="H35" s="173">
        <f t="shared" si="13"/>
        <v>8175.451583</v>
      </c>
      <c r="I35" s="176"/>
      <c r="J35" s="173">
        <f>'Gurgaon Sector 31'!D13</f>
        <v>697343.6904</v>
      </c>
      <c r="K35" s="174">
        <f t="shared" si="14"/>
        <v>0.03176323176</v>
      </c>
      <c r="L35" s="173">
        <f t="shared" si="15"/>
        <v>99454.06659</v>
      </c>
      <c r="M35" s="176"/>
      <c r="N35" s="173">
        <f>'Gurgaon Sector 31'!E13</f>
        <v>988619.7884</v>
      </c>
      <c r="O35" s="174">
        <f t="shared" si="16"/>
        <v>0.04631240513</v>
      </c>
      <c r="P35" s="173">
        <f t="shared" si="17"/>
        <v>141736.6596</v>
      </c>
    </row>
    <row r="36" ht="15.75" customHeight="1">
      <c r="A36" s="148" t="s">
        <v>79</v>
      </c>
      <c r="B36" s="173">
        <f>'Paschim Vihar'!B13</f>
        <v>1200997.431</v>
      </c>
      <c r="C36" s="174">
        <f t="shared" ref="C36:C42" si="18">B36/$B$43</f>
        <v>0.0561017918</v>
      </c>
      <c r="D36" s="173">
        <f t="shared" si="11"/>
        <v>182596.4872</v>
      </c>
      <c r="E36" s="176"/>
      <c r="F36" s="173">
        <f>'Paschim Vihar'!C13</f>
        <v>1227695.715</v>
      </c>
      <c r="G36" s="174">
        <f t="shared" si="12"/>
        <v>0.05406375196</v>
      </c>
      <c r="H36" s="173">
        <f t="shared" si="13"/>
        <v>178303.5052</v>
      </c>
      <c r="I36" s="176"/>
      <c r="J36" s="173">
        <f>'Paschim Vihar'!D13</f>
        <v>1067249.673</v>
      </c>
      <c r="K36" s="174">
        <f t="shared" si="14"/>
        <v>0.04861203903</v>
      </c>
      <c r="L36" s="173">
        <f t="shared" si="15"/>
        <v>152209.4793</v>
      </c>
      <c r="M36" s="176"/>
      <c r="N36" s="173">
        <f>'Paschim Vihar'!E13</f>
        <v>1018211.881</v>
      </c>
      <c r="O36" s="174">
        <f t="shared" si="16"/>
        <v>0.04769866198</v>
      </c>
      <c r="P36" s="173">
        <f t="shared" si="17"/>
        <v>145979.2252</v>
      </c>
    </row>
    <row r="37" ht="15.75" customHeight="1">
      <c r="A37" s="148" t="s">
        <v>82</v>
      </c>
      <c r="B37" s="173">
        <f>Kalkaji!B13</f>
        <v>1314817.513</v>
      </c>
      <c r="C37" s="174">
        <f t="shared" si="18"/>
        <v>0.06141863129</v>
      </c>
      <c r="D37" s="173">
        <f t="shared" si="11"/>
        <v>199901.3929</v>
      </c>
      <c r="E37" s="176"/>
      <c r="F37" s="173">
        <f>Kalkaji!C13</f>
        <v>1494375.937</v>
      </c>
      <c r="G37" s="174">
        <f t="shared" si="12"/>
        <v>0.06580748717</v>
      </c>
      <c r="H37" s="173">
        <f t="shared" si="13"/>
        <v>217034.6157</v>
      </c>
      <c r="I37" s="176"/>
      <c r="J37" s="173">
        <f>Kalkaji!D13</f>
        <v>1327281.891</v>
      </c>
      <c r="K37" s="174">
        <f t="shared" si="14"/>
        <v>0.06045621819</v>
      </c>
      <c r="L37" s="173">
        <f t="shared" si="15"/>
        <v>189294.8676</v>
      </c>
      <c r="M37" s="176"/>
      <c r="N37" s="173">
        <f>Kalkaji!E13</f>
        <v>1335642.1</v>
      </c>
      <c r="O37" s="174">
        <f t="shared" si="16"/>
        <v>0.06256884471</v>
      </c>
      <c r="P37" s="173">
        <f t="shared" si="17"/>
        <v>191488.6308</v>
      </c>
    </row>
    <row r="38" ht="15.75" customHeight="1">
      <c r="A38" s="148" t="s">
        <v>157</v>
      </c>
      <c r="B38" s="173">
        <f>CP!B13</f>
        <v>3809349.736</v>
      </c>
      <c r="C38" s="174">
        <f t="shared" si="18"/>
        <v>0.1779448818</v>
      </c>
      <c r="D38" s="173">
        <f t="shared" si="11"/>
        <v>579163.5041</v>
      </c>
      <c r="E38" s="176"/>
      <c r="F38" s="173">
        <f>CP!C13</f>
        <v>3512451.983</v>
      </c>
      <c r="G38" s="174">
        <f t="shared" si="12"/>
        <v>0.1546770348</v>
      </c>
      <c r="H38" s="173">
        <f t="shared" si="13"/>
        <v>510128.4404</v>
      </c>
      <c r="I38" s="176"/>
      <c r="J38" s="173">
        <f>CP!D13</f>
        <v>3794795.989</v>
      </c>
      <c r="K38" s="174">
        <f t="shared" si="14"/>
        <v>0.1728487489</v>
      </c>
      <c r="L38" s="173">
        <f t="shared" si="15"/>
        <v>541207.8694</v>
      </c>
      <c r="M38" s="176"/>
      <c r="N38" s="173">
        <f>CP!E13</f>
        <v>3424226.844</v>
      </c>
      <c r="O38" s="174">
        <f t="shared" si="16"/>
        <v>0.1604096769</v>
      </c>
      <c r="P38" s="173">
        <f t="shared" si="17"/>
        <v>490925.3085</v>
      </c>
    </row>
    <row r="39" ht="15.75" customHeight="1">
      <c r="A39" s="148" t="s">
        <v>81</v>
      </c>
      <c r="B39" s="173">
        <f>Rohini!B13</f>
        <v>1872584.81</v>
      </c>
      <c r="C39" s="174">
        <f t="shared" si="18"/>
        <v>0.08747342873</v>
      </c>
      <c r="D39" s="173">
        <f t="shared" si="11"/>
        <v>284702.8642</v>
      </c>
      <c r="E39" s="176"/>
      <c r="F39" s="173">
        <f>Rohini!C13</f>
        <v>2055416.586</v>
      </c>
      <c r="G39" s="174">
        <f t="shared" si="12"/>
        <v>0.09051390433</v>
      </c>
      <c r="H39" s="173">
        <f t="shared" si="13"/>
        <v>298516.9512</v>
      </c>
      <c r="I39" s="176"/>
      <c r="J39" s="173">
        <f>Rohini!D13</f>
        <v>2005516.505</v>
      </c>
      <c r="K39" s="174">
        <f t="shared" si="14"/>
        <v>0.09134905273</v>
      </c>
      <c r="L39" s="173">
        <f t="shared" si="15"/>
        <v>286023.6276</v>
      </c>
      <c r="M39" s="176"/>
      <c r="N39" s="173">
        <f>Rohini!E13</f>
        <v>1885066.413</v>
      </c>
      <c r="O39" s="174">
        <f t="shared" si="16"/>
        <v>0.08830691074</v>
      </c>
      <c r="P39" s="173">
        <f t="shared" si="17"/>
        <v>270258.6168</v>
      </c>
    </row>
    <row r="40" ht="15.75" customHeight="1">
      <c r="A40" s="148" t="s">
        <v>85</v>
      </c>
      <c r="B40" s="173">
        <f>'Model Town'!B13</f>
        <v>2125470.668</v>
      </c>
      <c r="C40" s="174">
        <f t="shared" si="18"/>
        <v>0.09928640134</v>
      </c>
      <c r="D40" s="173">
        <f t="shared" si="11"/>
        <v>323150.9642</v>
      </c>
      <c r="E40" s="176"/>
      <c r="F40" s="173">
        <f>'Model Town'!C13</f>
        <v>2056974.166</v>
      </c>
      <c r="G40" s="174">
        <f t="shared" si="12"/>
        <v>0.09058249514</v>
      </c>
      <c r="H40" s="173">
        <f t="shared" si="13"/>
        <v>298743.1653</v>
      </c>
      <c r="I40" s="176"/>
      <c r="J40" s="173">
        <f>'Model Town'!D13</f>
        <v>1801326.573</v>
      </c>
      <c r="K40" s="174">
        <f t="shared" si="14"/>
        <v>0.08204842775</v>
      </c>
      <c r="L40" s="173">
        <f t="shared" si="15"/>
        <v>256902.3788</v>
      </c>
      <c r="M40" s="176"/>
      <c r="N40" s="173">
        <f>'Model Town'!E13</f>
        <v>1733044.54</v>
      </c>
      <c r="O40" s="174">
        <f t="shared" si="16"/>
        <v>0.0811853675</v>
      </c>
      <c r="P40" s="173">
        <f t="shared" si="17"/>
        <v>248463.5114</v>
      </c>
    </row>
    <row r="41" ht="15.75" customHeight="1">
      <c r="A41" s="148" t="s">
        <v>83</v>
      </c>
      <c r="B41" s="173">
        <f>'Pacific Mall'!B13</f>
        <v>2073541.827</v>
      </c>
      <c r="C41" s="174">
        <f t="shared" si="18"/>
        <v>0.09686066672</v>
      </c>
      <c r="D41" s="173">
        <f t="shared" si="11"/>
        <v>315255.8399</v>
      </c>
      <c r="E41" s="176"/>
      <c r="F41" s="173">
        <f>'Pacific Mall'!C13</f>
        <v>2273908.524</v>
      </c>
      <c r="G41" s="174">
        <f t="shared" si="12"/>
        <v>0.1001355832</v>
      </c>
      <c r="H41" s="173">
        <f t="shared" si="13"/>
        <v>330249.4709</v>
      </c>
      <c r="I41" s="176"/>
      <c r="J41" s="173">
        <f>'Pacific Mall'!D13</f>
        <v>2353943.029</v>
      </c>
      <c r="K41" s="174">
        <f t="shared" si="14"/>
        <v>0.1072194945</v>
      </c>
      <c r="L41" s="173">
        <f t="shared" si="15"/>
        <v>335715.6736</v>
      </c>
      <c r="M41" s="176"/>
      <c r="N41" s="173">
        <f>'Pacific Mall'!E13</f>
        <v>2209857.416</v>
      </c>
      <c r="O41" s="174">
        <f t="shared" si="16"/>
        <v>0.1035219132</v>
      </c>
      <c r="P41" s="173">
        <f t="shared" si="17"/>
        <v>316823.3248</v>
      </c>
    </row>
    <row r="42" ht="15.75" customHeight="1">
      <c r="A42" s="181" t="s">
        <v>158</v>
      </c>
      <c r="B42" s="182">
        <f>'Shalimar Bagh'!B13</f>
        <v>1171328.03</v>
      </c>
      <c r="C42" s="174">
        <f t="shared" si="18"/>
        <v>0.054715855</v>
      </c>
      <c r="D42" s="173">
        <f t="shared" si="11"/>
        <v>178085.6297</v>
      </c>
      <c r="E42" s="176"/>
      <c r="F42" s="182">
        <f>'Shalimar Bagh'!C13</f>
        <v>1393363.33</v>
      </c>
      <c r="G42" s="174">
        <f t="shared" si="12"/>
        <v>0.06135921838</v>
      </c>
      <c r="H42" s="173">
        <f t="shared" si="13"/>
        <v>202364.1222</v>
      </c>
      <c r="I42" s="176"/>
      <c r="J42" s="182">
        <f>'Shalimar Bagh'!D13</f>
        <v>1163858.287</v>
      </c>
      <c r="K42" s="174">
        <f t="shared" si="14"/>
        <v>0.05301245426</v>
      </c>
      <c r="L42" s="173">
        <f t="shared" si="15"/>
        <v>165987.6487</v>
      </c>
      <c r="M42" s="176"/>
      <c r="N42" s="184">
        <f>'Shalimar Bagh'!E13</f>
        <v>1196914.649</v>
      </c>
      <c r="O42" s="174">
        <f t="shared" si="16"/>
        <v>0.05607008557</v>
      </c>
      <c r="P42" s="173">
        <f t="shared" si="17"/>
        <v>171599.5231</v>
      </c>
    </row>
    <row r="43" ht="15.75" customHeight="1">
      <c r="A43" s="176"/>
      <c r="B43" s="182">
        <f>sum(B29:B42)</f>
        <v>21407470.1</v>
      </c>
      <c r="C43" s="185">
        <f>sum(C29:C41)</f>
        <v>0.945284145</v>
      </c>
      <c r="D43" s="182">
        <f>sum(D29:D42)</f>
        <v>3254735.39</v>
      </c>
      <c r="E43" s="176"/>
      <c r="F43" s="182">
        <f>sum(F29:F42)</f>
        <v>22708296.6</v>
      </c>
      <c r="G43" s="185">
        <f>sum(G29:G41)</f>
        <v>0.9386407816</v>
      </c>
      <c r="H43" s="182">
        <f>sum(H29:H42)</f>
        <v>3298023.143</v>
      </c>
      <c r="I43" s="176"/>
      <c r="J43" s="182">
        <f>sum(J29:J42)</f>
        <v>21954431.33</v>
      </c>
      <c r="K43" s="182">
        <f>sum(K29:K41)</f>
        <v>0.9469875457</v>
      </c>
      <c r="L43" s="182">
        <f>sum(L29:L42)</f>
        <v>3131106.663</v>
      </c>
      <c r="M43" s="176"/>
      <c r="N43" s="182">
        <f>sum(N29:N42)</f>
        <v>21346759.81</v>
      </c>
      <c r="O43" s="176"/>
      <c r="P43" s="182">
        <f>sum(P29:P42)</f>
        <v>3060446.963</v>
      </c>
      <c r="R43" s="186">
        <f>L43-D26</f>
        <v>0.0000000004656612873</v>
      </c>
    </row>
    <row r="44" ht="15.75" customHeight="1">
      <c r="A44" s="167"/>
      <c r="B44" s="45" t="s">
        <v>195</v>
      </c>
      <c r="C44" s="45" t="s">
        <v>159</v>
      </c>
      <c r="D44" s="45" t="s">
        <v>161</v>
      </c>
      <c r="E44" s="176"/>
      <c r="F44" s="45" t="s">
        <v>196</v>
      </c>
      <c r="G44" s="45" t="s">
        <v>159</v>
      </c>
      <c r="H44" s="45" t="s">
        <v>161</v>
      </c>
      <c r="I44" s="176"/>
      <c r="J44" s="45" t="s">
        <v>197</v>
      </c>
      <c r="K44" s="45" t="s">
        <v>159</v>
      </c>
      <c r="L44" s="45" t="s">
        <v>161</v>
      </c>
      <c r="M44" s="176"/>
      <c r="N44" s="45" t="s">
        <v>198</v>
      </c>
      <c r="O44" s="45" t="s">
        <v>159</v>
      </c>
      <c r="P44" s="45" t="s">
        <v>161</v>
      </c>
    </row>
    <row r="45" ht="15.75" customHeight="1">
      <c r="A45" s="148" t="s">
        <v>166</v>
      </c>
      <c r="B45" s="17">
        <f>'Noida Sec - 18'!F13</f>
        <v>0</v>
      </c>
      <c r="C45" s="17" t="str">
        <f t="shared" ref="C45:C55" si="19">B45/$B$58</f>
        <v>#DIV/0!</v>
      </c>
      <c r="D45" s="17" t="str">
        <f t="shared" ref="D45:D55" si="20">C45*$F$26</f>
        <v>#DIV/0!</v>
      </c>
      <c r="E45" s="187"/>
      <c r="F45" s="17">
        <f>'Noida Sec - 18'!G13</f>
        <v>0</v>
      </c>
      <c r="G45" s="174" t="str">
        <f t="shared" ref="G45:G55" si="21">F45/$F$58</f>
        <v>#DIV/0!</v>
      </c>
      <c r="H45" s="17" t="str">
        <f t="shared" ref="H45:H55" si="22">G45*$G$26</f>
        <v>#DIV/0!</v>
      </c>
      <c r="I45" s="176"/>
      <c r="J45" s="17">
        <f>'Noida Sec - 18'!H13</f>
        <v>0</v>
      </c>
      <c r="K45" s="174" t="str">
        <f t="shared" ref="K45:K55" si="23">J45/$J$58</f>
        <v>#DIV/0!</v>
      </c>
      <c r="L45" s="173" t="str">
        <f t="shared" ref="L45:L55" si="24">K45*$H$26</f>
        <v>#DIV/0!</v>
      </c>
      <c r="M45" s="176"/>
      <c r="N45" s="173">
        <f>'Noida Sec - 18'!I13</f>
        <v>0</v>
      </c>
      <c r="O45" s="174" t="str">
        <f t="shared" ref="O45:O55" si="25">N45/$N$58</f>
        <v>#DIV/0!</v>
      </c>
      <c r="P45" s="173" t="str">
        <f t="shared" ref="P45:P55" si="26">O45*$I$26</f>
        <v>#DIV/0!</v>
      </c>
    </row>
    <row r="46" ht="15.75" customHeight="1">
      <c r="A46" s="148" t="s">
        <v>171</v>
      </c>
      <c r="B46" s="17">
        <f>'Noida Sec -143'!F13</f>
        <v>0</v>
      </c>
      <c r="C46" s="17" t="str">
        <f t="shared" si="19"/>
        <v>#DIV/0!</v>
      </c>
      <c r="D46" s="17" t="str">
        <f t="shared" si="20"/>
        <v>#DIV/0!</v>
      </c>
      <c r="E46" s="187"/>
      <c r="F46" s="17">
        <f>'Noida Sec -143'!G13</f>
        <v>0</v>
      </c>
      <c r="G46" s="174" t="str">
        <f t="shared" si="21"/>
        <v>#DIV/0!</v>
      </c>
      <c r="H46" s="17" t="str">
        <f t="shared" si="22"/>
        <v>#DIV/0!</v>
      </c>
      <c r="I46" s="176"/>
      <c r="J46" s="17">
        <f>'Noida Sec -143'!H13</f>
        <v>0</v>
      </c>
      <c r="K46" s="174" t="str">
        <f t="shared" si="23"/>
        <v>#DIV/0!</v>
      </c>
      <c r="L46" s="173" t="str">
        <f t="shared" si="24"/>
        <v>#DIV/0!</v>
      </c>
      <c r="M46" s="176"/>
      <c r="N46" s="17">
        <f>'Noida Sec -143'!I13</f>
        <v>0</v>
      </c>
      <c r="O46" s="174" t="str">
        <f t="shared" si="25"/>
        <v>#DIV/0!</v>
      </c>
      <c r="P46" s="173" t="str">
        <f t="shared" si="26"/>
        <v>#DIV/0!</v>
      </c>
    </row>
    <row r="47" ht="15.75" customHeight="1">
      <c r="A47" s="148" t="s">
        <v>175</v>
      </c>
      <c r="B47" s="17">
        <f>'Faridabad Sec15'!F13</f>
        <v>0</v>
      </c>
      <c r="C47" s="17" t="str">
        <f t="shared" si="19"/>
        <v>#DIV/0!</v>
      </c>
      <c r="D47" s="17" t="str">
        <f t="shared" si="20"/>
        <v>#DIV/0!</v>
      </c>
      <c r="E47" s="187"/>
      <c r="F47" s="17">
        <f>'Faridabad Sec15'!G13</f>
        <v>0</v>
      </c>
      <c r="G47" s="174" t="str">
        <f t="shared" si="21"/>
        <v>#DIV/0!</v>
      </c>
      <c r="H47" s="17" t="str">
        <f t="shared" si="22"/>
        <v>#DIV/0!</v>
      </c>
      <c r="I47" s="176"/>
      <c r="J47" s="17">
        <f>'Faridabad Sec15'!H13</f>
        <v>0</v>
      </c>
      <c r="K47" s="174" t="str">
        <f t="shared" si="23"/>
        <v>#DIV/0!</v>
      </c>
      <c r="L47" s="173" t="str">
        <f t="shared" si="24"/>
        <v>#DIV/0!</v>
      </c>
      <c r="M47" s="176"/>
      <c r="N47" s="17">
        <f>'Faridabad Sec15'!I13</f>
        <v>0</v>
      </c>
      <c r="O47" s="174" t="str">
        <f t="shared" si="25"/>
        <v>#DIV/0!</v>
      </c>
      <c r="P47" s="173" t="str">
        <f t="shared" si="26"/>
        <v>#DIV/0!</v>
      </c>
    </row>
    <row r="48" ht="15.75" customHeight="1">
      <c r="A48" s="148" t="s">
        <v>87</v>
      </c>
      <c r="B48" s="17">
        <f>DLF!F13</f>
        <v>0</v>
      </c>
      <c r="C48" s="17" t="str">
        <f t="shared" si="19"/>
        <v>#DIV/0!</v>
      </c>
      <c r="D48" s="17" t="str">
        <f t="shared" si="20"/>
        <v>#DIV/0!</v>
      </c>
      <c r="E48" s="187"/>
      <c r="F48" s="17">
        <f>DLF!G13</f>
        <v>0</v>
      </c>
      <c r="G48" s="174" t="str">
        <f t="shared" si="21"/>
        <v>#DIV/0!</v>
      </c>
      <c r="H48" s="17" t="str">
        <f t="shared" si="22"/>
        <v>#DIV/0!</v>
      </c>
      <c r="I48" s="176"/>
      <c r="J48" s="17">
        <f>DLF!H13</f>
        <v>0</v>
      </c>
      <c r="K48" s="174" t="str">
        <f t="shared" si="23"/>
        <v>#DIV/0!</v>
      </c>
      <c r="L48" s="173" t="str">
        <f t="shared" si="24"/>
        <v>#DIV/0!</v>
      </c>
      <c r="M48" s="176"/>
      <c r="N48" s="17">
        <f>DLF!I13</f>
        <v>0</v>
      </c>
      <c r="O48" s="174" t="str">
        <f t="shared" si="25"/>
        <v>#DIV/0!</v>
      </c>
      <c r="P48" s="173" t="str">
        <f t="shared" si="26"/>
        <v>#DIV/0!</v>
      </c>
    </row>
    <row r="49" ht="15.75" customHeight="1">
      <c r="A49" s="148" t="s">
        <v>88</v>
      </c>
      <c r="B49" s="17">
        <f>'Gurgaon Sec-15'!F13</f>
        <v>0</v>
      </c>
      <c r="C49" s="17" t="str">
        <f t="shared" si="19"/>
        <v>#DIV/0!</v>
      </c>
      <c r="D49" s="17" t="str">
        <f t="shared" si="20"/>
        <v>#DIV/0!</v>
      </c>
      <c r="E49" s="187"/>
      <c r="F49" s="17">
        <f>'Gurgaon Sec-15'!G13</f>
        <v>0</v>
      </c>
      <c r="G49" s="174" t="str">
        <f t="shared" si="21"/>
        <v>#DIV/0!</v>
      </c>
      <c r="H49" s="17" t="str">
        <f t="shared" si="22"/>
        <v>#DIV/0!</v>
      </c>
      <c r="I49" s="176"/>
      <c r="J49" s="17">
        <f>'Gurgaon Sec-15'!H13</f>
        <v>0</v>
      </c>
      <c r="K49" s="174" t="str">
        <f t="shared" si="23"/>
        <v>#DIV/0!</v>
      </c>
      <c r="L49" s="173" t="str">
        <f t="shared" si="24"/>
        <v>#DIV/0!</v>
      </c>
      <c r="M49" s="176"/>
      <c r="N49" s="17">
        <f>'Gurgaon Sec-15'!I13</f>
        <v>0</v>
      </c>
      <c r="O49" s="174" t="str">
        <f t="shared" si="25"/>
        <v>#DIV/0!</v>
      </c>
      <c r="P49" s="173" t="str">
        <f t="shared" si="26"/>
        <v>#DIV/0!</v>
      </c>
    </row>
    <row r="50" ht="15.75" customHeight="1">
      <c r="A50" s="148" t="s">
        <v>79</v>
      </c>
      <c r="B50" s="17">
        <f>'Paschim Vihar'!F13</f>
        <v>0</v>
      </c>
      <c r="C50" s="17" t="str">
        <f t="shared" si="19"/>
        <v>#DIV/0!</v>
      </c>
      <c r="D50" s="17" t="str">
        <f t="shared" si="20"/>
        <v>#DIV/0!</v>
      </c>
      <c r="E50" s="187"/>
      <c r="F50" s="17">
        <f>'Paschim Vihar'!G13</f>
        <v>0</v>
      </c>
      <c r="G50" s="174" t="str">
        <f t="shared" si="21"/>
        <v>#DIV/0!</v>
      </c>
      <c r="H50" s="17" t="str">
        <f t="shared" si="22"/>
        <v>#DIV/0!</v>
      </c>
      <c r="I50" s="176"/>
      <c r="J50" s="17">
        <f>'Paschim Vihar'!H13</f>
        <v>0</v>
      </c>
      <c r="K50" s="174" t="str">
        <f t="shared" si="23"/>
        <v>#DIV/0!</v>
      </c>
      <c r="L50" s="173" t="str">
        <f t="shared" si="24"/>
        <v>#DIV/0!</v>
      </c>
      <c r="M50" s="176"/>
      <c r="N50" s="17">
        <f>'Paschim Vihar'!I13</f>
        <v>0</v>
      </c>
      <c r="O50" s="174" t="str">
        <f t="shared" si="25"/>
        <v>#DIV/0!</v>
      </c>
      <c r="P50" s="173" t="str">
        <f t="shared" si="26"/>
        <v>#DIV/0!</v>
      </c>
    </row>
    <row r="51" ht="15.75" customHeight="1">
      <c r="A51" s="148" t="s">
        <v>82</v>
      </c>
      <c r="B51" s="17">
        <f>Kalkaji!F13</f>
        <v>0</v>
      </c>
      <c r="C51" s="17" t="str">
        <f t="shared" si="19"/>
        <v>#DIV/0!</v>
      </c>
      <c r="D51" s="17" t="str">
        <f t="shared" si="20"/>
        <v>#DIV/0!</v>
      </c>
      <c r="E51" s="187"/>
      <c r="F51" s="17">
        <f>Kalkaji!G13</f>
        <v>0</v>
      </c>
      <c r="G51" s="174" t="str">
        <f t="shared" si="21"/>
        <v>#DIV/0!</v>
      </c>
      <c r="H51" s="17" t="str">
        <f t="shared" si="22"/>
        <v>#DIV/0!</v>
      </c>
      <c r="I51" s="176"/>
      <c r="J51" s="17">
        <f>Kalkaji!H13</f>
        <v>0</v>
      </c>
      <c r="K51" s="174" t="str">
        <f t="shared" si="23"/>
        <v>#DIV/0!</v>
      </c>
      <c r="L51" s="173" t="str">
        <f t="shared" si="24"/>
        <v>#DIV/0!</v>
      </c>
      <c r="M51" s="176"/>
      <c r="N51" s="17">
        <f>Kalkaji!I13</f>
        <v>0</v>
      </c>
      <c r="O51" s="174" t="str">
        <f t="shared" si="25"/>
        <v>#DIV/0!</v>
      </c>
      <c r="P51" s="173" t="str">
        <f t="shared" si="26"/>
        <v>#DIV/0!</v>
      </c>
    </row>
    <row r="52" ht="15.75" customHeight="1">
      <c r="A52" s="148" t="s">
        <v>157</v>
      </c>
      <c r="B52" s="17">
        <f>CP!F13</f>
        <v>0</v>
      </c>
      <c r="C52" s="17" t="str">
        <f t="shared" si="19"/>
        <v>#DIV/0!</v>
      </c>
      <c r="D52" s="17" t="str">
        <f t="shared" si="20"/>
        <v>#DIV/0!</v>
      </c>
      <c r="E52" s="187"/>
      <c r="F52" s="17">
        <f>CP!G13</f>
        <v>0</v>
      </c>
      <c r="G52" s="174" t="str">
        <f t="shared" si="21"/>
        <v>#DIV/0!</v>
      </c>
      <c r="H52" s="17" t="str">
        <f t="shared" si="22"/>
        <v>#DIV/0!</v>
      </c>
      <c r="I52" s="176"/>
      <c r="J52" s="17">
        <f>CP!H13</f>
        <v>0</v>
      </c>
      <c r="K52" s="174" t="str">
        <f t="shared" si="23"/>
        <v>#DIV/0!</v>
      </c>
      <c r="L52" s="173" t="str">
        <f t="shared" si="24"/>
        <v>#DIV/0!</v>
      </c>
      <c r="M52" s="176"/>
      <c r="N52" s="17">
        <f>CP!I13</f>
        <v>0</v>
      </c>
      <c r="O52" s="174" t="str">
        <f t="shared" si="25"/>
        <v>#DIV/0!</v>
      </c>
      <c r="P52" s="173" t="str">
        <f t="shared" si="26"/>
        <v>#DIV/0!</v>
      </c>
    </row>
    <row r="53" ht="15.75" customHeight="1">
      <c r="A53" s="148" t="s">
        <v>81</v>
      </c>
      <c r="B53" s="17">
        <f>Rohini!F13</f>
        <v>0</v>
      </c>
      <c r="C53" s="17" t="str">
        <f t="shared" si="19"/>
        <v>#DIV/0!</v>
      </c>
      <c r="D53" s="17" t="str">
        <f t="shared" si="20"/>
        <v>#DIV/0!</v>
      </c>
      <c r="E53" s="187"/>
      <c r="F53" s="17">
        <f>Rohini!G13</f>
        <v>0</v>
      </c>
      <c r="G53" s="174" t="str">
        <f t="shared" si="21"/>
        <v>#DIV/0!</v>
      </c>
      <c r="H53" s="17" t="str">
        <f t="shared" si="22"/>
        <v>#DIV/0!</v>
      </c>
      <c r="I53" s="176"/>
      <c r="J53" s="17">
        <f>Rohini!H13</f>
        <v>0</v>
      </c>
      <c r="K53" s="174" t="str">
        <f t="shared" si="23"/>
        <v>#DIV/0!</v>
      </c>
      <c r="L53" s="173" t="str">
        <f t="shared" si="24"/>
        <v>#DIV/0!</v>
      </c>
      <c r="M53" s="176"/>
      <c r="N53" s="17">
        <f>Rohini!I13</f>
        <v>0</v>
      </c>
      <c r="O53" s="174" t="str">
        <f t="shared" si="25"/>
        <v>#DIV/0!</v>
      </c>
      <c r="P53" s="173" t="str">
        <f t="shared" si="26"/>
        <v>#DIV/0!</v>
      </c>
    </row>
    <row r="54" ht="15.75" customHeight="1">
      <c r="A54" s="148" t="s">
        <v>85</v>
      </c>
      <c r="B54" s="17">
        <f>'Model Town'!F13</f>
        <v>0</v>
      </c>
      <c r="C54" s="17" t="str">
        <f t="shared" si="19"/>
        <v>#DIV/0!</v>
      </c>
      <c r="D54" s="17" t="str">
        <f t="shared" si="20"/>
        <v>#DIV/0!</v>
      </c>
      <c r="E54" s="187"/>
      <c r="F54" s="17">
        <f>'Model Town'!G13</f>
        <v>0</v>
      </c>
      <c r="G54" s="174" t="str">
        <f t="shared" si="21"/>
        <v>#DIV/0!</v>
      </c>
      <c r="H54" s="17" t="str">
        <f t="shared" si="22"/>
        <v>#DIV/0!</v>
      </c>
      <c r="I54" s="176"/>
      <c r="J54" s="17">
        <f>'Model Town'!H13</f>
        <v>0</v>
      </c>
      <c r="K54" s="174" t="str">
        <f t="shared" si="23"/>
        <v>#DIV/0!</v>
      </c>
      <c r="L54" s="173" t="str">
        <f t="shared" si="24"/>
        <v>#DIV/0!</v>
      </c>
      <c r="M54" s="176"/>
      <c r="N54" s="17">
        <f>'Model Town'!I13</f>
        <v>0</v>
      </c>
      <c r="O54" s="174" t="str">
        <f t="shared" si="25"/>
        <v>#DIV/0!</v>
      </c>
      <c r="P54" s="173" t="str">
        <f t="shared" si="26"/>
        <v>#DIV/0!</v>
      </c>
    </row>
    <row r="55" ht="15.75" customHeight="1">
      <c r="A55" s="148" t="s">
        <v>83</v>
      </c>
      <c r="B55" s="17">
        <f>'Pacific Mall'!F13</f>
        <v>0</v>
      </c>
      <c r="C55" s="17" t="str">
        <f t="shared" si="19"/>
        <v>#DIV/0!</v>
      </c>
      <c r="D55" s="17" t="str">
        <f t="shared" si="20"/>
        <v>#DIV/0!</v>
      </c>
      <c r="E55" s="187"/>
      <c r="F55" s="17">
        <f>'Pacific Mall'!G13</f>
        <v>0</v>
      </c>
      <c r="G55" s="174" t="str">
        <f t="shared" si="21"/>
        <v>#DIV/0!</v>
      </c>
      <c r="H55" s="17" t="str">
        <f t="shared" si="22"/>
        <v>#DIV/0!</v>
      </c>
      <c r="I55" s="176"/>
      <c r="J55" s="17">
        <f>'Pacific Mall'!H13</f>
        <v>0</v>
      </c>
      <c r="K55" s="174" t="str">
        <f t="shared" si="23"/>
        <v>#DIV/0!</v>
      </c>
      <c r="L55" s="173" t="str">
        <f t="shared" si="24"/>
        <v>#DIV/0!</v>
      </c>
      <c r="M55" s="176"/>
      <c r="N55" s="17">
        <f>'Pacific Mall'!I13</f>
        <v>0</v>
      </c>
      <c r="O55" s="174" t="str">
        <f t="shared" si="25"/>
        <v>#DIV/0!</v>
      </c>
      <c r="P55" s="173" t="str">
        <f t="shared" si="26"/>
        <v>#DIV/0!</v>
      </c>
    </row>
    <row r="56" ht="15.75" customHeight="1">
      <c r="A56" s="176"/>
      <c r="B56" s="188"/>
      <c r="C56" s="189"/>
      <c r="D56" s="188"/>
      <c r="E56" s="187"/>
      <c r="F56" s="188"/>
      <c r="G56" s="189"/>
      <c r="H56" s="188"/>
      <c r="I56" s="176"/>
      <c r="J56" s="182"/>
      <c r="K56" s="190"/>
      <c r="L56" s="182"/>
      <c r="M56" s="176"/>
      <c r="N56" s="182"/>
      <c r="O56" s="176"/>
      <c r="P56" s="182"/>
    </row>
    <row r="57" ht="15.75" customHeight="1">
      <c r="A57" s="176"/>
      <c r="B57" s="188"/>
      <c r="C57" s="189"/>
      <c r="D57" s="188"/>
      <c r="E57" s="187"/>
      <c r="F57" s="188"/>
      <c r="G57" s="189"/>
      <c r="H57" s="188"/>
      <c r="I57" s="176"/>
      <c r="J57" s="182"/>
      <c r="K57" s="190"/>
      <c r="L57" s="182"/>
      <c r="M57" s="176"/>
      <c r="N57" s="182"/>
      <c r="O57" s="176"/>
      <c r="P57" s="182"/>
    </row>
    <row r="58" ht="15.75" customHeight="1">
      <c r="A58" s="176"/>
      <c r="B58" s="188">
        <f>sum(B45:B55)</f>
        <v>0</v>
      </c>
      <c r="C58" s="189"/>
      <c r="D58" s="188" t="str">
        <f>sum(D45:D55)</f>
        <v>#DIV/0!</v>
      </c>
      <c r="E58" s="187"/>
      <c r="F58" s="188">
        <f>sum(F45:F55)</f>
        <v>0</v>
      </c>
      <c r="G58" s="189"/>
      <c r="H58" s="188" t="str">
        <f>sum(H45:H55)</f>
        <v>#DIV/0!</v>
      </c>
      <c r="I58" s="176"/>
      <c r="J58" s="182">
        <f>sum(J45:J55)</f>
        <v>0</v>
      </c>
      <c r="K58" s="190"/>
      <c r="L58" s="182" t="str">
        <f>sum(L45:L55)</f>
        <v>#DIV/0!</v>
      </c>
      <c r="M58" s="176"/>
      <c r="N58" s="182">
        <f>sum(N45:N55)</f>
        <v>0</v>
      </c>
      <c r="O58" s="176"/>
      <c r="P58" s="182" t="str">
        <f>sum(P45:P55)</f>
        <v>#DIV/0!</v>
      </c>
    </row>
    <row r="59" ht="15.75" customHeight="1">
      <c r="A59" s="167"/>
      <c r="B59" s="45" t="s">
        <v>200</v>
      </c>
      <c r="C59" s="45" t="s">
        <v>159</v>
      </c>
      <c r="D59" s="45" t="s">
        <v>161</v>
      </c>
      <c r="E59" s="176"/>
      <c r="F59" s="191" t="s">
        <v>201</v>
      </c>
      <c r="G59" s="45" t="s">
        <v>159</v>
      </c>
      <c r="H59" s="45" t="s">
        <v>161</v>
      </c>
      <c r="I59" s="176"/>
      <c r="J59" s="45" t="s">
        <v>202</v>
      </c>
      <c r="K59" s="45" t="s">
        <v>159</v>
      </c>
      <c r="L59" s="45" t="s">
        <v>161</v>
      </c>
      <c r="M59" s="176"/>
      <c r="N59" s="45" t="s">
        <v>203</v>
      </c>
      <c r="O59" s="45" t="s">
        <v>159</v>
      </c>
      <c r="P59" s="45" t="s">
        <v>161</v>
      </c>
    </row>
    <row r="60" ht="15.75" customHeight="1">
      <c r="A60" s="148" t="s">
        <v>166</v>
      </c>
      <c r="B60" s="17">
        <f>'Noida Sec - 18'!J13</f>
        <v>0</v>
      </c>
      <c r="C60" s="174" t="str">
        <f t="shared" ref="C60:C71" si="27">B60/$B$73</f>
        <v>#DIV/0!</v>
      </c>
      <c r="D60" s="17" t="str">
        <f t="shared" ref="D60:D71" si="28">C60*$J$26</f>
        <v>#DIV/0!</v>
      </c>
      <c r="E60" s="176"/>
      <c r="F60" s="17">
        <f>'Noida Sec - 18'!K13</f>
        <v>0</v>
      </c>
      <c r="G60" s="174" t="str">
        <f t="shared" ref="G60:G71" si="29">F60/$F$73</f>
        <v>#DIV/0!</v>
      </c>
      <c r="H60" s="173" t="str">
        <f t="shared" ref="H60:H71" si="30">G60*$K$26</f>
        <v>#DIV/0!</v>
      </c>
      <c r="I60" s="176"/>
      <c r="J60" s="17">
        <f>'Noida Sec - 18'!L13</f>
        <v>0</v>
      </c>
      <c r="K60" s="174" t="str">
        <f t="shared" ref="K60:K71" si="31">J60/$J$73</f>
        <v>#DIV/0!</v>
      </c>
      <c r="L60" s="173" t="str">
        <f t="shared" ref="L60:L71" si="32">K60*$L$26</f>
        <v>#DIV/0!</v>
      </c>
      <c r="M60" s="176"/>
      <c r="N60" s="17">
        <f>'Noida Sec - 18'!M13</f>
        <v>0</v>
      </c>
      <c r="O60" s="174" t="str">
        <f t="shared" ref="O60:O72" si="33">N60/$N$73</f>
        <v>#DIV/0!</v>
      </c>
      <c r="P60" s="17" t="str">
        <f t="shared" ref="P60:P72" si="34">O60*$M$26</f>
        <v>#DIV/0!</v>
      </c>
    </row>
    <row r="61" ht="15.75" customHeight="1">
      <c r="A61" s="148" t="s">
        <v>171</v>
      </c>
      <c r="B61" s="17">
        <f>'Noida Sec -143'!J13</f>
        <v>0</v>
      </c>
      <c r="C61" s="174" t="str">
        <f t="shared" si="27"/>
        <v>#DIV/0!</v>
      </c>
      <c r="D61" s="17" t="str">
        <f t="shared" si="28"/>
        <v>#DIV/0!</v>
      </c>
      <c r="E61" s="176"/>
      <c r="F61" s="17">
        <f>'Noida Sec -143'!K13</f>
        <v>0</v>
      </c>
      <c r="G61" s="174" t="str">
        <f t="shared" si="29"/>
        <v>#DIV/0!</v>
      </c>
      <c r="H61" s="173" t="str">
        <f t="shared" si="30"/>
        <v>#DIV/0!</v>
      </c>
      <c r="I61" s="176"/>
      <c r="J61" s="17">
        <f>'Noida Sec -143'!L13</f>
        <v>0</v>
      </c>
      <c r="K61" s="174" t="str">
        <f t="shared" si="31"/>
        <v>#DIV/0!</v>
      </c>
      <c r="L61" s="173" t="str">
        <f t="shared" si="32"/>
        <v>#DIV/0!</v>
      </c>
      <c r="M61" s="176"/>
      <c r="N61" s="17">
        <f>'Noida Sec -143'!M13</f>
        <v>0</v>
      </c>
      <c r="O61" s="174" t="str">
        <f t="shared" si="33"/>
        <v>#DIV/0!</v>
      </c>
      <c r="P61" s="17" t="str">
        <f t="shared" si="34"/>
        <v>#DIV/0!</v>
      </c>
    </row>
    <row r="62" ht="15.75" customHeight="1">
      <c r="A62" s="148" t="s">
        <v>175</v>
      </c>
      <c r="B62" s="17">
        <f>'Faridabad Sec15'!J13</f>
        <v>0</v>
      </c>
      <c r="C62" s="174" t="str">
        <f t="shared" si="27"/>
        <v>#DIV/0!</v>
      </c>
      <c r="D62" s="17" t="str">
        <f t="shared" si="28"/>
        <v>#DIV/0!</v>
      </c>
      <c r="E62" s="176"/>
      <c r="F62" s="17">
        <f>'Faridabad Sec15'!K13</f>
        <v>0</v>
      </c>
      <c r="G62" s="174" t="str">
        <f t="shared" si="29"/>
        <v>#DIV/0!</v>
      </c>
      <c r="H62" s="173" t="str">
        <f t="shared" si="30"/>
        <v>#DIV/0!</v>
      </c>
      <c r="I62" s="176"/>
      <c r="J62" s="17">
        <f>'Faridabad Sec15'!L13</f>
        <v>0</v>
      </c>
      <c r="K62" s="174" t="str">
        <f t="shared" si="31"/>
        <v>#DIV/0!</v>
      </c>
      <c r="L62" s="173" t="str">
        <f t="shared" si="32"/>
        <v>#DIV/0!</v>
      </c>
      <c r="M62" s="176"/>
      <c r="N62" s="17">
        <f>'Faridabad Sec15'!M13</f>
        <v>0</v>
      </c>
      <c r="O62" s="174" t="str">
        <f t="shared" si="33"/>
        <v>#DIV/0!</v>
      </c>
      <c r="P62" s="17" t="str">
        <f t="shared" si="34"/>
        <v>#DIV/0!</v>
      </c>
    </row>
    <row r="63" ht="15.75" customHeight="1">
      <c r="A63" s="148" t="s">
        <v>87</v>
      </c>
      <c r="B63" s="17">
        <f>DLF!J13</f>
        <v>0</v>
      </c>
      <c r="C63" s="174" t="str">
        <f t="shared" si="27"/>
        <v>#DIV/0!</v>
      </c>
      <c r="D63" s="17" t="str">
        <f t="shared" si="28"/>
        <v>#DIV/0!</v>
      </c>
      <c r="E63" s="176"/>
      <c r="F63" s="17">
        <f>DLF!K13</f>
        <v>0</v>
      </c>
      <c r="G63" s="174" t="str">
        <f t="shared" si="29"/>
        <v>#DIV/0!</v>
      </c>
      <c r="H63" s="173" t="str">
        <f t="shared" si="30"/>
        <v>#DIV/0!</v>
      </c>
      <c r="I63" s="176"/>
      <c r="J63" s="17">
        <f>DLF!L13</f>
        <v>0</v>
      </c>
      <c r="K63" s="174" t="str">
        <f t="shared" si="31"/>
        <v>#DIV/0!</v>
      </c>
      <c r="L63" s="173" t="str">
        <f t="shared" si="32"/>
        <v>#DIV/0!</v>
      </c>
      <c r="M63" s="176"/>
      <c r="N63" s="17">
        <f>DLF!M13</f>
        <v>0</v>
      </c>
      <c r="O63" s="174" t="str">
        <f t="shared" si="33"/>
        <v>#DIV/0!</v>
      </c>
      <c r="P63" s="17" t="str">
        <f t="shared" si="34"/>
        <v>#DIV/0!</v>
      </c>
    </row>
    <row r="64" ht="15.75" customHeight="1">
      <c r="A64" s="148" t="s">
        <v>88</v>
      </c>
      <c r="B64" s="17">
        <f>'Gurgaon Sec-15'!J13</f>
        <v>0</v>
      </c>
      <c r="C64" s="174" t="str">
        <f t="shared" si="27"/>
        <v>#DIV/0!</v>
      </c>
      <c r="D64" s="17" t="str">
        <f t="shared" si="28"/>
        <v>#DIV/0!</v>
      </c>
      <c r="E64" s="176"/>
      <c r="F64" s="17">
        <f>'Gurgaon Sec-15'!K13</f>
        <v>0</v>
      </c>
      <c r="G64" s="174" t="str">
        <f t="shared" si="29"/>
        <v>#DIV/0!</v>
      </c>
      <c r="H64" s="173" t="str">
        <f t="shared" si="30"/>
        <v>#DIV/0!</v>
      </c>
      <c r="I64" s="176"/>
      <c r="J64" s="17">
        <f>'Gurgaon Sec-15'!L13</f>
        <v>0</v>
      </c>
      <c r="K64" s="174" t="str">
        <f t="shared" si="31"/>
        <v>#DIV/0!</v>
      </c>
      <c r="L64" s="173" t="str">
        <f t="shared" si="32"/>
        <v>#DIV/0!</v>
      </c>
      <c r="M64" s="176"/>
      <c r="N64" s="17">
        <f>'Gurgaon Sec-15'!M13</f>
        <v>0</v>
      </c>
      <c r="O64" s="174" t="str">
        <f t="shared" si="33"/>
        <v>#DIV/0!</v>
      </c>
      <c r="P64" s="17" t="str">
        <f t="shared" si="34"/>
        <v>#DIV/0!</v>
      </c>
    </row>
    <row r="65" ht="15.75" customHeight="1">
      <c r="A65" s="148" t="s">
        <v>154</v>
      </c>
      <c r="B65" s="17">
        <f>'Gurgaon Sec - 10'!J13</f>
        <v>0</v>
      </c>
      <c r="C65" s="174" t="str">
        <f t="shared" si="27"/>
        <v>#DIV/0!</v>
      </c>
      <c r="D65" s="17" t="str">
        <f t="shared" si="28"/>
        <v>#DIV/0!</v>
      </c>
      <c r="E65" s="176"/>
      <c r="F65" s="17">
        <f>'Gurgaon Sec - 10'!K13</f>
        <v>0</v>
      </c>
      <c r="G65" s="174" t="str">
        <f t="shared" si="29"/>
        <v>#DIV/0!</v>
      </c>
      <c r="H65" s="173" t="str">
        <f t="shared" si="30"/>
        <v>#DIV/0!</v>
      </c>
      <c r="I65" s="176"/>
      <c r="J65" s="17">
        <f>'Gurgaon Sec - 10'!L13</f>
        <v>0</v>
      </c>
      <c r="K65" s="174" t="str">
        <f t="shared" si="31"/>
        <v>#DIV/0!</v>
      </c>
      <c r="L65" s="173" t="str">
        <f t="shared" si="32"/>
        <v>#DIV/0!</v>
      </c>
      <c r="M65" s="176"/>
      <c r="N65" s="17">
        <f>'Gurgaon Sec - 10'!M13</f>
        <v>0</v>
      </c>
      <c r="O65" s="174" t="str">
        <f t="shared" si="33"/>
        <v>#DIV/0!</v>
      </c>
      <c r="P65" s="17" t="str">
        <f t="shared" si="34"/>
        <v>#DIV/0!</v>
      </c>
    </row>
    <row r="66" ht="15.75" customHeight="1">
      <c r="A66" s="148" t="s">
        <v>79</v>
      </c>
      <c r="B66" s="17">
        <f>'Paschim Vihar'!J13</f>
        <v>0</v>
      </c>
      <c r="C66" s="174" t="str">
        <f t="shared" si="27"/>
        <v>#DIV/0!</v>
      </c>
      <c r="D66" s="17" t="str">
        <f t="shared" si="28"/>
        <v>#DIV/0!</v>
      </c>
      <c r="E66" s="176"/>
      <c r="F66" s="17">
        <f>'Paschim Vihar'!K13</f>
        <v>0</v>
      </c>
      <c r="G66" s="174" t="str">
        <f t="shared" si="29"/>
        <v>#DIV/0!</v>
      </c>
      <c r="H66" s="173" t="str">
        <f t="shared" si="30"/>
        <v>#DIV/0!</v>
      </c>
      <c r="I66" s="176"/>
      <c r="J66" s="17">
        <f>'Paschim Vihar'!L13</f>
        <v>0</v>
      </c>
      <c r="K66" s="174" t="str">
        <f t="shared" si="31"/>
        <v>#DIV/0!</v>
      </c>
      <c r="L66" s="173" t="str">
        <f t="shared" si="32"/>
        <v>#DIV/0!</v>
      </c>
      <c r="M66" s="176"/>
      <c r="N66" s="17">
        <f>'Paschim Vihar'!M13</f>
        <v>0</v>
      </c>
      <c r="O66" s="174" t="str">
        <f t="shared" si="33"/>
        <v>#DIV/0!</v>
      </c>
      <c r="P66" s="17" t="str">
        <f t="shared" si="34"/>
        <v>#DIV/0!</v>
      </c>
    </row>
    <row r="67" ht="15.75" customHeight="1">
      <c r="A67" s="148" t="s">
        <v>82</v>
      </c>
      <c r="B67" s="17">
        <f>Kalkaji!J13</f>
        <v>0</v>
      </c>
      <c r="C67" s="174" t="str">
        <f t="shared" si="27"/>
        <v>#DIV/0!</v>
      </c>
      <c r="D67" s="17" t="str">
        <f t="shared" si="28"/>
        <v>#DIV/0!</v>
      </c>
      <c r="E67" s="176"/>
      <c r="F67" s="17">
        <f>Kalkaji!K13</f>
        <v>0</v>
      </c>
      <c r="G67" s="174" t="str">
        <f t="shared" si="29"/>
        <v>#DIV/0!</v>
      </c>
      <c r="H67" s="173" t="str">
        <f t="shared" si="30"/>
        <v>#DIV/0!</v>
      </c>
      <c r="I67" s="176"/>
      <c r="J67" s="17">
        <f>Kalkaji!L13</f>
        <v>0</v>
      </c>
      <c r="K67" s="174" t="str">
        <f t="shared" si="31"/>
        <v>#DIV/0!</v>
      </c>
      <c r="L67" s="173" t="str">
        <f t="shared" si="32"/>
        <v>#DIV/0!</v>
      </c>
      <c r="M67" s="176"/>
      <c r="N67" s="17">
        <f>Kalkaji!M13</f>
        <v>0</v>
      </c>
      <c r="O67" s="174" t="str">
        <f t="shared" si="33"/>
        <v>#DIV/0!</v>
      </c>
      <c r="P67" s="17" t="str">
        <f t="shared" si="34"/>
        <v>#DIV/0!</v>
      </c>
    </row>
    <row r="68" ht="15.75" customHeight="1">
      <c r="A68" s="148" t="s">
        <v>157</v>
      </c>
      <c r="B68" s="17">
        <f>CP!J13</f>
        <v>0</v>
      </c>
      <c r="C68" s="174" t="str">
        <f t="shared" si="27"/>
        <v>#DIV/0!</v>
      </c>
      <c r="D68" s="17" t="str">
        <f t="shared" si="28"/>
        <v>#DIV/0!</v>
      </c>
      <c r="E68" s="176"/>
      <c r="F68" s="17">
        <f>CP!K13</f>
        <v>0</v>
      </c>
      <c r="G68" s="174" t="str">
        <f t="shared" si="29"/>
        <v>#DIV/0!</v>
      </c>
      <c r="H68" s="173" t="str">
        <f t="shared" si="30"/>
        <v>#DIV/0!</v>
      </c>
      <c r="I68" s="176"/>
      <c r="J68" s="17">
        <f>CP!L13</f>
        <v>0</v>
      </c>
      <c r="K68" s="174" t="str">
        <f t="shared" si="31"/>
        <v>#DIV/0!</v>
      </c>
      <c r="L68" s="173" t="str">
        <f t="shared" si="32"/>
        <v>#DIV/0!</v>
      </c>
      <c r="M68" s="176"/>
      <c r="N68" s="17">
        <f>CP!M13</f>
        <v>0</v>
      </c>
      <c r="O68" s="174" t="str">
        <f t="shared" si="33"/>
        <v>#DIV/0!</v>
      </c>
      <c r="P68" s="17" t="str">
        <f t="shared" si="34"/>
        <v>#DIV/0!</v>
      </c>
    </row>
    <row r="69" ht="15.75" customHeight="1">
      <c r="A69" s="148" t="s">
        <v>81</v>
      </c>
      <c r="B69" s="17">
        <f>Rohini!J13</f>
        <v>0</v>
      </c>
      <c r="C69" s="174" t="str">
        <f t="shared" si="27"/>
        <v>#DIV/0!</v>
      </c>
      <c r="D69" s="17" t="str">
        <f t="shared" si="28"/>
        <v>#DIV/0!</v>
      </c>
      <c r="E69" s="176"/>
      <c r="F69" s="17">
        <f>Rohini!K13</f>
        <v>0</v>
      </c>
      <c r="G69" s="174" t="str">
        <f t="shared" si="29"/>
        <v>#DIV/0!</v>
      </c>
      <c r="H69" s="173" t="str">
        <f t="shared" si="30"/>
        <v>#DIV/0!</v>
      </c>
      <c r="I69" s="176"/>
      <c r="J69" s="17">
        <f>Rohini!L13</f>
        <v>0</v>
      </c>
      <c r="K69" s="174" t="str">
        <f t="shared" si="31"/>
        <v>#DIV/0!</v>
      </c>
      <c r="L69" s="173" t="str">
        <f t="shared" si="32"/>
        <v>#DIV/0!</v>
      </c>
      <c r="M69" s="176"/>
      <c r="N69" s="17">
        <f>Rohini!M13</f>
        <v>0</v>
      </c>
      <c r="O69" s="174" t="str">
        <f t="shared" si="33"/>
        <v>#DIV/0!</v>
      </c>
      <c r="P69" s="17" t="str">
        <f t="shared" si="34"/>
        <v>#DIV/0!</v>
      </c>
    </row>
    <row r="70" ht="15.75" customHeight="1">
      <c r="A70" s="148" t="s">
        <v>85</v>
      </c>
      <c r="B70" s="17">
        <f>'Model Town'!J13</f>
        <v>0</v>
      </c>
      <c r="C70" s="174" t="str">
        <f t="shared" si="27"/>
        <v>#DIV/0!</v>
      </c>
      <c r="D70" s="17" t="str">
        <f t="shared" si="28"/>
        <v>#DIV/0!</v>
      </c>
      <c r="E70" s="176"/>
      <c r="F70" s="17">
        <f>'Model Town'!K13</f>
        <v>0</v>
      </c>
      <c r="G70" s="174" t="str">
        <f t="shared" si="29"/>
        <v>#DIV/0!</v>
      </c>
      <c r="H70" s="173" t="str">
        <f t="shared" si="30"/>
        <v>#DIV/0!</v>
      </c>
      <c r="I70" s="176"/>
      <c r="J70" s="17">
        <f>'Model Town'!L13</f>
        <v>0</v>
      </c>
      <c r="K70" s="174" t="str">
        <f t="shared" si="31"/>
        <v>#DIV/0!</v>
      </c>
      <c r="L70" s="173" t="str">
        <f t="shared" si="32"/>
        <v>#DIV/0!</v>
      </c>
      <c r="M70" s="176"/>
      <c r="N70" s="17">
        <f>'Model Town'!M13</f>
        <v>0</v>
      </c>
      <c r="O70" s="174" t="str">
        <f t="shared" si="33"/>
        <v>#DIV/0!</v>
      </c>
      <c r="P70" s="17" t="str">
        <f t="shared" si="34"/>
        <v>#DIV/0!</v>
      </c>
    </row>
    <row r="71" ht="15.75" customHeight="1">
      <c r="A71" s="148" t="s">
        <v>83</v>
      </c>
      <c r="B71" s="17">
        <f>'Pacific Mall'!J13</f>
        <v>0</v>
      </c>
      <c r="C71" s="174" t="str">
        <f t="shared" si="27"/>
        <v>#DIV/0!</v>
      </c>
      <c r="D71" s="17" t="str">
        <f t="shared" si="28"/>
        <v>#DIV/0!</v>
      </c>
      <c r="E71" s="176"/>
      <c r="F71" s="17">
        <f>'Pacific Mall'!K13</f>
        <v>0</v>
      </c>
      <c r="G71" s="174" t="str">
        <f t="shared" si="29"/>
        <v>#DIV/0!</v>
      </c>
      <c r="H71" s="173" t="str">
        <f t="shared" si="30"/>
        <v>#DIV/0!</v>
      </c>
      <c r="I71" s="176"/>
      <c r="J71" s="17">
        <f>'Pacific Mall'!L13</f>
        <v>0</v>
      </c>
      <c r="K71" s="174" t="str">
        <f t="shared" si="31"/>
        <v>#DIV/0!</v>
      </c>
      <c r="L71" s="173" t="str">
        <f t="shared" si="32"/>
        <v>#DIV/0!</v>
      </c>
      <c r="M71" s="176"/>
      <c r="N71" s="17">
        <f>'Pacific Mall'!M13</f>
        <v>0</v>
      </c>
      <c r="O71" s="174" t="str">
        <f t="shared" si="33"/>
        <v>#DIV/0!</v>
      </c>
      <c r="P71" s="17" t="str">
        <f t="shared" si="34"/>
        <v>#DIV/0!</v>
      </c>
    </row>
    <row r="72" ht="15.75" customHeight="1">
      <c r="A72" s="181" t="s">
        <v>158</v>
      </c>
      <c r="B72" s="194"/>
      <c r="C72" s="102"/>
      <c r="D72" s="194"/>
      <c r="E72" s="176"/>
      <c r="F72" s="194"/>
      <c r="G72" s="174"/>
      <c r="H72" s="194"/>
      <c r="I72" s="176"/>
      <c r="J72" s="194"/>
      <c r="K72" s="102"/>
      <c r="L72" s="194"/>
      <c r="M72" s="176"/>
      <c r="N72" s="17">
        <f>'Shalimar Bagh'!M13</f>
        <v>0</v>
      </c>
      <c r="O72" s="174" t="str">
        <f t="shared" si="33"/>
        <v>#DIV/0!</v>
      </c>
      <c r="P72" s="17" t="str">
        <f t="shared" si="34"/>
        <v>#DIV/0!</v>
      </c>
    </row>
    <row r="73" ht="15.75" customHeight="1">
      <c r="A73" s="102"/>
      <c r="B73" s="194">
        <f>sum(B60:B71)</f>
        <v>0</v>
      </c>
      <c r="C73" s="102"/>
      <c r="D73" s="194" t="str">
        <f>sum(D60:D71)</f>
        <v>#DIV/0!</v>
      </c>
      <c r="E73" s="102"/>
      <c r="F73" s="194">
        <f>sum(F60:F71)</f>
        <v>0</v>
      </c>
      <c r="G73" s="174" t="str">
        <f>F73/$F$73</f>
        <v>#DIV/0!</v>
      </c>
      <c r="H73" s="194" t="str">
        <f>sum(H60:H71)</f>
        <v>#DIV/0!</v>
      </c>
      <c r="I73" s="102"/>
      <c r="J73" s="194">
        <f>sum(J60:J71)</f>
        <v>0</v>
      </c>
      <c r="K73" s="102"/>
      <c r="L73" s="194" t="str">
        <f>sum(L60:L71)</f>
        <v>#DIV/0!</v>
      </c>
      <c r="M73" s="102"/>
      <c r="N73" s="194">
        <f>sum(N60:N72)</f>
        <v>0</v>
      </c>
      <c r="O73" s="102"/>
      <c r="P73" s="194" t="str">
        <f>sum(P60:P72)</f>
        <v>#DIV/0!</v>
      </c>
    </row>
    <row r="74" ht="15.75" customHeight="1">
      <c r="N74" s="196">
        <f>Summary!N15</f>
        <v>0</v>
      </c>
    </row>
    <row r="75" ht="15.75" customHeight="1">
      <c r="N75" s="197">
        <f>N73-N74</f>
        <v>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>
      <c r="H86" s="199">
        <f>sum(H83:H85)</f>
        <v>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N2:O2"/>
  </mergeCells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13"/>
    <col customWidth="1" min="3" max="3" width="3.0"/>
    <col customWidth="1" min="6" max="6" width="15.38"/>
    <col customWidth="1" min="7" max="7" width="28.0"/>
  </cols>
  <sheetData>
    <row r="3">
      <c r="B3" s="150" t="s">
        <v>130</v>
      </c>
      <c r="C3" s="151"/>
      <c r="D3" s="151"/>
      <c r="E3" s="151"/>
      <c r="F3" s="151"/>
      <c r="G3" s="151"/>
      <c r="H3" s="151"/>
      <c r="I3" s="151"/>
    </row>
    <row r="4">
      <c r="B4" s="151"/>
      <c r="C4" s="151"/>
      <c r="D4" s="152" t="s">
        <v>132</v>
      </c>
      <c r="E4" s="152" t="s">
        <v>133</v>
      </c>
      <c r="F4" s="153" t="s">
        <v>70</v>
      </c>
      <c r="G4" s="151"/>
      <c r="H4" s="151"/>
      <c r="I4" s="151"/>
    </row>
    <row r="5">
      <c r="B5" s="154" t="s">
        <v>134</v>
      </c>
      <c r="C5" s="151"/>
      <c r="D5" s="151"/>
      <c r="E5" s="151"/>
      <c r="F5" s="151"/>
      <c r="G5" s="151"/>
      <c r="H5" s="151"/>
      <c r="I5" s="151"/>
    </row>
    <row r="6">
      <c r="B6" s="155" t="s">
        <v>135</v>
      </c>
      <c r="C6" s="151"/>
      <c r="D6" s="156">
        <f>37960+97962+90766+444894+170797+196229+282526+170687+123232+198355+275653+319810+320386+197466+19313+169898</f>
        <v>3115934</v>
      </c>
      <c r="E6" s="157">
        <v>4316115.0</v>
      </c>
      <c r="F6" s="156">
        <f t="shared" ref="F6:F12" si="1">D6+E6</f>
        <v>7432049</v>
      </c>
      <c r="G6" s="151"/>
      <c r="H6" s="151"/>
      <c r="I6" s="151"/>
    </row>
    <row r="7">
      <c r="B7" s="155" t="s">
        <v>141</v>
      </c>
      <c r="C7" s="151"/>
      <c r="D7" s="156">
        <f>523310</f>
        <v>523310</v>
      </c>
      <c r="E7" s="157">
        <v>697502.0</v>
      </c>
      <c r="F7" s="156">
        <f t="shared" si="1"/>
        <v>1220812</v>
      </c>
      <c r="G7" s="151"/>
      <c r="H7" s="151"/>
      <c r="I7" s="151"/>
    </row>
    <row r="8">
      <c r="B8" s="155" t="s">
        <v>143</v>
      </c>
      <c r="C8" s="151"/>
      <c r="D8" s="156">
        <f>362354+887749+108007</f>
        <v>1358110</v>
      </c>
      <c r="E8" s="157">
        <v>534752.0</v>
      </c>
      <c r="F8" s="156">
        <f t="shared" si="1"/>
        <v>1892862</v>
      </c>
      <c r="G8" s="151"/>
      <c r="H8" s="151"/>
      <c r="I8" s="151"/>
    </row>
    <row r="9">
      <c r="B9" s="153" t="s">
        <v>144</v>
      </c>
      <c r="C9" s="151"/>
      <c r="D9" s="160">
        <f t="shared" ref="D9:E9" si="2">sum(D6:D8)</f>
        <v>4997354</v>
      </c>
      <c r="E9" s="160">
        <f t="shared" si="2"/>
        <v>5548369</v>
      </c>
      <c r="F9" s="161">
        <f t="shared" si="1"/>
        <v>10545723</v>
      </c>
      <c r="G9" s="151"/>
      <c r="H9" s="151"/>
      <c r="I9" s="151"/>
    </row>
    <row r="10">
      <c r="B10" s="155" t="s">
        <v>146</v>
      </c>
      <c r="C10" s="151"/>
      <c r="D10" s="157">
        <v>303660.0</v>
      </c>
      <c r="E10" s="157">
        <v>368635.0</v>
      </c>
      <c r="F10" s="162">
        <f t="shared" si="1"/>
        <v>672295</v>
      </c>
      <c r="G10" s="155" t="s">
        <v>147</v>
      </c>
      <c r="I10" s="151"/>
    </row>
    <row r="11">
      <c r="B11" s="155" t="s">
        <v>148</v>
      </c>
      <c r="C11" s="151"/>
      <c r="D11" s="157">
        <v>72676.0</v>
      </c>
      <c r="E11" s="157">
        <v>89228.0</v>
      </c>
      <c r="F11" s="162">
        <f t="shared" si="1"/>
        <v>161904</v>
      </c>
      <c r="G11" s="155" t="s">
        <v>147</v>
      </c>
      <c r="I11" s="151"/>
    </row>
    <row r="12">
      <c r="B12" s="155" t="s">
        <v>149</v>
      </c>
      <c r="C12" s="151"/>
      <c r="D12" s="160">
        <f t="shared" ref="D12:E12" si="3">D9+D10+D11</f>
        <v>5373690</v>
      </c>
      <c r="E12" s="160">
        <f t="shared" si="3"/>
        <v>6006232</v>
      </c>
      <c r="F12" s="161">
        <f t="shared" si="1"/>
        <v>11379922</v>
      </c>
      <c r="G12" s="151"/>
      <c r="H12" s="151"/>
      <c r="I12" s="151"/>
    </row>
    <row r="13">
      <c r="B13" s="151"/>
      <c r="C13" s="151"/>
      <c r="D13" s="151"/>
      <c r="E13" s="162"/>
      <c r="F13" s="151"/>
      <c r="G13" s="151"/>
      <c r="H13" s="151"/>
      <c r="I13" s="151"/>
    </row>
    <row r="14">
      <c r="B14" s="155" t="s">
        <v>150</v>
      </c>
      <c r="C14" s="151"/>
      <c r="D14" s="157">
        <v>130000.0</v>
      </c>
      <c r="E14" s="157">
        <v>144395.0</v>
      </c>
      <c r="F14" s="162">
        <f>D14+E14</f>
        <v>274395</v>
      </c>
      <c r="G14" s="155" t="s">
        <v>147</v>
      </c>
    </row>
    <row r="15">
      <c r="B15" s="151"/>
      <c r="C15" s="151"/>
      <c r="D15" s="151"/>
      <c r="E15" s="162"/>
      <c r="F15" s="151"/>
      <c r="G15" s="151"/>
      <c r="H15" s="151"/>
      <c r="I15" s="151"/>
    </row>
    <row r="16">
      <c r="B16" s="155" t="s">
        <v>151</v>
      </c>
      <c r="C16" s="151"/>
      <c r="D16" s="157">
        <f t="shared" ref="D16:E16" si="4">D12+D14</f>
        <v>5503690</v>
      </c>
      <c r="E16" s="157">
        <f t="shared" si="4"/>
        <v>6150627</v>
      </c>
      <c r="F16" s="161">
        <f>D16+E16</f>
        <v>11654317</v>
      </c>
      <c r="G16" s="151"/>
      <c r="H16" s="151"/>
      <c r="I16" s="151"/>
    </row>
    <row r="17">
      <c r="B17" s="151"/>
      <c r="C17" s="151"/>
      <c r="D17" s="151"/>
      <c r="E17" s="156"/>
      <c r="F17" s="151"/>
      <c r="G17" s="151"/>
      <c r="H17" s="151"/>
      <c r="I17" s="151"/>
    </row>
    <row r="18">
      <c r="B18" s="151"/>
      <c r="C18" s="151"/>
      <c r="D18" s="151"/>
      <c r="E18" s="151"/>
      <c r="F18" s="151"/>
      <c r="G18" s="151"/>
      <c r="H18" s="151"/>
      <c r="I18" s="151"/>
    </row>
  </sheetData>
  <mergeCells count="3">
    <mergeCell ref="G10:H10"/>
    <mergeCell ref="G11:H11"/>
    <mergeCell ref="G14:I1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88"/>
    <col customWidth="1" min="5" max="5" width="14.75"/>
    <col customWidth="1" min="14" max="14" width="14.63"/>
    <col customWidth="1" min="15" max="16" width="17.0"/>
  </cols>
  <sheetData>
    <row r="1">
      <c r="A1" s="164" t="s">
        <v>152</v>
      </c>
      <c r="B1" s="164" t="s">
        <v>89</v>
      </c>
      <c r="C1" s="164" t="s">
        <v>90</v>
      </c>
      <c r="D1" s="166" t="s">
        <v>87</v>
      </c>
      <c r="E1" s="166" t="s">
        <v>153</v>
      </c>
      <c r="F1" s="166" t="s">
        <v>88</v>
      </c>
      <c r="G1" s="166" t="s">
        <v>154</v>
      </c>
      <c r="H1" s="166" t="s">
        <v>155</v>
      </c>
      <c r="I1" s="164" t="s">
        <v>79</v>
      </c>
      <c r="J1" s="164" t="s">
        <v>82</v>
      </c>
      <c r="K1" s="164" t="s">
        <v>85</v>
      </c>
      <c r="L1" s="164" t="s">
        <v>81</v>
      </c>
      <c r="M1" s="164" t="s">
        <v>83</v>
      </c>
      <c r="N1" s="164" t="s">
        <v>157</v>
      </c>
      <c r="O1" s="164" t="s">
        <v>158</v>
      </c>
      <c r="P1" s="164" t="s">
        <v>160</v>
      </c>
      <c r="Q1" s="164" t="s">
        <v>143</v>
      </c>
      <c r="R1" s="164" t="s">
        <v>70</v>
      </c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</row>
    <row r="2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71" t="s">
        <v>165</v>
      </c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</row>
    <row r="3">
      <c r="A3" s="164" t="s">
        <v>29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</row>
    <row r="4">
      <c r="A4" s="171" t="s">
        <v>167</v>
      </c>
      <c r="B4" s="172">
        <v>4000.0</v>
      </c>
      <c r="C4" s="172">
        <v>4000.0</v>
      </c>
      <c r="D4" s="172"/>
      <c r="E4" s="172"/>
      <c r="F4" s="172"/>
      <c r="G4" s="172"/>
      <c r="H4" s="172"/>
      <c r="I4" s="171">
        <v>5000.0</v>
      </c>
      <c r="J4" s="171">
        <v>6000.0</v>
      </c>
      <c r="K4" s="171">
        <v>4000.0</v>
      </c>
      <c r="L4" s="171">
        <v>5000.0</v>
      </c>
      <c r="M4" s="169"/>
      <c r="N4" s="171">
        <v>5000.0</v>
      </c>
      <c r="O4" s="169"/>
      <c r="P4" s="171">
        <v>7500.0</v>
      </c>
      <c r="Q4" s="169"/>
      <c r="R4" s="175">
        <f t="shared" ref="R4:R26" si="1">sum(B4:Q4)</f>
        <v>40500</v>
      </c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</row>
    <row r="5">
      <c r="A5" s="171" t="s">
        <v>168</v>
      </c>
      <c r="B5" s="172">
        <v>3012.0</v>
      </c>
      <c r="C5" s="172">
        <v>1506.0</v>
      </c>
      <c r="D5" s="172"/>
      <c r="E5" s="172">
        <v>1382.0</v>
      </c>
      <c r="F5" s="172">
        <v>1800.0</v>
      </c>
      <c r="G5" s="172">
        <v>1700.0</v>
      </c>
      <c r="H5" s="172">
        <v>318.0</v>
      </c>
      <c r="I5" s="171">
        <v>500.0</v>
      </c>
      <c r="J5" s="171">
        <v>790.0</v>
      </c>
      <c r="K5" s="171">
        <f>2000+2468</f>
        <v>4468</v>
      </c>
      <c r="L5" s="171">
        <v>1000.0</v>
      </c>
      <c r="M5" s="171">
        <v>268.0</v>
      </c>
      <c r="N5" s="177">
        <f>5625+2500</f>
        <v>8125</v>
      </c>
      <c r="O5" s="171"/>
      <c r="P5" s="171"/>
      <c r="Q5" s="169"/>
      <c r="R5" s="175">
        <f t="shared" si="1"/>
        <v>24869</v>
      </c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</row>
    <row r="6">
      <c r="A6" s="171" t="s">
        <v>108</v>
      </c>
      <c r="B6" s="172">
        <v>2748.98</v>
      </c>
      <c r="C6" s="172">
        <v>1205.0</v>
      </c>
      <c r="D6" s="172">
        <v>3705.94</v>
      </c>
      <c r="E6" s="172">
        <v>928.36</v>
      </c>
      <c r="F6" s="172">
        <v>2805.0</v>
      </c>
      <c r="G6" s="172">
        <v>385.42</v>
      </c>
      <c r="H6" s="172">
        <v>1762.15</v>
      </c>
      <c r="I6" s="171">
        <v>1217.0</v>
      </c>
      <c r="J6" s="171">
        <v>1464.0</v>
      </c>
      <c r="K6" s="171">
        <v>1565.0</v>
      </c>
      <c r="L6" s="171">
        <v>2234.0</v>
      </c>
      <c r="M6" s="171">
        <v>3990.0</v>
      </c>
      <c r="N6" s="171">
        <v>4401.0</v>
      </c>
      <c r="O6" s="171">
        <v>1673.5</v>
      </c>
      <c r="P6" s="169"/>
      <c r="Q6" s="169"/>
      <c r="R6" s="175">
        <f t="shared" si="1"/>
        <v>30085.35</v>
      </c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</row>
    <row r="7">
      <c r="A7" s="171" t="s">
        <v>169</v>
      </c>
      <c r="B7" s="172">
        <v>1121.0</v>
      </c>
      <c r="C7" s="172">
        <v>1298.91</v>
      </c>
      <c r="D7" s="172">
        <v>753.0</v>
      </c>
      <c r="E7" s="172">
        <v>667.0</v>
      </c>
      <c r="F7" s="172">
        <v>1230.0</v>
      </c>
      <c r="G7" s="172"/>
      <c r="H7" s="172">
        <v>210.0</v>
      </c>
      <c r="I7" s="171">
        <v>390.0</v>
      </c>
      <c r="J7" s="171">
        <v>1849.0</v>
      </c>
      <c r="K7" s="171"/>
      <c r="L7" s="171">
        <v>781.44</v>
      </c>
      <c r="M7" s="171">
        <v>230.0</v>
      </c>
      <c r="N7" s="169"/>
      <c r="O7" s="169"/>
      <c r="P7" s="169"/>
      <c r="Q7" s="169"/>
      <c r="R7" s="175">
        <f t="shared" si="1"/>
        <v>8530.35</v>
      </c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</row>
    <row r="8">
      <c r="A8" s="171" t="s">
        <v>112</v>
      </c>
      <c r="B8" s="172">
        <v>924.48</v>
      </c>
      <c r="C8" s="172">
        <v>946.93</v>
      </c>
      <c r="D8" s="172">
        <v>1662.0</v>
      </c>
      <c r="E8" s="172">
        <v>444.89</v>
      </c>
      <c r="F8" s="172">
        <v>1667.74</v>
      </c>
      <c r="G8" s="172">
        <v>459.92</v>
      </c>
      <c r="H8" s="172">
        <v>1598.33</v>
      </c>
      <c r="I8" s="171">
        <v>382.34</v>
      </c>
      <c r="J8" s="171">
        <v>453.6</v>
      </c>
      <c r="K8" s="171">
        <v>813.95</v>
      </c>
      <c r="L8" s="171">
        <v>1291.58</v>
      </c>
      <c r="M8" s="171">
        <v>1725.0</v>
      </c>
      <c r="N8" s="171">
        <v>2813.0</v>
      </c>
      <c r="O8" s="171">
        <v>807.91</v>
      </c>
      <c r="P8" s="169"/>
      <c r="Q8" s="171">
        <v>141.6</v>
      </c>
      <c r="R8" s="175">
        <f t="shared" si="1"/>
        <v>16133.27</v>
      </c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</row>
    <row r="9">
      <c r="A9" s="171" t="s">
        <v>106</v>
      </c>
      <c r="B9" s="172">
        <f>1000+240</f>
        <v>1240</v>
      </c>
      <c r="C9" s="172">
        <v>805.0</v>
      </c>
      <c r="D9" s="172">
        <v>400.0</v>
      </c>
      <c r="E9" s="172"/>
      <c r="F9" s="172"/>
      <c r="G9" s="172"/>
      <c r="H9" s="172"/>
      <c r="I9" s="171">
        <v>1018.0</v>
      </c>
      <c r="J9" s="171">
        <v>2000.0</v>
      </c>
      <c r="K9" s="171" t="s">
        <v>170</v>
      </c>
      <c r="L9" s="171">
        <v>600.0</v>
      </c>
      <c r="M9" s="171">
        <v>3500.0</v>
      </c>
      <c r="N9" s="171">
        <v>1830.0</v>
      </c>
      <c r="O9" s="171">
        <v>480.0</v>
      </c>
      <c r="P9" s="171"/>
      <c r="Q9" s="169"/>
      <c r="R9" s="175">
        <f t="shared" si="1"/>
        <v>11873</v>
      </c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</row>
    <row r="10">
      <c r="A10" s="171" t="s">
        <v>103</v>
      </c>
      <c r="B10" s="172"/>
      <c r="C10" s="172"/>
      <c r="D10" s="172"/>
      <c r="E10" s="172"/>
      <c r="F10" s="172"/>
      <c r="G10" s="172"/>
      <c r="H10" s="172"/>
      <c r="I10" s="169"/>
      <c r="J10" s="169"/>
      <c r="K10" s="169"/>
      <c r="L10" s="169"/>
      <c r="M10" s="169"/>
      <c r="N10" s="169"/>
      <c r="O10" s="169"/>
      <c r="P10" s="169"/>
      <c r="Q10" s="169"/>
      <c r="R10" s="175">
        <f t="shared" si="1"/>
        <v>0</v>
      </c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</row>
    <row r="11">
      <c r="A11" s="171" t="s">
        <v>102</v>
      </c>
      <c r="B11" s="172"/>
      <c r="C11" s="172">
        <v>890.0</v>
      </c>
      <c r="D11" s="172"/>
      <c r="E11" s="172"/>
      <c r="F11" s="172">
        <v>990.0</v>
      </c>
      <c r="G11" s="172">
        <v>1260.0</v>
      </c>
      <c r="H11" s="172"/>
      <c r="I11" s="169"/>
      <c r="J11" s="169"/>
      <c r="K11" s="171">
        <v>1850.0</v>
      </c>
      <c r="L11" s="169"/>
      <c r="M11" s="169"/>
      <c r="N11" s="171">
        <v>1585.0</v>
      </c>
      <c r="O11" s="171">
        <v>300.0</v>
      </c>
      <c r="P11" s="171">
        <v>5004.0</v>
      </c>
      <c r="Q11" s="169"/>
      <c r="R11" s="175">
        <f t="shared" si="1"/>
        <v>11879</v>
      </c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</row>
    <row r="12">
      <c r="A12" s="171" t="s">
        <v>172</v>
      </c>
      <c r="B12" s="172">
        <v>1361.94</v>
      </c>
      <c r="C12" s="172">
        <v>51.45</v>
      </c>
      <c r="D12" s="172"/>
      <c r="E12" s="172"/>
      <c r="F12" s="172"/>
      <c r="G12" s="172"/>
      <c r="H12" s="172"/>
      <c r="I12" s="171">
        <v>136.3</v>
      </c>
      <c r="J12" s="171">
        <v>377.38</v>
      </c>
      <c r="K12" s="171"/>
      <c r="L12" s="171">
        <v>141.75</v>
      </c>
      <c r="M12" s="171"/>
      <c r="N12" s="171">
        <v>51.66</v>
      </c>
      <c r="O12" s="171">
        <v>170.1</v>
      </c>
      <c r="P12" s="169"/>
      <c r="Q12" s="169"/>
      <c r="R12" s="175">
        <f t="shared" si="1"/>
        <v>2290.58</v>
      </c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</row>
    <row r="13">
      <c r="A13" s="171" t="s">
        <v>173</v>
      </c>
      <c r="B13" s="172"/>
      <c r="C13" s="172"/>
      <c r="D13" s="172"/>
      <c r="E13" s="172"/>
      <c r="F13" s="172"/>
      <c r="G13" s="172"/>
      <c r="H13" s="172"/>
      <c r="I13" s="169"/>
      <c r="J13" s="169"/>
      <c r="K13" s="169"/>
      <c r="L13" s="169"/>
      <c r="M13" s="169"/>
      <c r="N13" s="171">
        <v>4810.0</v>
      </c>
      <c r="O13" s="169"/>
      <c r="P13" s="169"/>
      <c r="Q13" s="169"/>
      <c r="R13" s="175">
        <f t="shared" si="1"/>
        <v>4810</v>
      </c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</row>
    <row r="14">
      <c r="A14" s="171" t="s">
        <v>174</v>
      </c>
      <c r="B14" s="172">
        <v>2979.0</v>
      </c>
      <c r="C14" s="172">
        <v>565.0</v>
      </c>
      <c r="D14" s="172">
        <v>1002.0</v>
      </c>
      <c r="E14" s="172">
        <v>1765.0</v>
      </c>
      <c r="F14" s="172">
        <v>812.0</v>
      </c>
      <c r="G14" s="172">
        <v>505.0</v>
      </c>
      <c r="H14" s="172">
        <v>210.0</v>
      </c>
      <c r="I14" s="171">
        <f>1094+1960</f>
        <v>3054</v>
      </c>
      <c r="J14" s="171">
        <v>2309.0</v>
      </c>
      <c r="K14" s="171">
        <v>2394.0</v>
      </c>
      <c r="L14" s="171">
        <v>4670.0</v>
      </c>
      <c r="M14" s="171">
        <v>1116.0</v>
      </c>
      <c r="N14" s="171">
        <v>1091.0</v>
      </c>
      <c r="O14" s="171">
        <v>840.0</v>
      </c>
      <c r="P14" s="169"/>
      <c r="Q14" s="169"/>
      <c r="R14" s="175">
        <f t="shared" si="1"/>
        <v>23312</v>
      </c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</row>
    <row r="15">
      <c r="A15" s="171" t="s">
        <v>98</v>
      </c>
      <c r="B15" s="172">
        <v>129.7</v>
      </c>
      <c r="C15" s="175">
        <f>514.71</f>
        <v>514.71</v>
      </c>
      <c r="D15" s="172"/>
      <c r="E15" s="172">
        <v>961.68</v>
      </c>
      <c r="F15" s="172">
        <v>922.23</v>
      </c>
      <c r="G15" s="172">
        <v>201.6</v>
      </c>
      <c r="H15" s="172"/>
      <c r="I15" s="171"/>
      <c r="J15" s="171">
        <v>204.0</v>
      </c>
      <c r="K15" s="169"/>
      <c r="L15" s="169"/>
      <c r="M15" s="169"/>
      <c r="N15" s="171">
        <v>110.0</v>
      </c>
      <c r="O15" s="169"/>
      <c r="P15" s="169"/>
      <c r="Q15" s="169"/>
      <c r="R15" s="175">
        <f t="shared" si="1"/>
        <v>3043.92</v>
      </c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</row>
    <row r="16">
      <c r="A16" s="171" t="s">
        <v>111</v>
      </c>
      <c r="B16" s="172">
        <v>255.0</v>
      </c>
      <c r="C16" s="172">
        <v>105.0</v>
      </c>
      <c r="D16" s="172">
        <v>790.0</v>
      </c>
      <c r="E16" s="172">
        <v>180.0</v>
      </c>
      <c r="F16" s="172">
        <v>500.0</v>
      </c>
      <c r="G16" s="172">
        <v>570.0</v>
      </c>
      <c r="H16" s="172">
        <v>120.0</v>
      </c>
      <c r="I16" s="171">
        <v>244.0</v>
      </c>
      <c r="J16" s="171">
        <v>315.0</v>
      </c>
      <c r="K16" s="171">
        <v>410.0</v>
      </c>
      <c r="L16" s="171">
        <v>320.0</v>
      </c>
      <c r="M16" s="171">
        <v>250.0</v>
      </c>
      <c r="N16" s="171">
        <v>200.0</v>
      </c>
      <c r="O16" s="171">
        <v>455.0</v>
      </c>
      <c r="P16" s="171">
        <v>31263.0</v>
      </c>
      <c r="Q16" s="169"/>
      <c r="R16" s="175">
        <f t="shared" si="1"/>
        <v>35977</v>
      </c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</row>
    <row r="17">
      <c r="A17" s="171" t="s">
        <v>176</v>
      </c>
      <c r="B17" s="172">
        <v>57.82</v>
      </c>
      <c r="C17" s="172">
        <v>0.0</v>
      </c>
      <c r="D17" s="172"/>
      <c r="E17" s="172"/>
      <c r="F17" s="172"/>
      <c r="G17" s="172"/>
      <c r="H17" s="172"/>
      <c r="I17" s="169"/>
      <c r="J17" s="169"/>
      <c r="K17" s="169"/>
      <c r="L17" s="169"/>
      <c r="M17" s="169"/>
      <c r="N17" s="169"/>
      <c r="O17" s="169"/>
      <c r="P17" s="169"/>
      <c r="Q17" s="169"/>
      <c r="R17" s="175">
        <f t="shared" si="1"/>
        <v>57.82</v>
      </c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</row>
    <row r="18">
      <c r="A18" s="171" t="s">
        <v>177</v>
      </c>
      <c r="B18" s="172"/>
      <c r="C18" s="172"/>
      <c r="D18" s="172"/>
      <c r="E18" s="172"/>
      <c r="F18" s="172"/>
      <c r="G18" s="172"/>
      <c r="H18" s="172">
        <v>-139.59</v>
      </c>
      <c r="I18" s="169"/>
      <c r="J18" s="169"/>
      <c r="K18" s="169"/>
      <c r="L18" s="169"/>
      <c r="M18" s="169"/>
      <c r="N18" s="169"/>
      <c r="O18" s="169"/>
      <c r="P18" s="171"/>
      <c r="Q18" s="171">
        <f>367.85-742</f>
        <v>-374.15</v>
      </c>
      <c r="R18" s="175">
        <f t="shared" si="1"/>
        <v>-513.74</v>
      </c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</row>
    <row r="19">
      <c r="A19" s="171" t="s">
        <v>178</v>
      </c>
      <c r="B19" s="172"/>
      <c r="C19" s="172"/>
      <c r="D19" s="172"/>
      <c r="E19" s="172"/>
      <c r="F19" s="172"/>
      <c r="G19" s="172"/>
      <c r="H19" s="172"/>
      <c r="I19" s="169"/>
      <c r="J19" s="169"/>
      <c r="K19" s="169"/>
      <c r="L19" s="169"/>
      <c r="M19" s="169"/>
      <c r="N19" s="169"/>
      <c r="O19" s="169"/>
      <c r="P19" s="169"/>
      <c r="Q19" s="169"/>
      <c r="R19" s="175">
        <f t="shared" si="1"/>
        <v>0</v>
      </c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</row>
    <row r="20">
      <c r="A20" s="171" t="s">
        <v>179</v>
      </c>
      <c r="B20" s="172"/>
      <c r="C20" s="172"/>
      <c r="D20" s="172"/>
      <c r="E20" s="172"/>
      <c r="F20" s="172"/>
      <c r="G20" s="172"/>
      <c r="H20" s="172"/>
      <c r="I20" s="169"/>
      <c r="J20" s="169"/>
      <c r="K20" s="169"/>
      <c r="L20" s="169"/>
      <c r="M20" s="169"/>
      <c r="N20" s="169"/>
      <c r="O20" s="169"/>
      <c r="P20" s="169"/>
      <c r="Q20" s="169"/>
      <c r="R20" s="175">
        <f t="shared" si="1"/>
        <v>0</v>
      </c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</row>
    <row r="21">
      <c r="A21" s="171" t="s">
        <v>180</v>
      </c>
      <c r="B21" s="172">
        <v>2429.0</v>
      </c>
      <c r="C21" s="172"/>
      <c r="D21" s="172">
        <v>710.0</v>
      </c>
      <c r="E21" s="172"/>
      <c r="F21" s="172">
        <v>7889.0</v>
      </c>
      <c r="G21" s="172">
        <v>120.0</v>
      </c>
      <c r="H21" s="172">
        <v>100.0</v>
      </c>
      <c r="I21" s="171">
        <v>330.0</v>
      </c>
      <c r="J21" s="171">
        <v>1487.0</v>
      </c>
      <c r="K21" s="171">
        <v>373.0</v>
      </c>
      <c r="L21" s="171">
        <v>3000.0</v>
      </c>
      <c r="M21" s="171">
        <v>3000.0</v>
      </c>
      <c r="N21" s="171">
        <v>10580.0</v>
      </c>
      <c r="O21" s="171">
        <v>403.0</v>
      </c>
      <c r="P21" s="171">
        <v>12110.0</v>
      </c>
      <c r="Q21" s="171">
        <v>52448.0</v>
      </c>
      <c r="R21" s="175">
        <f t="shared" si="1"/>
        <v>94979</v>
      </c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</row>
    <row r="22">
      <c r="A22" s="171" t="s">
        <v>181</v>
      </c>
      <c r="B22" s="172"/>
      <c r="C22" s="172"/>
      <c r="D22" s="175"/>
      <c r="E22" s="172"/>
      <c r="F22" s="172"/>
      <c r="G22" s="172"/>
      <c r="H22" s="172"/>
      <c r="I22" s="169"/>
      <c r="J22" s="169"/>
      <c r="K22" s="169"/>
      <c r="L22" s="169"/>
      <c r="M22" s="169"/>
      <c r="N22" s="169"/>
      <c r="O22" s="169"/>
      <c r="P22" s="169"/>
      <c r="Q22" s="169"/>
      <c r="R22" s="175">
        <f t="shared" si="1"/>
        <v>0</v>
      </c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</row>
    <row r="23">
      <c r="A23" s="171" t="s">
        <v>27</v>
      </c>
      <c r="B23" s="172"/>
      <c r="C23" s="172"/>
      <c r="D23" s="172"/>
      <c r="E23" s="172"/>
      <c r="F23" s="172"/>
      <c r="G23" s="172"/>
      <c r="H23" s="172"/>
      <c r="I23" s="169"/>
      <c r="J23" s="169"/>
      <c r="K23" s="169"/>
      <c r="L23" s="169"/>
      <c r="M23" s="169"/>
      <c r="N23" s="169"/>
      <c r="O23" s="169"/>
      <c r="P23" s="169"/>
      <c r="Q23" s="169"/>
      <c r="R23" s="175">
        <f t="shared" si="1"/>
        <v>0</v>
      </c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</row>
    <row r="24">
      <c r="A24" s="171" t="s">
        <v>182</v>
      </c>
      <c r="B24" s="172"/>
      <c r="C24" s="172"/>
      <c r="D24" s="172">
        <v>187.0</v>
      </c>
      <c r="E24" s="172">
        <v>1240.0</v>
      </c>
      <c r="F24" s="172"/>
      <c r="G24" s="172"/>
      <c r="H24" s="172"/>
      <c r="I24" s="169"/>
      <c r="J24" s="171">
        <v>150.0</v>
      </c>
      <c r="K24" s="171">
        <v>720.0</v>
      </c>
      <c r="L24" s="171"/>
      <c r="M24" s="169"/>
      <c r="N24" s="171">
        <v>6010.0</v>
      </c>
      <c r="O24" s="169"/>
      <c r="P24" s="171">
        <v>400.0</v>
      </c>
      <c r="Q24" s="169"/>
      <c r="R24" s="175">
        <f t="shared" si="1"/>
        <v>8707</v>
      </c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</row>
    <row r="25">
      <c r="A25" s="171" t="s">
        <v>183</v>
      </c>
      <c r="B25" s="172">
        <v>683.0</v>
      </c>
      <c r="C25" s="172"/>
      <c r="D25" s="172">
        <v>1489.0</v>
      </c>
      <c r="E25" s="172">
        <v>720.0</v>
      </c>
      <c r="F25" s="172">
        <v>7220.0</v>
      </c>
      <c r="G25" s="172">
        <v>330.0</v>
      </c>
      <c r="H25" s="172">
        <f>562+290</f>
        <v>852</v>
      </c>
      <c r="I25" s="171">
        <f>771+1146</f>
        <v>1917</v>
      </c>
      <c r="J25" s="171"/>
      <c r="K25" s="171">
        <v>1368.0</v>
      </c>
      <c r="L25" s="171">
        <v>500.0</v>
      </c>
      <c r="M25" s="171">
        <v>656.0</v>
      </c>
      <c r="N25" s="171">
        <v>4291.0</v>
      </c>
      <c r="O25" s="171">
        <v>200.0</v>
      </c>
      <c r="P25" s="171">
        <v>5579.0</v>
      </c>
      <c r="Q25" s="169"/>
      <c r="R25" s="175">
        <f t="shared" si="1"/>
        <v>25805</v>
      </c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</row>
    <row r="26">
      <c r="A26" s="171" t="s">
        <v>184</v>
      </c>
      <c r="B26" s="172"/>
      <c r="C26" s="172"/>
      <c r="D26" s="172"/>
      <c r="E26" s="172"/>
      <c r="F26" s="172"/>
      <c r="G26" s="172"/>
      <c r="H26" s="172"/>
      <c r="I26" s="169"/>
      <c r="J26" s="169"/>
      <c r="K26" s="169"/>
      <c r="L26" s="169"/>
      <c r="M26" s="169"/>
      <c r="N26" s="169"/>
      <c r="O26" s="169"/>
      <c r="P26" s="171">
        <v>36674.0</v>
      </c>
      <c r="Q26" s="169"/>
      <c r="R26" s="175">
        <f t="shared" si="1"/>
        <v>36674</v>
      </c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</row>
    <row r="27">
      <c r="A27" s="171" t="s">
        <v>185</v>
      </c>
      <c r="B27" s="172"/>
      <c r="C27" s="172"/>
      <c r="D27" s="172"/>
      <c r="E27" s="172"/>
      <c r="F27" s="172"/>
      <c r="G27" s="172"/>
      <c r="H27" s="172">
        <v>784.0</v>
      </c>
      <c r="I27" s="171"/>
      <c r="J27" s="171"/>
      <c r="K27" s="169"/>
      <c r="L27" s="171"/>
      <c r="M27" s="169"/>
      <c r="N27" s="171"/>
      <c r="O27" s="171"/>
      <c r="P27" s="171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</row>
    <row r="28">
      <c r="A28" s="171" t="s">
        <v>95</v>
      </c>
      <c r="B28" s="172"/>
      <c r="C28" s="172"/>
      <c r="D28" s="172"/>
      <c r="E28" s="172"/>
      <c r="F28" s="172"/>
      <c r="G28" s="172"/>
      <c r="H28" s="172"/>
      <c r="I28" s="171">
        <v>276.0</v>
      </c>
      <c r="J28" s="171">
        <v>267.0</v>
      </c>
      <c r="K28" s="171">
        <v>156.0</v>
      </c>
      <c r="L28" s="171"/>
      <c r="M28" s="171">
        <v>800.0</v>
      </c>
      <c r="N28" s="171">
        <v>1784.0</v>
      </c>
      <c r="O28" s="171">
        <v>1046.0</v>
      </c>
      <c r="P28" s="171">
        <v>11166.0</v>
      </c>
      <c r="Q28" s="169"/>
      <c r="R28" s="175">
        <f t="shared" ref="R28:R36" si="2">sum(B28:Q28)</f>
        <v>15495</v>
      </c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</row>
    <row r="29">
      <c r="A29" s="171" t="s">
        <v>186</v>
      </c>
      <c r="B29" s="172"/>
      <c r="C29" s="172"/>
      <c r="D29" s="172"/>
      <c r="E29" s="172"/>
      <c r="F29" s="172"/>
      <c r="G29" s="172"/>
      <c r="H29" s="172"/>
      <c r="I29" s="172">
        <v>1000.0</v>
      </c>
      <c r="J29" s="172"/>
      <c r="K29" s="172"/>
      <c r="L29" s="172"/>
      <c r="M29" s="172"/>
      <c r="N29" s="172"/>
      <c r="O29" s="172"/>
      <c r="P29" s="171">
        <f>82538+25598+20680</f>
        <v>128816</v>
      </c>
      <c r="Q29" s="169"/>
      <c r="R29" s="175">
        <f t="shared" si="2"/>
        <v>129816</v>
      </c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</row>
    <row r="30">
      <c r="A30" s="171" t="s">
        <v>187</v>
      </c>
      <c r="B30" s="172"/>
      <c r="C30" s="172"/>
      <c r="D30" s="172"/>
      <c r="E30" s="172">
        <v>996.0</v>
      </c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69"/>
      <c r="Q30" s="169"/>
      <c r="R30" s="175">
        <f t="shared" si="2"/>
        <v>996</v>
      </c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</row>
    <row r="31">
      <c r="A31" s="171" t="s">
        <v>188</v>
      </c>
      <c r="B31" s="172"/>
      <c r="C31" s="172"/>
      <c r="D31" s="172"/>
      <c r="E31" s="172"/>
      <c r="F31" s="172"/>
      <c r="G31" s="172"/>
      <c r="H31" s="172"/>
      <c r="I31" s="171"/>
      <c r="J31" s="172"/>
      <c r="K31" s="172">
        <v>5481.0</v>
      </c>
      <c r="L31" s="172"/>
      <c r="M31" s="172"/>
      <c r="N31" s="169"/>
      <c r="O31" s="169"/>
      <c r="P31" s="171">
        <v>8999.0</v>
      </c>
      <c r="Q31" s="169"/>
      <c r="R31" s="175">
        <f t="shared" si="2"/>
        <v>14480</v>
      </c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</row>
    <row r="32">
      <c r="A32" s="171" t="s">
        <v>189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1">
        <v>700.0</v>
      </c>
      <c r="M32" s="172"/>
      <c r="N32" s="172"/>
      <c r="O32" s="172"/>
      <c r="P32" s="172"/>
      <c r="Q32" s="169"/>
      <c r="R32" s="175">
        <f t="shared" si="2"/>
        <v>700</v>
      </c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</row>
    <row r="33">
      <c r="A33" s="171" t="s">
        <v>190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1"/>
      <c r="R33" s="175">
        <f t="shared" si="2"/>
        <v>0</v>
      </c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</row>
    <row r="34">
      <c r="A34" s="171" t="s">
        <v>191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1">
        <v>1600.0</v>
      </c>
      <c r="N34" s="172"/>
      <c r="O34" s="172"/>
      <c r="P34" s="171">
        <v>10000.0</v>
      </c>
      <c r="Q34" s="169"/>
      <c r="R34" s="175">
        <f t="shared" si="2"/>
        <v>11600</v>
      </c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</row>
    <row r="35">
      <c r="A35" s="171" t="s">
        <v>192</v>
      </c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1">
        <v>1600.0</v>
      </c>
      <c r="Q35" s="169"/>
      <c r="R35" s="175">
        <f t="shared" si="2"/>
        <v>1600</v>
      </c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</row>
    <row r="36">
      <c r="A36" s="171" t="s">
        <v>193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1"/>
      <c r="Q36" s="169"/>
      <c r="R36" s="175">
        <f t="shared" si="2"/>
        <v>0</v>
      </c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</row>
    <row r="37">
      <c r="A37" s="169"/>
      <c r="B37" s="180">
        <f t="shared" ref="B37:R37" si="3">sum(B4:B36)</f>
        <v>20941.92</v>
      </c>
      <c r="C37" s="180">
        <f t="shared" si="3"/>
        <v>11888</v>
      </c>
      <c r="D37" s="180">
        <f t="shared" si="3"/>
        <v>10698.94</v>
      </c>
      <c r="E37" s="180">
        <f t="shared" si="3"/>
        <v>9284.93</v>
      </c>
      <c r="F37" s="180">
        <f t="shared" si="3"/>
        <v>25835.97</v>
      </c>
      <c r="G37" s="180">
        <f t="shared" si="3"/>
        <v>5531.94</v>
      </c>
      <c r="H37" s="180">
        <f t="shared" si="3"/>
        <v>5814.89</v>
      </c>
      <c r="I37" s="180">
        <f t="shared" si="3"/>
        <v>15464.64</v>
      </c>
      <c r="J37" s="180">
        <f t="shared" si="3"/>
        <v>17665.98</v>
      </c>
      <c r="K37" s="180">
        <f t="shared" si="3"/>
        <v>23598.95</v>
      </c>
      <c r="L37" s="180">
        <f t="shared" si="3"/>
        <v>20238.77</v>
      </c>
      <c r="M37" s="180">
        <f t="shared" si="3"/>
        <v>17135</v>
      </c>
      <c r="N37" s="180">
        <f t="shared" si="3"/>
        <v>52681.66</v>
      </c>
      <c r="O37" s="180">
        <f t="shared" si="3"/>
        <v>6375.51</v>
      </c>
      <c r="P37" s="180">
        <f t="shared" si="3"/>
        <v>259111</v>
      </c>
      <c r="Q37" s="180">
        <f t="shared" si="3"/>
        <v>52215.45</v>
      </c>
      <c r="R37" s="180">
        <f t="shared" si="3"/>
        <v>553699.55</v>
      </c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</row>
    <row r="38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</row>
    <row r="39">
      <c r="A39" s="171"/>
      <c r="B39" s="164" t="s">
        <v>89</v>
      </c>
      <c r="C39" s="164" t="s">
        <v>90</v>
      </c>
      <c r="D39" s="166" t="s">
        <v>87</v>
      </c>
      <c r="E39" s="166" t="s">
        <v>153</v>
      </c>
      <c r="F39" s="166" t="s">
        <v>88</v>
      </c>
      <c r="G39" s="166" t="s">
        <v>154</v>
      </c>
      <c r="H39" s="166" t="s">
        <v>155</v>
      </c>
      <c r="I39" s="164" t="s">
        <v>79</v>
      </c>
      <c r="J39" s="164" t="s">
        <v>82</v>
      </c>
      <c r="K39" s="164" t="s">
        <v>85</v>
      </c>
      <c r="L39" s="164" t="s">
        <v>81</v>
      </c>
      <c r="M39" s="164" t="s">
        <v>83</v>
      </c>
      <c r="N39" s="164" t="s">
        <v>157</v>
      </c>
      <c r="O39" s="164" t="s">
        <v>158</v>
      </c>
      <c r="P39" s="164" t="s">
        <v>160</v>
      </c>
      <c r="Q39" s="164" t="s">
        <v>143</v>
      </c>
      <c r="R39" s="164" t="s">
        <v>70</v>
      </c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</row>
    <row r="40">
      <c r="A40" s="171" t="s">
        <v>28</v>
      </c>
      <c r="B40" s="172">
        <f>32684</f>
        <v>32684</v>
      </c>
      <c r="C40" s="172">
        <v>8056.0</v>
      </c>
      <c r="D40" s="175"/>
      <c r="E40" s="172">
        <f>3160+4130</f>
        <v>7290</v>
      </c>
      <c r="F40" s="172">
        <v>4130.0</v>
      </c>
      <c r="G40" s="172">
        <f>370+4130</f>
        <v>4500</v>
      </c>
      <c r="H40" s="172">
        <v>18360.0</v>
      </c>
      <c r="I40" s="172">
        <v>4130.0</v>
      </c>
      <c r="J40" s="171">
        <v>260.0</v>
      </c>
      <c r="K40" s="171">
        <v>7080.0</v>
      </c>
      <c r="L40" s="171">
        <f>320+4130</f>
        <v>4450</v>
      </c>
      <c r="M40" s="171"/>
      <c r="N40" s="171">
        <v>4412.0</v>
      </c>
      <c r="O40" s="171">
        <v>15034.0</v>
      </c>
      <c r="P40" s="171">
        <v>100268.0</v>
      </c>
      <c r="Q40" s="171"/>
      <c r="R40" s="175">
        <f t="shared" ref="R40:R42" si="4">sum(B40:Q40)</f>
        <v>210654</v>
      </c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</row>
    <row r="41">
      <c r="A41" s="171" t="s">
        <v>194</v>
      </c>
      <c r="B41" s="172">
        <f>35400/12</f>
        <v>2950</v>
      </c>
      <c r="C41" s="172"/>
      <c r="D41" s="172"/>
      <c r="E41" s="172">
        <f>6050+9086</f>
        <v>15136</v>
      </c>
      <c r="F41" s="172">
        <v>6290.0</v>
      </c>
      <c r="G41" s="172"/>
      <c r="H41" s="172">
        <v>21004.0</v>
      </c>
      <c r="I41" s="171">
        <v>7077.0</v>
      </c>
      <c r="J41" s="172"/>
      <c r="K41" s="172">
        <v>3540.0</v>
      </c>
      <c r="L41" s="171"/>
      <c r="M41" s="171"/>
      <c r="N41" s="171">
        <f>4720+3500</f>
        <v>8220</v>
      </c>
      <c r="O41" s="171">
        <v>6042.0</v>
      </c>
      <c r="P41" s="171">
        <v>13570.0</v>
      </c>
      <c r="Q41" s="171"/>
      <c r="R41" s="175">
        <f t="shared" si="4"/>
        <v>83829</v>
      </c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</row>
    <row r="42">
      <c r="A42" s="169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1"/>
      <c r="M42" s="171"/>
      <c r="N42" s="171"/>
      <c r="O42" s="171"/>
      <c r="P42" s="171"/>
      <c r="Q42" s="171"/>
      <c r="R42" s="175">
        <f t="shared" si="4"/>
        <v>0</v>
      </c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</row>
    <row r="43">
      <c r="A43" s="169"/>
      <c r="B43" s="180">
        <f>sum(B41:B42)</f>
        <v>2950</v>
      </c>
      <c r="C43" s="180">
        <f t="shared" ref="C43:R43" si="5">sum(C40:C42)</f>
        <v>8056</v>
      </c>
      <c r="D43" s="180">
        <f t="shared" si="5"/>
        <v>0</v>
      </c>
      <c r="E43" s="180">
        <f t="shared" si="5"/>
        <v>22426</v>
      </c>
      <c r="F43" s="180">
        <f t="shared" si="5"/>
        <v>10420</v>
      </c>
      <c r="G43" s="180">
        <f t="shared" si="5"/>
        <v>4500</v>
      </c>
      <c r="H43" s="180">
        <f t="shared" si="5"/>
        <v>39364</v>
      </c>
      <c r="I43" s="180">
        <f t="shared" si="5"/>
        <v>11207</v>
      </c>
      <c r="J43" s="180">
        <f t="shared" si="5"/>
        <v>260</v>
      </c>
      <c r="K43" s="180">
        <f t="shared" si="5"/>
        <v>10620</v>
      </c>
      <c r="L43" s="180">
        <f t="shared" si="5"/>
        <v>4450</v>
      </c>
      <c r="M43" s="180">
        <f t="shared" si="5"/>
        <v>0</v>
      </c>
      <c r="N43" s="180">
        <f t="shared" si="5"/>
        <v>12632</v>
      </c>
      <c r="O43" s="180">
        <f t="shared" si="5"/>
        <v>21076</v>
      </c>
      <c r="P43" s="180">
        <f t="shared" si="5"/>
        <v>113838</v>
      </c>
      <c r="Q43" s="180">
        <f t="shared" si="5"/>
        <v>0</v>
      </c>
      <c r="R43" s="180">
        <f t="shared" si="5"/>
        <v>294483</v>
      </c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</row>
    <row r="44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</row>
    <row r="4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</row>
    <row r="46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</row>
    <row r="47">
      <c r="A47" s="183">
        <v>46199.0</v>
      </c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</row>
    <row r="48">
      <c r="A48" s="164" t="s">
        <v>152</v>
      </c>
      <c r="B48" s="164" t="s">
        <v>89</v>
      </c>
      <c r="C48" s="164" t="s">
        <v>90</v>
      </c>
      <c r="D48" s="166" t="s">
        <v>87</v>
      </c>
      <c r="E48" s="166" t="s">
        <v>153</v>
      </c>
      <c r="F48" s="166" t="s">
        <v>88</v>
      </c>
      <c r="G48" s="166" t="s">
        <v>154</v>
      </c>
      <c r="H48" s="166" t="s">
        <v>155</v>
      </c>
      <c r="I48" s="164" t="s">
        <v>79</v>
      </c>
      <c r="J48" s="164" t="s">
        <v>82</v>
      </c>
      <c r="K48" s="164" t="s">
        <v>85</v>
      </c>
      <c r="L48" s="164" t="s">
        <v>81</v>
      </c>
      <c r="M48" s="164" t="s">
        <v>83</v>
      </c>
      <c r="N48" s="164" t="s">
        <v>157</v>
      </c>
      <c r="O48" s="164" t="s">
        <v>158</v>
      </c>
      <c r="P48" s="164" t="s">
        <v>160</v>
      </c>
      <c r="Q48" s="164" t="s">
        <v>143</v>
      </c>
      <c r="R48" s="164" t="s">
        <v>70</v>
      </c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</row>
    <row r="49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</row>
    <row r="50">
      <c r="A50" s="164" t="s">
        <v>29</v>
      </c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</row>
    <row r="51">
      <c r="A51" s="171" t="s">
        <v>167</v>
      </c>
      <c r="B51" s="172">
        <v>4000.0</v>
      </c>
      <c r="C51" s="172">
        <v>0.0</v>
      </c>
      <c r="D51" s="172">
        <v>0.0</v>
      </c>
      <c r="E51" s="172">
        <v>0.0</v>
      </c>
      <c r="F51" s="172">
        <v>0.0</v>
      </c>
      <c r="G51" s="172">
        <v>0.0</v>
      </c>
      <c r="H51" s="172">
        <v>0.0</v>
      </c>
      <c r="I51" s="171">
        <v>12500.0</v>
      </c>
      <c r="J51" s="171">
        <v>6000.0</v>
      </c>
      <c r="K51" s="171">
        <v>4000.0</v>
      </c>
      <c r="L51" s="171">
        <v>5000.0</v>
      </c>
      <c r="M51" s="169"/>
      <c r="N51" s="171">
        <v>5000.0</v>
      </c>
      <c r="O51" s="169"/>
      <c r="P51" s="169">
        <f>7500+37500</f>
        <v>45000</v>
      </c>
      <c r="Q51" s="169"/>
      <c r="R51" s="175">
        <f t="shared" ref="R51:R80" si="6">sum(B51:Q51)</f>
        <v>81500</v>
      </c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</row>
    <row r="52">
      <c r="A52" s="171" t="s">
        <v>168</v>
      </c>
      <c r="B52" s="172">
        <v>595.0</v>
      </c>
      <c r="C52" s="172">
        <v>1133.0</v>
      </c>
      <c r="D52" s="172">
        <v>1873.0</v>
      </c>
      <c r="E52" s="172">
        <v>1345.0</v>
      </c>
      <c r="F52" s="172">
        <v>1500.0</v>
      </c>
      <c r="G52" s="172">
        <v>1500.0</v>
      </c>
      <c r="H52" s="172">
        <v>0.0</v>
      </c>
      <c r="I52" s="171">
        <v>570.0</v>
      </c>
      <c r="J52" s="171">
        <v>1974.0</v>
      </c>
      <c r="K52" s="171">
        <v>2425.0</v>
      </c>
      <c r="L52" s="171">
        <v>1743.0</v>
      </c>
      <c r="M52" s="171">
        <v>402.0</v>
      </c>
      <c r="N52" s="171">
        <v>2610.0</v>
      </c>
      <c r="O52" s="171">
        <v>2880.0</v>
      </c>
      <c r="P52" s="171">
        <v>4500.0</v>
      </c>
      <c r="Q52" s="169"/>
      <c r="R52" s="175">
        <f t="shared" si="6"/>
        <v>25050</v>
      </c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</row>
    <row r="53">
      <c r="A53" s="171" t="s">
        <v>108</v>
      </c>
      <c r="B53" s="172">
        <v>2406.59</v>
      </c>
      <c r="C53" s="172">
        <v>1188.67</v>
      </c>
      <c r="D53" s="172">
        <v>2738.69</v>
      </c>
      <c r="E53" s="172">
        <v>1052.32</v>
      </c>
      <c r="F53" s="175">
        <f>2686.18</f>
        <v>2686.18</v>
      </c>
      <c r="G53" s="172">
        <v>663.88</v>
      </c>
      <c r="H53" s="172">
        <v>1498.0</v>
      </c>
      <c r="I53" s="171">
        <v>1050.0</v>
      </c>
      <c r="J53" s="171">
        <v>1065.54</v>
      </c>
      <c r="K53" s="171">
        <v>2485.0</v>
      </c>
      <c r="L53" s="171">
        <v>2773.4</v>
      </c>
      <c r="M53" s="171">
        <v>3713.0</v>
      </c>
      <c r="N53" s="171">
        <v>6422.0</v>
      </c>
      <c r="O53" s="169">
        <f>2256</f>
        <v>2256</v>
      </c>
      <c r="P53" s="169"/>
      <c r="Q53" s="169"/>
      <c r="R53" s="175">
        <f t="shared" si="6"/>
        <v>31999.27</v>
      </c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</row>
    <row r="54">
      <c r="A54" s="171" t="s">
        <v>169</v>
      </c>
      <c r="B54" s="172">
        <v>1556.09</v>
      </c>
      <c r="C54" s="172">
        <v>963.04</v>
      </c>
      <c r="D54" s="175">
        <f>118</f>
        <v>118</v>
      </c>
      <c r="E54" s="172">
        <v>522.68</v>
      </c>
      <c r="F54" s="172">
        <v>370.53</v>
      </c>
      <c r="G54" s="172">
        <v>120.0</v>
      </c>
      <c r="H54" s="172">
        <v>238.27</v>
      </c>
      <c r="I54" s="171">
        <v>1215.0</v>
      </c>
      <c r="J54" s="171">
        <v>580.73</v>
      </c>
      <c r="K54" s="171">
        <v>268.0</v>
      </c>
      <c r="L54" s="171">
        <v>495.0</v>
      </c>
      <c r="M54" s="171">
        <v>330.0</v>
      </c>
      <c r="N54" s="169"/>
      <c r="O54" s="169"/>
      <c r="P54" s="169"/>
      <c r="Q54" s="169"/>
      <c r="R54" s="175">
        <f t="shared" si="6"/>
        <v>6777.34</v>
      </c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</row>
    <row r="55">
      <c r="A55" s="171" t="s">
        <v>112</v>
      </c>
      <c r="B55" s="172">
        <v>1414.07</v>
      </c>
      <c r="C55" s="172">
        <v>625.39</v>
      </c>
      <c r="D55" s="172">
        <v>1650.0</v>
      </c>
      <c r="E55" s="172">
        <v>508.18</v>
      </c>
      <c r="F55" s="175">
        <f>1357.91</f>
        <v>1357.91</v>
      </c>
      <c r="G55" s="172">
        <v>687.21</v>
      </c>
      <c r="H55" s="172">
        <v>1089.18</v>
      </c>
      <c r="I55" s="171">
        <v>720.71</v>
      </c>
      <c r="J55" s="171">
        <v>486.96</v>
      </c>
      <c r="K55" s="171">
        <v>486.3</v>
      </c>
      <c r="L55" s="171">
        <v>1391.16</v>
      </c>
      <c r="M55" s="171">
        <v>1735.0</v>
      </c>
      <c r="N55" s="171">
        <v>2670.0</v>
      </c>
      <c r="O55" s="171">
        <v>863.08</v>
      </c>
      <c r="P55" s="169"/>
      <c r="Q55" s="169"/>
      <c r="R55" s="175">
        <f t="shared" si="6"/>
        <v>15685.15</v>
      </c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</row>
    <row r="56">
      <c r="A56" s="171" t="s">
        <v>106</v>
      </c>
      <c r="B56" s="172">
        <v>2215.0</v>
      </c>
      <c r="C56" s="172">
        <v>0.0</v>
      </c>
      <c r="D56" s="172">
        <v>0.0</v>
      </c>
      <c r="E56" s="172">
        <v>850.0</v>
      </c>
      <c r="F56" s="172">
        <v>0.0</v>
      </c>
      <c r="G56" s="172">
        <v>0.0</v>
      </c>
      <c r="H56" s="172">
        <v>0.0</v>
      </c>
      <c r="I56" s="171">
        <v>1861.0</v>
      </c>
      <c r="J56" s="171">
        <v>1350.0</v>
      </c>
      <c r="K56" s="171">
        <v>2600.0</v>
      </c>
      <c r="L56" s="171">
        <v>500.0</v>
      </c>
      <c r="M56" s="169">
        <f>11750</f>
        <v>11750</v>
      </c>
      <c r="N56" s="171">
        <v>1700.0</v>
      </c>
      <c r="O56" s="171">
        <v>1000.0</v>
      </c>
      <c r="P56" s="171">
        <v>918.0</v>
      </c>
      <c r="Q56" s="169"/>
      <c r="R56" s="175">
        <f t="shared" si="6"/>
        <v>24744</v>
      </c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</row>
    <row r="57">
      <c r="A57" s="171" t="s">
        <v>103</v>
      </c>
      <c r="B57" s="172">
        <v>2000.0</v>
      </c>
      <c r="C57" s="172">
        <v>0.0</v>
      </c>
      <c r="D57" s="172">
        <v>0.0</v>
      </c>
      <c r="E57" s="172">
        <v>0.0</v>
      </c>
      <c r="F57" s="172">
        <v>0.0</v>
      </c>
      <c r="G57" s="172">
        <v>0.0</v>
      </c>
      <c r="H57" s="172">
        <v>0.0</v>
      </c>
      <c r="I57" s="169"/>
      <c r="J57" s="169"/>
      <c r="K57" s="169"/>
      <c r="L57" s="169"/>
      <c r="M57" s="169"/>
      <c r="N57" s="169"/>
      <c r="O57" s="169"/>
      <c r="P57" s="169"/>
      <c r="Q57" s="169"/>
      <c r="R57" s="175">
        <f t="shared" si="6"/>
        <v>2000</v>
      </c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</row>
    <row r="58">
      <c r="A58" s="171" t="s">
        <v>102</v>
      </c>
      <c r="B58" s="172">
        <v>0.0</v>
      </c>
      <c r="C58" s="172">
        <v>920.0</v>
      </c>
      <c r="D58" s="172">
        <v>0.0</v>
      </c>
      <c r="E58" s="172">
        <v>0.0</v>
      </c>
      <c r="F58" s="172">
        <v>730.0</v>
      </c>
      <c r="G58" s="172">
        <v>1220.0</v>
      </c>
      <c r="H58" s="172">
        <v>0.0</v>
      </c>
      <c r="I58" s="169"/>
      <c r="J58" s="169"/>
      <c r="K58" s="169"/>
      <c r="L58" s="169"/>
      <c r="M58" s="169"/>
      <c r="N58" s="169"/>
      <c r="O58" s="171">
        <v>830.0</v>
      </c>
      <c r="P58" s="169">
        <f>3044</f>
        <v>3044</v>
      </c>
      <c r="Q58" s="169"/>
      <c r="R58" s="175">
        <f t="shared" si="6"/>
        <v>6744</v>
      </c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</row>
    <row r="59">
      <c r="A59" s="171" t="s">
        <v>172</v>
      </c>
      <c r="B59" s="172">
        <v>670.0</v>
      </c>
      <c r="C59" s="172">
        <v>223.0</v>
      </c>
      <c r="D59" s="172">
        <v>38.0</v>
      </c>
      <c r="E59" s="172">
        <v>0.0</v>
      </c>
      <c r="F59" s="172">
        <v>43.0</v>
      </c>
      <c r="G59" s="172">
        <v>196.0</v>
      </c>
      <c r="H59" s="172">
        <v>114.0</v>
      </c>
      <c r="I59" s="171">
        <v>630.31</v>
      </c>
      <c r="J59" s="169"/>
      <c r="K59" s="171">
        <v>100.17</v>
      </c>
      <c r="L59" s="171">
        <v>343.99</v>
      </c>
      <c r="M59" s="171">
        <v>168.84</v>
      </c>
      <c r="N59" s="169"/>
      <c r="O59" s="171">
        <v>362.5</v>
      </c>
      <c r="P59" s="169"/>
      <c r="Q59" s="169"/>
      <c r="R59" s="175">
        <f t="shared" si="6"/>
        <v>2889.81</v>
      </c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</row>
    <row r="60">
      <c r="A60" s="171" t="s">
        <v>174</v>
      </c>
      <c r="B60" s="172">
        <v>601.0</v>
      </c>
      <c r="C60" s="172">
        <v>0.0</v>
      </c>
      <c r="D60" s="172">
        <v>98.91</v>
      </c>
      <c r="E60" s="172">
        <v>0.0</v>
      </c>
      <c r="F60" s="172">
        <v>117.81</v>
      </c>
      <c r="G60" s="172">
        <v>0.0</v>
      </c>
      <c r="H60" s="172">
        <v>148.0</v>
      </c>
      <c r="I60" s="169"/>
      <c r="J60" s="169"/>
      <c r="K60" s="169"/>
      <c r="L60" s="169"/>
      <c r="M60" s="169"/>
      <c r="N60" s="169"/>
      <c r="O60" s="169"/>
      <c r="P60" s="169"/>
      <c r="Q60" s="169"/>
      <c r="R60" s="175">
        <f t="shared" si="6"/>
        <v>965.72</v>
      </c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</row>
    <row r="61">
      <c r="A61" s="171" t="s">
        <v>98</v>
      </c>
      <c r="B61" s="175">
        <f>50+109</f>
        <v>159</v>
      </c>
      <c r="C61" s="175">
        <f>64+302</f>
        <v>366</v>
      </c>
      <c r="D61" s="172">
        <v>0.0</v>
      </c>
      <c r="E61" s="172">
        <v>0.0</v>
      </c>
      <c r="F61" s="172">
        <v>0.0</v>
      </c>
      <c r="G61" s="172">
        <v>0.0</v>
      </c>
      <c r="H61" s="172">
        <v>0.0</v>
      </c>
      <c r="I61" s="171">
        <v>69.3</v>
      </c>
      <c r="J61" s="171">
        <v>510.36</v>
      </c>
      <c r="K61" s="169"/>
      <c r="L61" s="169"/>
      <c r="M61" s="169"/>
      <c r="N61" s="169"/>
      <c r="O61" s="169"/>
      <c r="P61" s="169"/>
      <c r="Q61" s="169"/>
      <c r="R61" s="175">
        <f t="shared" si="6"/>
        <v>1104.66</v>
      </c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</row>
    <row r="62">
      <c r="A62" s="171" t="s">
        <v>111</v>
      </c>
      <c r="B62" s="172">
        <v>210.0</v>
      </c>
      <c r="C62" s="172">
        <v>0.0</v>
      </c>
      <c r="D62" s="172">
        <v>80.0</v>
      </c>
      <c r="E62" s="172">
        <v>109.0</v>
      </c>
      <c r="F62" s="172">
        <v>480.0</v>
      </c>
      <c r="G62" s="172">
        <v>350.0</v>
      </c>
      <c r="H62" s="172">
        <v>0.0</v>
      </c>
      <c r="I62" s="171">
        <v>120.0</v>
      </c>
      <c r="J62" s="171">
        <v>900.0</v>
      </c>
      <c r="K62" s="169"/>
      <c r="L62" s="169"/>
      <c r="M62" s="169"/>
      <c r="N62" s="171">
        <v>985.0</v>
      </c>
      <c r="O62" s="169"/>
      <c r="P62" s="169">
        <f>1624+1380</f>
        <v>3004</v>
      </c>
      <c r="Q62" s="169"/>
      <c r="R62" s="175">
        <f t="shared" si="6"/>
        <v>6238</v>
      </c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</row>
    <row r="63">
      <c r="A63" s="171" t="s">
        <v>176</v>
      </c>
      <c r="B63" s="172">
        <v>59.0</v>
      </c>
      <c r="C63" s="172">
        <v>0.0</v>
      </c>
      <c r="D63" s="172">
        <v>0.0</v>
      </c>
      <c r="E63" s="172">
        <v>0.0</v>
      </c>
      <c r="F63" s="172">
        <v>0.0</v>
      </c>
      <c r="G63" s="172">
        <v>0.0</v>
      </c>
      <c r="H63" s="172">
        <v>0.0</v>
      </c>
      <c r="I63" s="169"/>
      <c r="J63" s="169"/>
      <c r="K63" s="169"/>
      <c r="L63" s="169"/>
      <c r="M63" s="169"/>
      <c r="N63" s="169"/>
      <c r="O63" s="169"/>
      <c r="P63" s="169"/>
      <c r="Q63" s="169"/>
      <c r="R63" s="175">
        <f t="shared" si="6"/>
        <v>59</v>
      </c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</row>
    <row r="64">
      <c r="A64" s="171" t="s">
        <v>177</v>
      </c>
      <c r="B64" s="172">
        <v>82.52</v>
      </c>
      <c r="C64" s="172">
        <v>0.0</v>
      </c>
      <c r="D64" s="172">
        <v>0.0</v>
      </c>
      <c r="E64" s="172">
        <v>0.0</v>
      </c>
      <c r="F64" s="172">
        <v>0.0</v>
      </c>
      <c r="G64" s="172">
        <v>0.0</v>
      </c>
      <c r="H64" s="172">
        <v>0.0</v>
      </c>
      <c r="I64" s="169"/>
      <c r="J64" s="169"/>
      <c r="K64" s="169"/>
      <c r="L64" s="169"/>
      <c r="M64" s="169"/>
      <c r="N64" s="169"/>
      <c r="O64" s="169"/>
      <c r="P64" s="171">
        <v>-1211.94</v>
      </c>
      <c r="Q64" s="171">
        <v>-294.0</v>
      </c>
      <c r="R64" s="175">
        <f t="shared" si="6"/>
        <v>-1423.42</v>
      </c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</row>
    <row r="65">
      <c r="A65" s="171" t="s">
        <v>178</v>
      </c>
      <c r="B65" s="172">
        <v>0.0</v>
      </c>
      <c r="C65" s="172">
        <v>43.9</v>
      </c>
      <c r="D65" s="172">
        <v>0.0</v>
      </c>
      <c r="E65" s="172">
        <v>0.0</v>
      </c>
      <c r="F65" s="172">
        <v>0.0</v>
      </c>
      <c r="G65" s="172">
        <v>0.0</v>
      </c>
      <c r="H65" s="172">
        <v>0.0</v>
      </c>
      <c r="I65" s="169"/>
      <c r="J65" s="169"/>
      <c r="K65" s="169"/>
      <c r="L65" s="169"/>
      <c r="M65" s="169"/>
      <c r="N65" s="169"/>
      <c r="O65" s="169"/>
      <c r="P65" s="169"/>
      <c r="Q65" s="169"/>
      <c r="R65" s="175">
        <f t="shared" si="6"/>
        <v>43.9</v>
      </c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</row>
    <row r="66">
      <c r="A66" s="171" t="s">
        <v>179</v>
      </c>
      <c r="B66" s="172">
        <v>0.0</v>
      </c>
      <c r="C66" s="172">
        <v>0.0</v>
      </c>
      <c r="D66" s="172">
        <v>0.0</v>
      </c>
      <c r="E66" s="172">
        <v>0.0</v>
      </c>
      <c r="F66" s="172">
        <v>0.0</v>
      </c>
      <c r="G66" s="172">
        <v>0.0</v>
      </c>
      <c r="H66" s="172">
        <v>0.0</v>
      </c>
      <c r="I66" s="169"/>
      <c r="J66" s="169"/>
      <c r="K66" s="169"/>
      <c r="L66" s="169"/>
      <c r="M66" s="169"/>
      <c r="N66" s="169"/>
      <c r="O66" s="169"/>
      <c r="P66" s="169"/>
      <c r="Q66" s="169"/>
      <c r="R66" s="175">
        <f t="shared" si="6"/>
        <v>0</v>
      </c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</row>
    <row r="67">
      <c r="A67" s="171" t="s">
        <v>180</v>
      </c>
      <c r="B67" s="172">
        <v>0.0</v>
      </c>
      <c r="C67" s="172">
        <v>0.0</v>
      </c>
      <c r="D67" s="172">
        <v>0.0</v>
      </c>
      <c r="E67" s="172">
        <f>300+9351</f>
        <v>9651</v>
      </c>
      <c r="F67" s="172">
        <v>9516.0</v>
      </c>
      <c r="G67" s="172">
        <v>570.0</v>
      </c>
      <c r="H67" s="172">
        <v>0.0</v>
      </c>
      <c r="I67" s="171">
        <v>720.0</v>
      </c>
      <c r="J67" s="171">
        <v>2342.0</v>
      </c>
      <c r="K67" s="171"/>
      <c r="L67" s="171">
        <v>3000.0</v>
      </c>
      <c r="M67" s="169">
        <f>3300</f>
        <v>3300</v>
      </c>
      <c r="N67" s="171">
        <v>12620.0</v>
      </c>
      <c r="O67" s="171">
        <v>189.0</v>
      </c>
      <c r="P67" s="171">
        <v>1170.0</v>
      </c>
      <c r="Q67" s="171">
        <v>79975.0</v>
      </c>
      <c r="R67" s="175">
        <f t="shared" si="6"/>
        <v>123053</v>
      </c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</row>
    <row r="68">
      <c r="A68" s="171" t="s">
        <v>181</v>
      </c>
      <c r="B68" s="172">
        <v>0.0</v>
      </c>
      <c r="C68" s="172">
        <v>0.0</v>
      </c>
      <c r="D68" s="175">
        <f>18710/12</f>
        <v>1559.166667</v>
      </c>
      <c r="E68" s="172">
        <v>0.0</v>
      </c>
      <c r="F68" s="172">
        <v>0.0</v>
      </c>
      <c r="G68" s="172">
        <v>0.0</v>
      </c>
      <c r="H68" s="172">
        <v>0.0</v>
      </c>
      <c r="I68" s="169"/>
      <c r="J68" s="169"/>
      <c r="K68" s="169"/>
      <c r="L68" s="169"/>
      <c r="M68" s="169"/>
      <c r="N68" s="169"/>
      <c r="O68" s="169"/>
      <c r="P68" s="169"/>
      <c r="Q68" s="169"/>
      <c r="R68" s="175">
        <f t="shared" si="6"/>
        <v>1559.166667</v>
      </c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</row>
    <row r="69">
      <c r="A69" s="171" t="s">
        <v>27</v>
      </c>
      <c r="B69" s="172">
        <v>0.0</v>
      </c>
      <c r="C69" s="172">
        <v>0.0</v>
      </c>
      <c r="D69" s="172">
        <v>0.0</v>
      </c>
      <c r="E69" s="172">
        <v>0.0</v>
      </c>
      <c r="F69" s="172">
        <v>800.0</v>
      </c>
      <c r="G69" s="172">
        <v>0.0</v>
      </c>
      <c r="H69" s="172">
        <v>0.0</v>
      </c>
      <c r="I69" s="169"/>
      <c r="J69" s="169"/>
      <c r="K69" s="169"/>
      <c r="L69" s="169"/>
      <c r="M69" s="169"/>
      <c r="N69" s="169"/>
      <c r="O69" s="169"/>
      <c r="P69" s="169"/>
      <c r="Q69" s="169"/>
      <c r="R69" s="175">
        <f t="shared" si="6"/>
        <v>800</v>
      </c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</row>
    <row r="70">
      <c r="A70" s="171" t="s">
        <v>182</v>
      </c>
      <c r="B70" s="172">
        <v>0.0</v>
      </c>
      <c r="C70" s="172">
        <v>0.0</v>
      </c>
      <c r="D70" s="172">
        <v>0.0</v>
      </c>
      <c r="E70" s="172">
        <v>5600.0</v>
      </c>
      <c r="F70" s="172">
        <v>1400.0</v>
      </c>
      <c r="G70" s="172">
        <v>0.0</v>
      </c>
      <c r="H70" s="172">
        <v>0.0</v>
      </c>
      <c r="I70" s="169"/>
      <c r="J70" s="169"/>
      <c r="K70" s="171">
        <v>4270.0</v>
      </c>
      <c r="L70" s="171">
        <v>2250.0</v>
      </c>
      <c r="M70" s="169"/>
      <c r="N70" s="171">
        <v>740.0</v>
      </c>
      <c r="O70" s="169"/>
      <c r="P70" s="171">
        <v>400.0</v>
      </c>
      <c r="Q70" s="169"/>
      <c r="R70" s="175">
        <f t="shared" si="6"/>
        <v>14660</v>
      </c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</row>
    <row r="71">
      <c r="A71" s="171" t="s">
        <v>183</v>
      </c>
      <c r="B71" s="172">
        <v>0.0</v>
      </c>
      <c r="C71" s="172">
        <v>0.0</v>
      </c>
      <c r="D71" s="172">
        <v>874.0</v>
      </c>
      <c r="E71" s="172">
        <v>0.0</v>
      </c>
      <c r="F71" s="172">
        <v>2660.0</v>
      </c>
      <c r="G71" s="172">
        <v>1309.0</v>
      </c>
      <c r="H71" s="172">
        <v>0.0</v>
      </c>
      <c r="I71" s="171">
        <v>201.0</v>
      </c>
      <c r="J71" s="171">
        <v>2207.0</v>
      </c>
      <c r="K71" s="171">
        <v>629.0</v>
      </c>
      <c r="L71" s="171">
        <v>1660.0</v>
      </c>
      <c r="M71" s="171">
        <v>1522.0</v>
      </c>
      <c r="N71" s="171">
        <v>6428.0</v>
      </c>
      <c r="O71" s="171">
        <v>2356.0</v>
      </c>
      <c r="P71" s="171">
        <v>300.0</v>
      </c>
      <c r="Q71" s="169"/>
      <c r="R71" s="175">
        <f t="shared" si="6"/>
        <v>20146</v>
      </c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</row>
    <row r="72">
      <c r="A72" s="171" t="s">
        <v>184</v>
      </c>
      <c r="B72" s="172">
        <v>0.0</v>
      </c>
      <c r="C72" s="172">
        <v>0.0</v>
      </c>
      <c r="D72" s="172">
        <v>0.0</v>
      </c>
      <c r="E72" s="172">
        <v>2950.0</v>
      </c>
      <c r="F72" s="172">
        <v>0.0</v>
      </c>
      <c r="G72" s="172">
        <v>0.0</v>
      </c>
      <c r="H72" s="172">
        <v>0.0</v>
      </c>
      <c r="I72" s="169"/>
      <c r="J72" s="169"/>
      <c r="K72" s="169"/>
      <c r="L72" s="169"/>
      <c r="M72" s="169"/>
      <c r="N72" s="169"/>
      <c r="O72" s="169"/>
      <c r="P72" s="171">
        <v>36320.0</v>
      </c>
      <c r="Q72" s="169"/>
      <c r="R72" s="175">
        <f t="shared" si="6"/>
        <v>39270</v>
      </c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</row>
    <row r="73">
      <c r="A73" s="171" t="s">
        <v>95</v>
      </c>
      <c r="B73" s="172">
        <v>0.0</v>
      </c>
      <c r="C73" s="172">
        <v>0.0</v>
      </c>
      <c r="D73" s="172">
        <v>198.0</v>
      </c>
      <c r="E73" s="172">
        <v>0.0</v>
      </c>
      <c r="F73" s="172">
        <v>465.0</v>
      </c>
      <c r="G73" s="172">
        <v>100.0</v>
      </c>
      <c r="H73" s="172">
        <v>0.0</v>
      </c>
      <c r="I73" s="171">
        <v>316.0</v>
      </c>
      <c r="J73" s="171">
        <v>630.0</v>
      </c>
      <c r="K73" s="169"/>
      <c r="L73" s="171">
        <v>215.0</v>
      </c>
      <c r="M73" s="169"/>
      <c r="N73" s="171">
        <v>1123.0</v>
      </c>
      <c r="O73" s="171">
        <v>1494.0</v>
      </c>
      <c r="P73" s="171">
        <v>13909.0</v>
      </c>
      <c r="Q73" s="169"/>
      <c r="R73" s="175">
        <f t="shared" si="6"/>
        <v>18450</v>
      </c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</row>
    <row r="74">
      <c r="A74" s="171" t="s">
        <v>186</v>
      </c>
      <c r="B74" s="172">
        <v>0.0</v>
      </c>
      <c r="C74" s="172">
        <v>0.0</v>
      </c>
      <c r="D74" s="172">
        <v>0.0</v>
      </c>
      <c r="E74" s="172">
        <v>0.0</v>
      </c>
      <c r="F74" s="172">
        <v>0.0</v>
      </c>
      <c r="G74" s="172">
        <v>0.0</v>
      </c>
      <c r="H74" s="172">
        <v>0.0</v>
      </c>
      <c r="I74" s="172">
        <v>0.0</v>
      </c>
      <c r="J74" s="172">
        <v>0.0</v>
      </c>
      <c r="K74" s="172">
        <v>0.0</v>
      </c>
      <c r="L74" s="172">
        <v>0.0</v>
      </c>
      <c r="M74" s="172">
        <v>0.0</v>
      </c>
      <c r="N74" s="172">
        <v>0.0</v>
      </c>
      <c r="O74" s="172">
        <v>0.0</v>
      </c>
      <c r="P74" s="169">
        <f>78253</f>
        <v>78253</v>
      </c>
      <c r="Q74" s="169"/>
      <c r="R74" s="175">
        <f t="shared" si="6"/>
        <v>78253</v>
      </c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</row>
    <row r="75">
      <c r="A75" s="171" t="s">
        <v>187</v>
      </c>
      <c r="B75" s="172">
        <v>0.0</v>
      </c>
      <c r="C75" s="172">
        <v>0.0</v>
      </c>
      <c r="D75" s="172">
        <v>0.0</v>
      </c>
      <c r="E75" s="172">
        <v>0.0</v>
      </c>
      <c r="F75" s="172">
        <v>0.0</v>
      </c>
      <c r="G75" s="172">
        <v>0.0</v>
      </c>
      <c r="H75" s="172">
        <v>0.0</v>
      </c>
      <c r="I75" s="172">
        <v>0.0</v>
      </c>
      <c r="J75" s="172">
        <v>0.0</v>
      </c>
      <c r="K75" s="172">
        <v>0.0</v>
      </c>
      <c r="L75" s="172">
        <v>0.0</v>
      </c>
      <c r="M75" s="172">
        <v>0.0</v>
      </c>
      <c r="N75" s="172">
        <v>0.0</v>
      </c>
      <c r="O75" s="172">
        <v>0.0</v>
      </c>
      <c r="P75" s="169"/>
      <c r="Q75" s="169"/>
      <c r="R75" s="175">
        <f t="shared" si="6"/>
        <v>0</v>
      </c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</row>
    <row r="76">
      <c r="A76" s="171" t="s">
        <v>188</v>
      </c>
      <c r="B76" s="172">
        <v>0.0</v>
      </c>
      <c r="C76" s="172">
        <v>0.0</v>
      </c>
      <c r="D76" s="172">
        <v>0.0</v>
      </c>
      <c r="E76" s="172">
        <v>0.0</v>
      </c>
      <c r="F76" s="172">
        <v>0.0</v>
      </c>
      <c r="G76" s="172">
        <v>0.0</v>
      </c>
      <c r="H76" s="172">
        <v>0.0</v>
      </c>
      <c r="I76" s="171">
        <v>6038.0</v>
      </c>
      <c r="J76" s="172">
        <v>0.0</v>
      </c>
      <c r="K76" s="172">
        <v>0.0</v>
      </c>
      <c r="L76" s="172">
        <v>0.0</v>
      </c>
      <c r="M76" s="172">
        <v>0.0</v>
      </c>
      <c r="N76" s="169">
        <f>5827+8032</f>
        <v>13859</v>
      </c>
      <c r="O76" s="169"/>
      <c r="P76" s="171">
        <v>22848.0</v>
      </c>
      <c r="Q76" s="169"/>
      <c r="R76" s="175">
        <f t="shared" si="6"/>
        <v>42745</v>
      </c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</row>
    <row r="77">
      <c r="A77" s="171" t="s">
        <v>189</v>
      </c>
      <c r="B77" s="172">
        <v>0.0</v>
      </c>
      <c r="C77" s="172">
        <v>0.0</v>
      </c>
      <c r="D77" s="172">
        <v>0.0</v>
      </c>
      <c r="E77" s="172">
        <v>0.0</v>
      </c>
      <c r="F77" s="172">
        <v>0.0</v>
      </c>
      <c r="G77" s="172">
        <v>0.0</v>
      </c>
      <c r="H77" s="172">
        <v>0.0</v>
      </c>
      <c r="I77" s="172">
        <v>0.0</v>
      </c>
      <c r="J77" s="172">
        <v>0.0</v>
      </c>
      <c r="K77" s="172">
        <v>0.0</v>
      </c>
      <c r="L77" s="171">
        <v>700.0</v>
      </c>
      <c r="M77" s="172">
        <v>0.0</v>
      </c>
      <c r="N77" s="172">
        <v>0.0</v>
      </c>
      <c r="O77" s="172">
        <v>0.0</v>
      </c>
      <c r="P77" s="172">
        <v>0.0</v>
      </c>
      <c r="Q77" s="169"/>
      <c r="R77" s="175">
        <f t="shared" si="6"/>
        <v>700</v>
      </c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</row>
    <row r="78">
      <c r="A78" s="171" t="s">
        <v>190</v>
      </c>
      <c r="B78" s="172">
        <v>0.0</v>
      </c>
      <c r="C78" s="172">
        <v>0.0</v>
      </c>
      <c r="D78" s="172">
        <v>0.0</v>
      </c>
      <c r="E78" s="172">
        <v>0.0</v>
      </c>
      <c r="F78" s="172">
        <v>0.0</v>
      </c>
      <c r="G78" s="172">
        <v>0.0</v>
      </c>
      <c r="H78" s="172">
        <v>0.0</v>
      </c>
      <c r="I78" s="172">
        <v>0.0</v>
      </c>
      <c r="J78" s="172">
        <v>0.0</v>
      </c>
      <c r="K78" s="172">
        <v>0.0</v>
      </c>
      <c r="L78" s="172">
        <v>0.0</v>
      </c>
      <c r="M78" s="172">
        <v>0.0</v>
      </c>
      <c r="N78" s="172">
        <v>0.0</v>
      </c>
      <c r="O78" s="172">
        <v>0.0</v>
      </c>
      <c r="P78" s="172">
        <v>0.0</v>
      </c>
      <c r="Q78" s="171">
        <v>13315.0</v>
      </c>
      <c r="R78" s="175">
        <f t="shared" si="6"/>
        <v>13315</v>
      </c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</row>
    <row r="79">
      <c r="A79" s="171" t="s">
        <v>191</v>
      </c>
      <c r="B79" s="172">
        <v>0.0</v>
      </c>
      <c r="C79" s="172">
        <v>0.0</v>
      </c>
      <c r="D79" s="172">
        <v>0.0</v>
      </c>
      <c r="E79" s="172">
        <v>0.0</v>
      </c>
      <c r="F79" s="172">
        <v>0.0</v>
      </c>
      <c r="G79" s="172">
        <v>0.0</v>
      </c>
      <c r="H79" s="172">
        <v>0.0</v>
      </c>
      <c r="I79" s="172">
        <v>0.0</v>
      </c>
      <c r="J79" s="172">
        <v>0.0</v>
      </c>
      <c r="K79" s="172">
        <v>0.0</v>
      </c>
      <c r="L79" s="172">
        <v>0.0</v>
      </c>
      <c r="M79" s="171">
        <v>1600.0</v>
      </c>
      <c r="N79" s="172">
        <v>0.0</v>
      </c>
      <c r="O79" s="172">
        <v>0.0</v>
      </c>
      <c r="P79" s="171">
        <v>10000.0</v>
      </c>
      <c r="Q79" s="169"/>
      <c r="R79" s="175">
        <f t="shared" si="6"/>
        <v>11600</v>
      </c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</row>
    <row r="80">
      <c r="A80" s="171" t="s">
        <v>193</v>
      </c>
      <c r="B80" s="172">
        <v>0.0</v>
      </c>
      <c r="C80" s="172">
        <v>0.0</v>
      </c>
      <c r="D80" s="172">
        <v>0.0</v>
      </c>
      <c r="E80" s="172">
        <v>0.0</v>
      </c>
      <c r="F80" s="172">
        <v>0.0</v>
      </c>
      <c r="G80" s="172">
        <v>0.0</v>
      </c>
      <c r="H80" s="172">
        <v>0.0</v>
      </c>
      <c r="I80" s="172">
        <v>0.0</v>
      </c>
      <c r="J80" s="172">
        <v>0.0</v>
      </c>
      <c r="K80" s="172">
        <v>0.0</v>
      </c>
      <c r="L80" s="172">
        <v>0.0</v>
      </c>
      <c r="M80" s="172">
        <v>0.0</v>
      </c>
      <c r="N80" s="172">
        <v>0.0</v>
      </c>
      <c r="O80" s="172">
        <v>0.0</v>
      </c>
      <c r="P80" s="171">
        <v>2000.0</v>
      </c>
      <c r="Q80" s="169"/>
      <c r="R80" s="175">
        <f t="shared" si="6"/>
        <v>2000</v>
      </c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</row>
    <row r="81">
      <c r="A81" s="169"/>
      <c r="B81" s="180">
        <f t="shared" ref="B81:R81" si="7">sum(B51:B80)</f>
        <v>15968.27</v>
      </c>
      <c r="C81" s="180">
        <f t="shared" si="7"/>
        <v>5463</v>
      </c>
      <c r="D81" s="180">
        <f t="shared" si="7"/>
        <v>9227.766667</v>
      </c>
      <c r="E81" s="180">
        <f t="shared" si="7"/>
        <v>22588.18</v>
      </c>
      <c r="F81" s="180">
        <f t="shared" si="7"/>
        <v>22126.43</v>
      </c>
      <c r="G81" s="180">
        <f t="shared" si="7"/>
        <v>6716.09</v>
      </c>
      <c r="H81" s="180">
        <f t="shared" si="7"/>
        <v>3087.45</v>
      </c>
      <c r="I81" s="180">
        <f t="shared" si="7"/>
        <v>26011.32</v>
      </c>
      <c r="J81" s="180">
        <f t="shared" si="7"/>
        <v>18046.59</v>
      </c>
      <c r="K81" s="180">
        <f t="shared" si="7"/>
        <v>17263.47</v>
      </c>
      <c r="L81" s="180">
        <f t="shared" si="7"/>
        <v>20071.55</v>
      </c>
      <c r="M81" s="180">
        <f t="shared" si="7"/>
        <v>24520.84</v>
      </c>
      <c r="N81" s="180">
        <f t="shared" si="7"/>
        <v>54157</v>
      </c>
      <c r="O81" s="180">
        <f t="shared" si="7"/>
        <v>12230.58</v>
      </c>
      <c r="P81" s="180">
        <f t="shared" si="7"/>
        <v>220454.06</v>
      </c>
      <c r="Q81" s="180">
        <f t="shared" si="7"/>
        <v>92996</v>
      </c>
      <c r="R81" s="180">
        <f t="shared" si="7"/>
        <v>570928.5967</v>
      </c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</row>
    <row r="82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</row>
    <row r="83">
      <c r="A83" s="171"/>
      <c r="B83" s="164" t="s">
        <v>89</v>
      </c>
      <c r="C83" s="164" t="s">
        <v>90</v>
      </c>
      <c r="D83" s="166" t="s">
        <v>87</v>
      </c>
      <c r="E83" s="166" t="s">
        <v>153</v>
      </c>
      <c r="F83" s="166" t="s">
        <v>88</v>
      </c>
      <c r="G83" s="166" t="s">
        <v>154</v>
      </c>
      <c r="H83" s="166" t="s">
        <v>155</v>
      </c>
      <c r="I83" s="164" t="s">
        <v>79</v>
      </c>
      <c r="J83" s="164" t="s">
        <v>82</v>
      </c>
      <c r="K83" s="164" t="s">
        <v>85</v>
      </c>
      <c r="L83" s="164" t="s">
        <v>81</v>
      </c>
      <c r="M83" s="164" t="s">
        <v>83</v>
      </c>
      <c r="N83" s="164" t="s">
        <v>157</v>
      </c>
      <c r="O83" s="164" t="s">
        <v>158</v>
      </c>
      <c r="P83" s="164" t="s">
        <v>160</v>
      </c>
      <c r="Q83" s="164" t="s">
        <v>143</v>
      </c>
      <c r="R83" s="164" t="s">
        <v>70</v>
      </c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</row>
    <row r="84">
      <c r="A84" s="171" t="s">
        <v>28</v>
      </c>
      <c r="B84" s="172">
        <v>21375.0</v>
      </c>
      <c r="C84" s="172">
        <v>0.0</v>
      </c>
      <c r="D84" s="175">
        <f>7080+4130</f>
        <v>11210</v>
      </c>
      <c r="E84" s="172">
        <v>0.0</v>
      </c>
      <c r="F84" s="172">
        <f>27376</f>
        <v>27376</v>
      </c>
      <c r="G84" s="172">
        <v>120.0</v>
      </c>
      <c r="H84" s="172">
        <v>0.0</v>
      </c>
      <c r="I84" s="172">
        <v>0.0</v>
      </c>
      <c r="J84" s="171">
        <v>4130.0</v>
      </c>
      <c r="K84" s="171">
        <v>4130.0</v>
      </c>
      <c r="L84" s="171">
        <v>0.0</v>
      </c>
      <c r="M84" s="171">
        <v>4130.0</v>
      </c>
      <c r="N84" s="171">
        <f>18616</f>
        <v>18616</v>
      </c>
      <c r="O84" s="171">
        <v>0.0</v>
      </c>
      <c r="P84" s="171">
        <f>11422+63549</f>
        <v>74971</v>
      </c>
      <c r="Q84" s="171">
        <v>0.0</v>
      </c>
      <c r="R84" s="175">
        <f t="shared" ref="R84:R86" si="8">sum(B84:Q84)</f>
        <v>166058</v>
      </c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</row>
    <row r="85">
      <c r="A85" s="171" t="s">
        <v>194</v>
      </c>
      <c r="B85" s="172">
        <v>0.0</v>
      </c>
      <c r="C85" s="172">
        <v>0.0</v>
      </c>
      <c r="D85" s="172">
        <v>0.0</v>
      </c>
      <c r="E85" s="172">
        <v>0.0</v>
      </c>
      <c r="F85" s="175">
        <f>32560</f>
        <v>32560</v>
      </c>
      <c r="G85" s="172">
        <v>0.0</v>
      </c>
      <c r="H85" s="172">
        <v>0.0</v>
      </c>
      <c r="I85" s="171">
        <v>6800.0</v>
      </c>
      <c r="J85" s="172">
        <v>0.0</v>
      </c>
      <c r="K85" s="172">
        <v>0.0</v>
      </c>
      <c r="L85" s="171">
        <v>6903.0</v>
      </c>
      <c r="M85" s="171">
        <v>0.0</v>
      </c>
      <c r="N85" s="171">
        <v>0.0</v>
      </c>
      <c r="O85" s="171">
        <v>0.0</v>
      </c>
      <c r="P85" s="171">
        <v>0.0</v>
      </c>
      <c r="Q85" s="171">
        <v>0.0</v>
      </c>
      <c r="R85" s="175">
        <f t="shared" si="8"/>
        <v>46263</v>
      </c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</row>
    <row r="86">
      <c r="A86" s="169"/>
      <c r="B86" s="172">
        <v>0.0</v>
      </c>
      <c r="C86" s="172">
        <v>0.0</v>
      </c>
      <c r="D86" s="172">
        <v>0.0</v>
      </c>
      <c r="E86" s="172">
        <v>0.0</v>
      </c>
      <c r="F86" s="172">
        <v>0.0</v>
      </c>
      <c r="G86" s="172">
        <v>0.0</v>
      </c>
      <c r="H86" s="172">
        <v>0.0</v>
      </c>
      <c r="I86" s="172">
        <v>0.0</v>
      </c>
      <c r="J86" s="172">
        <v>0.0</v>
      </c>
      <c r="K86" s="172">
        <v>0.0</v>
      </c>
      <c r="L86" s="171">
        <v>0.0</v>
      </c>
      <c r="M86" s="171">
        <v>0.0</v>
      </c>
      <c r="N86" s="171">
        <v>0.0</v>
      </c>
      <c r="O86" s="171">
        <v>0.0</v>
      </c>
      <c r="P86" s="171">
        <v>0.0</v>
      </c>
      <c r="Q86" s="171">
        <v>0.0</v>
      </c>
      <c r="R86" s="175">
        <f t="shared" si="8"/>
        <v>0</v>
      </c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</row>
    <row r="87">
      <c r="A87" s="169"/>
      <c r="B87" s="180">
        <f t="shared" ref="B87:R87" si="9">sum(B84:B86)</f>
        <v>21375</v>
      </c>
      <c r="C87" s="180">
        <f t="shared" si="9"/>
        <v>0</v>
      </c>
      <c r="D87" s="180">
        <f t="shared" si="9"/>
        <v>11210</v>
      </c>
      <c r="E87" s="180">
        <f t="shared" si="9"/>
        <v>0</v>
      </c>
      <c r="F87" s="180">
        <f t="shared" si="9"/>
        <v>59936</v>
      </c>
      <c r="G87" s="180">
        <f t="shared" si="9"/>
        <v>120</v>
      </c>
      <c r="H87" s="180">
        <f t="shared" si="9"/>
        <v>0</v>
      </c>
      <c r="I87" s="180">
        <f t="shared" si="9"/>
        <v>6800</v>
      </c>
      <c r="J87" s="180">
        <f t="shared" si="9"/>
        <v>4130</v>
      </c>
      <c r="K87" s="180">
        <f t="shared" si="9"/>
        <v>4130</v>
      </c>
      <c r="L87" s="180">
        <f t="shared" si="9"/>
        <v>6903</v>
      </c>
      <c r="M87" s="180">
        <f t="shared" si="9"/>
        <v>4130</v>
      </c>
      <c r="N87" s="180">
        <f t="shared" si="9"/>
        <v>18616</v>
      </c>
      <c r="O87" s="180">
        <f t="shared" si="9"/>
        <v>0</v>
      </c>
      <c r="P87" s="180">
        <f t="shared" si="9"/>
        <v>74971</v>
      </c>
      <c r="Q87" s="180">
        <f t="shared" si="9"/>
        <v>0</v>
      </c>
      <c r="R87" s="180">
        <f t="shared" si="9"/>
        <v>212321</v>
      </c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</row>
    <row r="88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</row>
    <row r="89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</row>
    <row r="90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</row>
    <row r="9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</row>
    <row r="92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</row>
    <row r="93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</row>
    <row r="94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</row>
    <row r="9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</row>
    <row r="96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</row>
    <row r="97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</row>
    <row r="98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</row>
    <row r="99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</row>
    <row r="100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</row>
    <row r="10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</row>
    <row r="102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</row>
    <row r="103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</row>
    <row r="104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</row>
    <row r="10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</row>
    <row r="106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</row>
    <row r="107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</row>
    <row r="108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</row>
    <row r="109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</row>
    <row r="110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</row>
    <row r="11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</row>
    <row r="112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</row>
    <row r="113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</row>
    <row r="114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</row>
    <row r="11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</row>
    <row r="116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</row>
    <row r="117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</row>
    <row r="118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</row>
    <row r="119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</row>
    <row r="120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</row>
    <row r="12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</row>
    <row r="122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</row>
    <row r="123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</row>
    <row r="124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</row>
    <row r="1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</row>
    <row r="126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</row>
    <row r="127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</row>
    <row r="128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</row>
    <row r="129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</row>
    <row r="130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</row>
    <row r="13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</row>
    <row r="132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</row>
    <row r="133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</row>
    <row r="134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</row>
    <row r="13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</row>
    <row r="136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</row>
    <row r="137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</row>
    <row r="138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</row>
    <row r="139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</row>
    <row r="140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</row>
    <row r="14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</row>
    <row r="142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</row>
    <row r="143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</row>
    <row r="144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</row>
    <row r="14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</row>
    <row r="146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</row>
    <row r="147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</row>
    <row r="148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</row>
    <row r="149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</row>
    <row r="150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</row>
    <row r="15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</row>
    <row r="152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</row>
    <row r="153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</row>
    <row r="154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</row>
    <row r="15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</row>
    <row r="156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</row>
    <row r="157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</row>
    <row r="158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</row>
    <row r="159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</row>
    <row r="160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</row>
    <row r="16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</row>
    <row r="162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</row>
    <row r="163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</row>
    <row r="164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</row>
    <row r="16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</row>
    <row r="166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</row>
    <row r="167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</row>
    <row r="168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</row>
    <row r="169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</row>
    <row r="170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</row>
    <row r="17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</row>
    <row r="172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</row>
    <row r="173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</row>
    <row r="174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</row>
    <row r="17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</row>
    <row r="176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</row>
    <row r="177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</row>
    <row r="178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</row>
    <row r="179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</row>
    <row r="180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</row>
    <row r="18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</row>
    <row r="182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</row>
    <row r="183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</row>
    <row r="184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</row>
    <row r="18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</row>
    <row r="186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</row>
    <row r="187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</row>
    <row r="188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</row>
    <row r="189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</row>
    <row r="190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</row>
    <row r="19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</row>
    <row r="192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</row>
    <row r="193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</row>
    <row r="194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</row>
    <row r="19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</row>
    <row r="196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</row>
    <row r="197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</row>
    <row r="198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</row>
    <row r="199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</row>
    <row r="200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</row>
    <row r="20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</row>
    <row r="202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</row>
    <row r="203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</row>
    <row r="204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</row>
    <row r="20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</row>
    <row r="206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</row>
    <row r="207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</row>
    <row r="208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</row>
    <row r="209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</row>
    <row r="210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</row>
    <row r="21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</row>
    <row r="212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</row>
    <row r="213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</row>
    <row r="214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</row>
    <row r="21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</row>
    <row r="216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</row>
    <row r="217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</row>
    <row r="218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</row>
    <row r="219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</row>
    <row r="220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</row>
    <row r="22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</row>
    <row r="222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</row>
    <row r="223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</row>
    <row r="224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</row>
    <row r="2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</row>
    <row r="226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</row>
    <row r="227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</row>
    <row r="228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</row>
    <row r="229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</row>
    <row r="230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</row>
    <row r="23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</row>
    <row r="232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</row>
    <row r="233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</row>
    <row r="234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</row>
    <row r="23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</row>
    <row r="236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</row>
    <row r="237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</row>
    <row r="238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</row>
    <row r="239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</row>
    <row r="240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</row>
    <row r="24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</row>
    <row r="242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</row>
    <row r="243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</row>
    <row r="244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</row>
    <row r="24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</row>
    <row r="246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</row>
    <row r="247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</row>
    <row r="248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</row>
    <row r="249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</row>
    <row r="250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</row>
    <row r="25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</row>
    <row r="252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</row>
    <row r="253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</row>
    <row r="254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</row>
    <row r="25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</row>
    <row r="256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</row>
    <row r="257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</row>
    <row r="258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</row>
    <row r="259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</row>
    <row r="260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</row>
    <row r="26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</row>
    <row r="262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</row>
    <row r="263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</row>
    <row r="264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</row>
    <row r="26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</row>
    <row r="266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</row>
    <row r="267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</row>
    <row r="268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</row>
    <row r="269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</row>
    <row r="270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</row>
    <row r="27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</row>
    <row r="272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</row>
    <row r="273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</row>
    <row r="274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</row>
    <row r="27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</row>
    <row r="276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</row>
    <row r="277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</row>
    <row r="278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</row>
    <row r="279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</row>
    <row r="280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</row>
    <row r="28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</row>
    <row r="282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</row>
    <row r="283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</row>
    <row r="284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</row>
    <row r="28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</row>
    <row r="286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</row>
    <row r="287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</row>
    <row r="288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</row>
    <row r="289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</row>
    <row r="290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</row>
    <row r="29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</row>
    <row r="292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</row>
    <row r="293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</row>
    <row r="294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</row>
    <row r="29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</row>
    <row r="296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</row>
    <row r="297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</row>
    <row r="298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</row>
    <row r="299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</row>
    <row r="300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</row>
    <row r="30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</row>
    <row r="302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</row>
    <row r="303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</row>
    <row r="304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</row>
    <row r="30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</row>
    <row r="306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</row>
    <row r="307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</row>
    <row r="308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</row>
    <row r="309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</row>
    <row r="310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</row>
    <row r="31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</row>
    <row r="312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</row>
    <row r="313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</row>
    <row r="314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</row>
    <row r="31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</row>
    <row r="316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</row>
    <row r="317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</row>
    <row r="318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</row>
    <row r="319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</row>
    <row r="320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</row>
    <row r="32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</row>
    <row r="322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</row>
    <row r="323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</row>
    <row r="324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</row>
    <row r="3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</row>
    <row r="326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</row>
    <row r="327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</row>
    <row r="328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</row>
    <row r="329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</row>
    <row r="330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</row>
    <row r="33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</row>
    <row r="332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</row>
    <row r="333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</row>
    <row r="334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</row>
    <row r="335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</row>
    <row r="336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</row>
    <row r="337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</row>
    <row r="338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</row>
    <row r="339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</row>
    <row r="340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</row>
    <row r="34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</row>
    <row r="342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</row>
    <row r="343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</row>
    <row r="344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</row>
    <row r="345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</row>
    <row r="346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</row>
    <row r="347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</row>
    <row r="348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</row>
    <row r="349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</row>
    <row r="350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</row>
    <row r="35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  <c r="AD351" s="169"/>
    </row>
    <row r="352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  <c r="AD352" s="169"/>
    </row>
    <row r="353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</row>
    <row r="354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</row>
    <row r="355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  <c r="AD355" s="169"/>
    </row>
    <row r="356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</row>
    <row r="357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  <c r="AD357" s="169"/>
    </row>
    <row r="358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  <c r="AD358" s="169"/>
    </row>
    <row r="359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  <c r="AD359" s="169"/>
    </row>
    <row r="360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  <c r="AD360" s="169"/>
    </row>
    <row r="36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  <c r="AD361" s="169"/>
    </row>
    <row r="362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</row>
    <row r="363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</row>
    <row r="364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</row>
    <row r="365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</row>
    <row r="366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</row>
    <row r="367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</row>
    <row r="368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</row>
    <row r="369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  <c r="AD369" s="169"/>
    </row>
    <row r="370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</row>
    <row r="37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</row>
    <row r="372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</row>
    <row r="373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  <c r="AD373" s="169"/>
    </row>
    <row r="374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</row>
    <row r="375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  <c r="AD375" s="169"/>
    </row>
    <row r="376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</row>
    <row r="377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</row>
    <row r="378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</row>
    <row r="379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</row>
    <row r="380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</row>
    <row r="38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</row>
    <row r="382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</row>
    <row r="383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  <c r="AD383" s="169"/>
    </row>
    <row r="384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</row>
    <row r="385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  <c r="AD385" s="169"/>
    </row>
    <row r="386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</row>
    <row r="387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  <c r="AD387" s="169"/>
    </row>
    <row r="388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  <c r="AD388" s="169"/>
    </row>
    <row r="389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</row>
    <row r="390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</row>
    <row r="39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</row>
    <row r="392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</row>
    <row r="393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</row>
    <row r="394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</row>
    <row r="395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</row>
    <row r="396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</row>
    <row r="397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</row>
    <row r="398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</row>
    <row r="399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</row>
    <row r="400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</row>
    <row r="40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</row>
    <row r="402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</row>
    <row r="403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</row>
    <row r="404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</row>
    <row r="40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</row>
    <row r="406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</row>
    <row r="407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</row>
    <row r="408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</row>
    <row r="409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</row>
    <row r="410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</row>
    <row r="41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</row>
    <row r="412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</row>
    <row r="413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</row>
    <row r="414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</row>
    <row r="41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</row>
    <row r="416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</row>
    <row r="417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</row>
    <row r="418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</row>
    <row r="419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</row>
    <row r="420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</row>
    <row r="42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</row>
    <row r="422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</row>
    <row r="423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</row>
    <row r="424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</row>
    <row r="4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</row>
    <row r="426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</row>
    <row r="427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</row>
    <row r="428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</row>
    <row r="429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</row>
    <row r="430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</row>
    <row r="43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</row>
    <row r="432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</row>
    <row r="433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</row>
    <row r="434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</row>
    <row r="43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</row>
    <row r="436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</row>
    <row r="437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</row>
    <row r="438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</row>
    <row r="439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</row>
    <row r="440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</row>
    <row r="44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</row>
    <row r="442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</row>
    <row r="443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</row>
    <row r="444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</row>
    <row r="44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</row>
    <row r="446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</row>
    <row r="447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</row>
    <row r="448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</row>
    <row r="449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</row>
    <row r="450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</row>
    <row r="45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</row>
    <row r="452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</row>
    <row r="453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</row>
    <row r="454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</row>
    <row r="45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</row>
    <row r="456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</row>
    <row r="457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</row>
    <row r="458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</row>
    <row r="459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</row>
    <row r="460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  <c r="AB460" s="169"/>
      <c r="AC460" s="169"/>
      <c r="AD460" s="169"/>
    </row>
    <row r="46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  <c r="AD461" s="169"/>
    </row>
    <row r="462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  <c r="AB462" s="169"/>
      <c r="AC462" s="169"/>
      <c r="AD462" s="169"/>
    </row>
    <row r="463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  <c r="AD463" s="169"/>
    </row>
    <row r="464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  <c r="AB464" s="169"/>
      <c r="AC464" s="169"/>
      <c r="AD464" s="169"/>
    </row>
    <row r="465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  <c r="AD465" s="169"/>
    </row>
    <row r="466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  <c r="AB466" s="169"/>
      <c r="AC466" s="169"/>
      <c r="AD466" s="169"/>
    </row>
    <row r="467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  <c r="AB467" s="169"/>
      <c r="AC467" s="169"/>
      <c r="AD467" s="169"/>
    </row>
    <row r="468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  <c r="AB468" s="169"/>
      <c r="AC468" s="169"/>
      <c r="AD468" s="169"/>
    </row>
    <row r="469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  <c r="AD469" s="169"/>
    </row>
    <row r="470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  <c r="AB470" s="169"/>
      <c r="AC470" s="169"/>
      <c r="AD470" s="169"/>
    </row>
    <row r="47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  <c r="AD471" s="169"/>
    </row>
    <row r="472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  <c r="AB472" s="169"/>
      <c r="AC472" s="169"/>
      <c r="AD472" s="169"/>
    </row>
    <row r="473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  <c r="AD473" s="169"/>
    </row>
    <row r="474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  <c r="AB474" s="169"/>
      <c r="AC474" s="169"/>
      <c r="AD474" s="169"/>
    </row>
    <row r="475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  <c r="AD475" s="169"/>
    </row>
    <row r="476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  <c r="AB476" s="169"/>
      <c r="AC476" s="169"/>
      <c r="AD476" s="169"/>
    </row>
    <row r="477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  <c r="AD477" s="169"/>
    </row>
    <row r="478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  <c r="AB478" s="169"/>
      <c r="AC478" s="169"/>
      <c r="AD478" s="169"/>
    </row>
    <row r="479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  <c r="AB479" s="169"/>
      <c r="AC479" s="169"/>
      <c r="AD479" s="169"/>
    </row>
    <row r="480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  <c r="AB480" s="169"/>
      <c r="AC480" s="169"/>
      <c r="AD480" s="169"/>
    </row>
    <row r="48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  <c r="AD481" s="169"/>
    </row>
    <row r="482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</row>
    <row r="483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</row>
    <row r="484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</row>
    <row r="485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</row>
    <row r="486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  <c r="AB486" s="169"/>
      <c r="AC486" s="169"/>
      <c r="AD486" s="169"/>
    </row>
    <row r="487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/>
    </row>
    <row r="488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  <c r="AD488" s="169"/>
    </row>
    <row r="489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</row>
    <row r="490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</row>
    <row r="49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</row>
    <row r="492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  <c r="AD492" s="169"/>
    </row>
    <row r="493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</row>
    <row r="494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  <c r="AB494" s="169"/>
      <c r="AC494" s="169"/>
      <c r="AD494" s="169"/>
    </row>
    <row r="495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  <c r="AD495" s="169"/>
    </row>
    <row r="496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  <c r="AB496" s="169"/>
      <c r="AC496" s="169"/>
      <c r="AD496" s="169"/>
    </row>
    <row r="497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  <c r="AD497" s="169"/>
    </row>
    <row r="498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  <c r="AB498" s="169"/>
      <c r="AC498" s="169"/>
      <c r="AD498" s="169"/>
    </row>
    <row r="499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  <c r="AD499" s="169"/>
    </row>
    <row r="500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  <c r="AB500" s="169"/>
      <c r="AC500" s="169"/>
      <c r="AD500" s="169"/>
    </row>
    <row r="50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  <c r="AD501" s="169"/>
    </row>
    <row r="502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  <c r="AB502" s="169"/>
      <c r="AC502" s="169"/>
      <c r="AD502" s="169"/>
    </row>
    <row r="503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  <c r="AD503" s="169"/>
    </row>
    <row r="504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  <c r="AB504" s="169"/>
      <c r="AC504" s="169"/>
      <c r="AD504" s="169"/>
    </row>
    <row r="505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  <c r="AD505" s="169"/>
    </row>
    <row r="506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  <c r="AB506" s="169"/>
      <c r="AC506" s="169"/>
      <c r="AD506" s="169"/>
    </row>
    <row r="507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  <c r="AD507" s="169"/>
    </row>
    <row r="508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  <c r="AB508" s="169"/>
      <c r="AC508" s="169"/>
      <c r="AD508" s="169"/>
    </row>
    <row r="509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  <c r="AD509" s="169"/>
    </row>
    <row r="510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  <c r="AB510" s="169"/>
      <c r="AC510" s="169"/>
      <c r="AD510" s="169"/>
    </row>
    <row r="51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  <c r="AD511" s="169"/>
    </row>
    <row r="512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  <c r="AB512" s="169"/>
      <c r="AC512" s="169"/>
      <c r="AD512" s="169"/>
    </row>
    <row r="513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  <c r="AD513" s="169"/>
    </row>
    <row r="514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  <c r="AB514" s="169"/>
      <c r="AC514" s="169"/>
      <c r="AD514" s="169"/>
    </row>
    <row r="515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  <c r="AD515" s="169"/>
    </row>
    <row r="516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  <c r="AB516" s="169"/>
      <c r="AC516" s="169"/>
      <c r="AD516" s="169"/>
    </row>
    <row r="517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  <c r="AD517" s="169"/>
    </row>
    <row r="518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  <c r="AB518" s="169"/>
      <c r="AC518" s="169"/>
      <c r="AD518" s="169"/>
    </row>
    <row r="519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  <c r="AD519" s="169"/>
    </row>
    <row r="520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  <c r="AB520" s="169"/>
      <c r="AC520" s="169"/>
      <c r="AD520" s="169"/>
    </row>
    <row r="52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  <c r="AD521" s="169"/>
    </row>
    <row r="522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  <c r="AB522" s="169"/>
      <c r="AC522" s="169"/>
      <c r="AD522" s="169"/>
    </row>
    <row r="523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  <c r="AD523" s="169"/>
    </row>
    <row r="524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  <c r="AB524" s="169"/>
      <c r="AC524" s="169"/>
      <c r="AD524" s="169"/>
    </row>
    <row r="525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/>
      <c r="AD525" s="169"/>
    </row>
    <row r="526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  <c r="AB526" s="169"/>
      <c r="AC526" s="169"/>
      <c r="AD526" s="169"/>
    </row>
    <row r="527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  <c r="AD527" s="169"/>
    </row>
    <row r="528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  <c r="AB528" s="169"/>
      <c r="AC528" s="169"/>
      <c r="AD528" s="169"/>
    </row>
    <row r="529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  <c r="AB529" s="169"/>
      <c r="AC529" s="169"/>
      <c r="AD529" s="169"/>
    </row>
    <row r="530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  <c r="AB530" s="169"/>
      <c r="AC530" s="169"/>
      <c r="AD530" s="169"/>
    </row>
    <row r="53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  <c r="AD531" s="169"/>
    </row>
    <row r="532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  <c r="AD532" s="169"/>
    </row>
    <row r="533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</row>
    <row r="534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</row>
    <row r="535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</row>
    <row r="536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</row>
    <row r="537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</row>
    <row r="538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  <c r="AB538" s="169"/>
      <c r="AC538" s="169"/>
      <c r="AD538" s="169"/>
    </row>
    <row r="539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  <c r="AD539" s="169"/>
    </row>
    <row r="540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  <c r="AB540" s="169"/>
      <c r="AC540" s="169"/>
      <c r="AD540" s="169"/>
    </row>
    <row r="54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  <c r="AD541" s="169"/>
    </row>
    <row r="542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  <c r="AB542" s="169"/>
      <c r="AC542" s="169"/>
      <c r="AD542" s="169"/>
    </row>
    <row r="543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  <c r="AD543" s="169"/>
    </row>
    <row r="544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  <c r="AB544" s="169"/>
      <c r="AC544" s="169"/>
      <c r="AD544" s="169"/>
    </row>
    <row r="545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  <c r="AB545" s="169"/>
      <c r="AC545" s="169"/>
      <c r="AD545" s="169"/>
    </row>
    <row r="546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  <c r="AB546" s="169"/>
      <c r="AC546" s="169"/>
      <c r="AD546" s="169"/>
    </row>
    <row r="547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  <c r="AB547" s="169"/>
      <c r="AC547" s="169"/>
      <c r="AD547" s="169"/>
    </row>
    <row r="548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  <c r="AB548" s="169"/>
      <c r="AC548" s="169"/>
      <c r="AD548" s="169"/>
    </row>
    <row r="549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  <c r="AB549" s="169"/>
      <c r="AC549" s="169"/>
      <c r="AD549" s="169"/>
    </row>
    <row r="550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  <c r="AB550" s="169"/>
      <c r="AC550" s="169"/>
      <c r="AD550" s="169"/>
    </row>
    <row r="55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  <c r="AB551" s="169"/>
      <c r="AC551" s="169"/>
      <c r="AD551" s="169"/>
    </row>
    <row r="552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  <c r="AB552" s="169"/>
      <c r="AC552" s="169"/>
      <c r="AD552" s="169"/>
    </row>
    <row r="553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  <c r="AB553" s="169"/>
      <c r="AC553" s="169"/>
      <c r="AD553" s="169"/>
    </row>
    <row r="554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  <c r="AD554" s="169"/>
    </row>
    <row r="555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  <c r="AB555" s="169"/>
      <c r="AC555" s="169"/>
      <c r="AD555" s="169"/>
    </row>
    <row r="556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  <c r="AD556" s="169"/>
    </row>
    <row r="557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  <c r="AB557" s="169"/>
      <c r="AC557" s="169"/>
      <c r="AD557" s="169"/>
    </row>
    <row r="558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  <c r="AB558" s="169"/>
      <c r="AC558" s="169"/>
      <c r="AD558" s="169"/>
    </row>
    <row r="559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  <c r="AB559" s="169"/>
      <c r="AC559" s="169"/>
      <c r="AD559" s="169"/>
    </row>
    <row r="560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  <c r="AD560" s="169"/>
    </row>
    <row r="56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  <c r="AB561" s="169"/>
      <c r="AC561" s="169"/>
      <c r="AD561" s="169"/>
    </row>
    <row r="562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  <c r="AD562" s="169"/>
    </row>
    <row r="563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  <c r="AB563" s="169"/>
      <c r="AC563" s="169"/>
      <c r="AD563" s="169"/>
    </row>
    <row r="564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  <c r="AD564" s="169"/>
    </row>
    <row r="565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  <c r="AB565" s="169"/>
      <c r="AC565" s="169"/>
      <c r="AD565" s="169"/>
    </row>
    <row r="566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  <c r="AD566" s="169"/>
    </row>
    <row r="567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  <c r="AB567" s="169"/>
      <c r="AC567" s="169"/>
      <c r="AD567" s="169"/>
    </row>
    <row r="568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  <c r="AD568" s="169"/>
    </row>
    <row r="569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  <c r="AB569" s="169"/>
      <c r="AC569" s="169"/>
      <c r="AD569" s="169"/>
    </row>
    <row r="570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/>
      <c r="AD570" s="169"/>
    </row>
    <row r="57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  <c r="AB571" s="169"/>
      <c r="AC571" s="169"/>
      <c r="AD571" s="169"/>
    </row>
    <row r="572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  <c r="AD572" s="169"/>
    </row>
    <row r="573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  <c r="AB573" s="169"/>
      <c r="AC573" s="169"/>
      <c r="AD573" s="169"/>
    </row>
    <row r="574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  <c r="AD574" s="169"/>
    </row>
    <row r="575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  <c r="AD575" s="169"/>
    </row>
    <row r="576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  <c r="AB576" s="169"/>
      <c r="AC576" s="169"/>
      <c r="AD576" s="169"/>
    </row>
    <row r="577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  <c r="AB577" s="169"/>
      <c r="AC577" s="169"/>
      <c r="AD577" s="169"/>
    </row>
    <row r="578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  <c r="AB578" s="169"/>
      <c r="AC578" s="169"/>
      <c r="AD578" s="169"/>
    </row>
    <row r="579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  <c r="AD579" s="169"/>
    </row>
    <row r="580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  <c r="AB580" s="169"/>
      <c r="AC580" s="169"/>
      <c r="AD580" s="169"/>
    </row>
    <row r="58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  <c r="AD581" s="169"/>
    </row>
    <row r="582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  <c r="AB582" s="169"/>
      <c r="AC582" s="169"/>
      <c r="AD582" s="169"/>
    </row>
    <row r="583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  <c r="AD583" s="169"/>
    </row>
    <row r="584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  <c r="AB584" s="169"/>
      <c r="AC584" s="169"/>
      <c r="AD584" s="169"/>
    </row>
    <row r="585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  <c r="AD585" s="169"/>
    </row>
    <row r="586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  <c r="AB586" s="169"/>
      <c r="AC586" s="169"/>
      <c r="AD586" s="169"/>
    </row>
    <row r="587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  <c r="AB587" s="169"/>
      <c r="AC587" s="169"/>
      <c r="AD587" s="169"/>
    </row>
    <row r="588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  <c r="AD588" s="169"/>
    </row>
    <row r="589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  <c r="AB589" s="169"/>
      <c r="AC589" s="169"/>
      <c r="AD589" s="169"/>
    </row>
    <row r="590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  <c r="AD590" s="169"/>
    </row>
    <row r="59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  <c r="AB591" s="169"/>
      <c r="AC591" s="169"/>
      <c r="AD591" s="169"/>
    </row>
    <row r="592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  <c r="AD592" s="169"/>
    </row>
    <row r="593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  <c r="AD593" s="169"/>
    </row>
    <row r="594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</row>
    <row r="595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  <c r="AD595" s="169"/>
    </row>
    <row r="596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</row>
    <row r="597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  <c r="AD597" s="169"/>
    </row>
    <row r="598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</row>
    <row r="599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  <c r="AD599" s="169"/>
    </row>
    <row r="600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  <c r="AD600" s="169"/>
    </row>
    <row r="60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  <c r="AD601" s="169"/>
    </row>
    <row r="602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  <c r="AB602" s="169"/>
      <c r="AC602" s="169"/>
      <c r="AD602" s="169"/>
    </row>
    <row r="603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  <c r="AB603" s="169"/>
      <c r="AC603" s="169"/>
      <c r="AD603" s="169"/>
    </row>
    <row r="604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  <c r="AD604" s="169"/>
    </row>
    <row r="605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  <c r="AB605" s="169"/>
      <c r="AC605" s="169"/>
      <c r="AD605" s="169"/>
    </row>
    <row r="606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  <c r="AD606" s="169"/>
    </row>
    <row r="607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  <c r="AB607" s="169"/>
      <c r="AC607" s="169"/>
      <c r="AD607" s="169"/>
    </row>
    <row r="608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  <c r="AD608" s="169"/>
    </row>
    <row r="609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  <c r="AB609" s="169"/>
      <c r="AC609" s="169"/>
      <c r="AD609" s="169"/>
    </row>
    <row r="610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  <c r="AB610" s="169"/>
      <c r="AC610" s="169"/>
      <c r="AD610" s="169"/>
    </row>
    <row r="61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  <c r="AB611" s="169"/>
      <c r="AC611" s="169"/>
      <c r="AD611" s="169"/>
    </row>
    <row r="612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  <c r="AD612" s="169"/>
    </row>
    <row r="613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  <c r="AB613" s="169"/>
      <c r="AC613" s="169"/>
      <c r="AD613" s="169"/>
    </row>
    <row r="614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</row>
    <row r="615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</row>
    <row r="616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</row>
    <row r="617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</row>
    <row r="618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</row>
    <row r="619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</row>
    <row r="620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</row>
    <row r="62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</row>
    <row r="622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</row>
    <row r="623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</row>
    <row r="624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</row>
    <row r="625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</row>
    <row r="626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</row>
    <row r="627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</row>
    <row r="628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</row>
    <row r="629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</row>
    <row r="630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</row>
    <row r="63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</row>
    <row r="632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</row>
    <row r="633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</row>
    <row r="634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</row>
    <row r="635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</row>
    <row r="636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</row>
    <row r="637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  <c r="AD637" s="169"/>
    </row>
    <row r="638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</row>
    <row r="639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  <c r="AD639" s="169"/>
    </row>
    <row r="640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</row>
    <row r="64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  <c r="AD641" s="169"/>
    </row>
    <row r="642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  <c r="AB642" s="169"/>
      <c r="AC642" s="169"/>
      <c r="AD642" s="169"/>
    </row>
    <row r="643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  <c r="AB643" s="169"/>
      <c r="AC643" s="169"/>
      <c r="AD643" s="169"/>
    </row>
    <row r="644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  <c r="AD644" s="169"/>
    </row>
    <row r="645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  <c r="AB645" s="169"/>
      <c r="AC645" s="169"/>
      <c r="AD645" s="169"/>
    </row>
    <row r="646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  <c r="AD646" s="169"/>
    </row>
    <row r="647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  <c r="AB647" s="169"/>
      <c r="AC647" s="169"/>
      <c r="AD647" s="169"/>
    </row>
    <row r="648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  <c r="AD648" s="169"/>
    </row>
    <row r="649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  <c r="AB649" s="169"/>
      <c r="AC649" s="169"/>
      <c r="AD649" s="169"/>
    </row>
    <row r="650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  <c r="AD650" s="169"/>
    </row>
    <row r="65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  <c r="AB651" s="169"/>
      <c r="AC651" s="169"/>
      <c r="AD651" s="169"/>
    </row>
    <row r="652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  <c r="AD652" s="169"/>
    </row>
    <row r="653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  <c r="AB653" s="169"/>
      <c r="AC653" s="169"/>
      <c r="AD653" s="169"/>
    </row>
    <row r="654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  <c r="AB654" s="169"/>
      <c r="AC654" s="169"/>
      <c r="AD654" s="169"/>
    </row>
    <row r="655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  <c r="AB655" s="169"/>
      <c r="AC655" s="169"/>
      <c r="AD655" s="169"/>
    </row>
    <row r="656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  <c r="AD656" s="169"/>
    </row>
    <row r="657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  <c r="AB657" s="169"/>
      <c r="AC657" s="169"/>
      <c r="AD657" s="169"/>
    </row>
    <row r="658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  <c r="AD658" s="169"/>
    </row>
    <row r="659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  <c r="AB659" s="169"/>
      <c r="AC659" s="169"/>
      <c r="AD659" s="169"/>
    </row>
    <row r="660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  <c r="AD660" s="169"/>
    </row>
    <row r="66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  <c r="AB661" s="169"/>
      <c r="AC661" s="169"/>
      <c r="AD661" s="169"/>
    </row>
    <row r="662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  <c r="AB662" s="169"/>
      <c r="AC662" s="169"/>
      <c r="AD662" s="169"/>
    </row>
    <row r="663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  <c r="AD663" s="169"/>
    </row>
    <row r="664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  <c r="AD664" s="169"/>
    </row>
    <row r="665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  <c r="AD665" s="169"/>
    </row>
    <row r="666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</row>
    <row r="667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  <c r="AD667" s="169"/>
    </row>
    <row r="668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  <c r="AD668" s="169"/>
    </row>
    <row r="669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</row>
    <row r="670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  <c r="AD670" s="169"/>
    </row>
    <row r="67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</row>
    <row r="672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  <c r="AB672" s="169"/>
      <c r="AC672" s="169"/>
      <c r="AD672" s="169"/>
    </row>
    <row r="673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  <c r="AD673" s="169"/>
    </row>
    <row r="674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  <c r="AB674" s="169"/>
      <c r="AC674" s="169"/>
      <c r="AD674" s="169"/>
    </row>
    <row r="675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  <c r="AD675" s="169"/>
    </row>
    <row r="676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  <c r="AB676" s="169"/>
      <c r="AC676" s="169"/>
      <c r="AD676" s="169"/>
    </row>
    <row r="677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</row>
    <row r="678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  <c r="AB678" s="169"/>
      <c r="AC678" s="169"/>
      <c r="AD678" s="169"/>
    </row>
    <row r="679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  <c r="AD679" s="169"/>
    </row>
    <row r="680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  <c r="AB680" s="169"/>
      <c r="AC680" s="169"/>
      <c r="AD680" s="169"/>
    </row>
    <row r="68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  <c r="AD681" s="169"/>
    </row>
    <row r="682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  <c r="AB682" s="169"/>
      <c r="AC682" s="169"/>
      <c r="AD682" s="169"/>
    </row>
    <row r="683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  <c r="AD683" s="169"/>
    </row>
    <row r="684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  <c r="AB684" s="169"/>
      <c r="AC684" s="169"/>
      <c r="AD684" s="169"/>
    </row>
    <row r="685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  <c r="AD685" s="169"/>
    </row>
    <row r="686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  <c r="AB686" s="169"/>
      <c r="AC686" s="169"/>
      <c r="AD686" s="169"/>
    </row>
    <row r="687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  <c r="AD687" s="169"/>
    </row>
    <row r="688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  <c r="AB688" s="169"/>
      <c r="AC688" s="169"/>
      <c r="AD688" s="169"/>
    </row>
    <row r="689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  <c r="AD689" s="169"/>
    </row>
    <row r="690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  <c r="AB690" s="169"/>
      <c r="AC690" s="169"/>
      <c r="AD690" s="169"/>
    </row>
    <row r="69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  <c r="AD691" s="169"/>
    </row>
    <row r="692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  <c r="AB692" s="169"/>
      <c r="AC692" s="169"/>
      <c r="AD692" s="169"/>
    </row>
    <row r="693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  <c r="AD693" s="169"/>
    </row>
    <row r="694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  <c r="AB694" s="169"/>
      <c r="AC694" s="169"/>
      <c r="AD694" s="169"/>
    </row>
    <row r="695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  <c r="AD695" s="169"/>
    </row>
    <row r="696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  <c r="AB696" s="169"/>
      <c r="AC696" s="169"/>
      <c r="AD696" s="169"/>
    </row>
    <row r="697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  <c r="AD697" s="169"/>
    </row>
    <row r="698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  <c r="AB698" s="169"/>
      <c r="AC698" s="169"/>
      <c r="AD698" s="169"/>
    </row>
    <row r="699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  <c r="AD699" s="169"/>
    </row>
    <row r="700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  <c r="AB700" s="169"/>
      <c r="AC700" s="169"/>
      <c r="AD700" s="169"/>
    </row>
    <row r="70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  <c r="AD701" s="169"/>
    </row>
    <row r="702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  <c r="AB702" s="169"/>
      <c r="AC702" s="169"/>
      <c r="AD702" s="169"/>
    </row>
    <row r="703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  <c r="AD703" s="169"/>
    </row>
    <row r="704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  <c r="AB704" s="169"/>
      <c r="AC704" s="169"/>
      <c r="AD704" s="169"/>
    </row>
    <row r="705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  <c r="AD705" s="169"/>
    </row>
    <row r="706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  <c r="AB706" s="169"/>
      <c r="AC706" s="169"/>
      <c r="AD706" s="169"/>
    </row>
    <row r="707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  <c r="AD707" s="169"/>
    </row>
    <row r="708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  <c r="AB708" s="169"/>
      <c r="AC708" s="169"/>
      <c r="AD708" s="169"/>
    </row>
    <row r="709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  <c r="AD709" s="169"/>
    </row>
    <row r="710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  <c r="AB710" s="169"/>
      <c r="AC710" s="169"/>
      <c r="AD710" s="169"/>
    </row>
    <row r="71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  <c r="AD711" s="169"/>
    </row>
    <row r="712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  <c r="AB712" s="169"/>
      <c r="AC712" s="169"/>
      <c r="AD712" s="169"/>
    </row>
    <row r="713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  <c r="AD713" s="169"/>
    </row>
    <row r="714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  <c r="AB714" s="169"/>
      <c r="AC714" s="169"/>
      <c r="AD714" s="169"/>
    </row>
    <row r="715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  <c r="AD715" s="169"/>
    </row>
    <row r="716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  <c r="AB716" s="169"/>
      <c r="AC716" s="169"/>
      <c r="AD716" s="169"/>
    </row>
    <row r="717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  <c r="AD717" s="169"/>
    </row>
    <row r="718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  <c r="AB718" s="169"/>
      <c r="AC718" s="169"/>
      <c r="AD718" s="169"/>
    </row>
    <row r="719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  <c r="AB719" s="169"/>
      <c r="AC719" s="169"/>
      <c r="AD719" s="169"/>
    </row>
    <row r="720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  <c r="AB720" s="169"/>
      <c r="AC720" s="169"/>
      <c r="AD720" s="169"/>
    </row>
    <row r="72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  <c r="AD721" s="169"/>
    </row>
    <row r="722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  <c r="AB722" s="169"/>
      <c r="AC722" s="169"/>
      <c r="AD722" s="169"/>
    </row>
    <row r="723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/>
      <c r="AD723" s="169"/>
    </row>
    <row r="724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  <c r="AB724" s="169"/>
      <c r="AC724" s="169"/>
      <c r="AD724" s="169"/>
    </row>
    <row r="725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  <c r="AD725" s="169"/>
    </row>
    <row r="726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  <c r="AB726" s="169"/>
      <c r="AC726" s="169"/>
      <c r="AD726" s="169"/>
    </row>
    <row r="727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  <c r="AD727" s="169"/>
    </row>
    <row r="728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  <c r="AB728" s="169"/>
      <c r="AC728" s="169"/>
      <c r="AD728" s="169"/>
    </row>
    <row r="729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  <c r="AD729" s="169"/>
    </row>
    <row r="730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  <c r="AD730" s="169"/>
    </row>
    <row r="73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  <c r="AD731" s="169"/>
    </row>
    <row r="732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  <c r="AD732" s="169"/>
    </row>
    <row r="733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</row>
    <row r="734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  <c r="AD734" s="169"/>
    </row>
    <row r="735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</row>
    <row r="736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  <c r="AD736" s="169"/>
    </row>
    <row r="737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</row>
    <row r="738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  <c r="AD738" s="169"/>
    </row>
    <row r="739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</row>
    <row r="740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  <c r="AD740" s="169"/>
    </row>
    <row r="74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</row>
    <row r="742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  <c r="AD742" s="169"/>
    </row>
    <row r="743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</row>
    <row r="744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  <c r="AD744" s="169"/>
    </row>
    <row r="745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  <c r="AB745" s="169"/>
      <c r="AC745" s="169"/>
      <c r="AD745" s="169"/>
    </row>
    <row r="746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  <c r="AB746" s="169"/>
      <c r="AC746" s="169"/>
      <c r="AD746" s="169"/>
    </row>
    <row r="747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  <c r="AD747" s="169"/>
    </row>
    <row r="748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  <c r="AB748" s="169"/>
      <c r="AC748" s="169"/>
      <c r="AD748" s="169"/>
    </row>
    <row r="749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  <c r="AB749" s="169"/>
      <c r="AC749" s="169"/>
      <c r="AD749" s="169"/>
    </row>
    <row r="750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  <c r="AB750" s="169"/>
      <c r="AC750" s="169"/>
      <c r="AD750" s="169"/>
    </row>
    <row r="75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  <c r="AD751" s="169"/>
    </row>
    <row r="752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  <c r="AB752" s="169"/>
      <c r="AC752" s="169"/>
      <c r="AD752" s="169"/>
    </row>
    <row r="753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/>
      <c r="AD753" s="169"/>
    </row>
    <row r="754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  <c r="AB754" s="169"/>
      <c r="AC754" s="169"/>
      <c r="AD754" s="169"/>
    </row>
    <row r="755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  <c r="AD755" s="169"/>
    </row>
    <row r="756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  <c r="AB756" s="169"/>
      <c r="AC756" s="169"/>
      <c r="AD756" s="169"/>
    </row>
    <row r="757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  <c r="AB757" s="169"/>
      <c r="AC757" s="169"/>
      <c r="AD757" s="169"/>
    </row>
    <row r="758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  <c r="AD758" s="169"/>
    </row>
    <row r="759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  <c r="AB759" s="169"/>
      <c r="AC759" s="169"/>
      <c r="AD759" s="169"/>
    </row>
    <row r="760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  <c r="AD760" s="169"/>
    </row>
    <row r="76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  <c r="AB761" s="169"/>
      <c r="AC761" s="169"/>
      <c r="AD761" s="169"/>
    </row>
    <row r="762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  <c r="AB762" s="169"/>
      <c r="AC762" s="169"/>
      <c r="AD762" s="169"/>
    </row>
    <row r="763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  <c r="AB763" s="169"/>
      <c r="AC763" s="169"/>
      <c r="AD763" s="169"/>
    </row>
    <row r="764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  <c r="AB764" s="169"/>
      <c r="AC764" s="169"/>
      <c r="AD764" s="169"/>
    </row>
    <row r="765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  <c r="AD765" s="169"/>
    </row>
    <row r="766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  <c r="AB766" s="169"/>
      <c r="AC766" s="169"/>
      <c r="AD766" s="169"/>
    </row>
    <row r="767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  <c r="AD767" s="169"/>
    </row>
    <row r="768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  <c r="AB768" s="169"/>
      <c r="AC768" s="169"/>
      <c r="AD768" s="169"/>
    </row>
    <row r="769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  <c r="AB769" s="169"/>
      <c r="AC769" s="169"/>
      <c r="AD769" s="169"/>
    </row>
    <row r="770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  <c r="AB770" s="169"/>
      <c r="AC770" s="169"/>
      <c r="AD770" s="169"/>
    </row>
    <row r="77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  <c r="AB771" s="169"/>
      <c r="AC771" s="169"/>
      <c r="AD771" s="169"/>
    </row>
    <row r="772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  <c r="AB772" s="169"/>
      <c r="AC772" s="169"/>
      <c r="AD772" s="169"/>
    </row>
    <row r="773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  <c r="AB773" s="169"/>
      <c r="AC773" s="169"/>
      <c r="AD773" s="169"/>
    </row>
    <row r="774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  <c r="AB774" s="169"/>
      <c r="AC774" s="169"/>
      <c r="AD774" s="169"/>
    </row>
    <row r="775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  <c r="AD775" s="169"/>
    </row>
    <row r="776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  <c r="AB776" s="169"/>
      <c r="AC776" s="169"/>
      <c r="AD776" s="169"/>
    </row>
    <row r="777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  <c r="AB777" s="169"/>
      <c r="AC777" s="169"/>
      <c r="AD777" s="169"/>
    </row>
    <row r="778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  <c r="AD778" s="169"/>
    </row>
    <row r="779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  <c r="AB779" s="169"/>
      <c r="AC779" s="169"/>
      <c r="AD779" s="169"/>
    </row>
    <row r="780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  <c r="AD780" s="169"/>
    </row>
    <row r="78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  <c r="AB781" s="169"/>
      <c r="AC781" s="169"/>
      <c r="AD781" s="169"/>
    </row>
    <row r="782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  <c r="AD782" s="169"/>
    </row>
    <row r="783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  <c r="AB783" s="169"/>
      <c r="AC783" s="169"/>
      <c r="AD783" s="169"/>
    </row>
    <row r="784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  <c r="AD784" s="169"/>
    </row>
    <row r="785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  <c r="AB785" s="169"/>
      <c r="AC785" s="169"/>
      <c r="AD785" s="169"/>
    </row>
    <row r="786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/>
      <c r="AD786" s="169"/>
    </row>
    <row r="787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  <c r="AD787" s="169"/>
    </row>
    <row r="788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  <c r="AB788" s="169"/>
      <c r="AC788" s="169"/>
      <c r="AD788" s="169"/>
    </row>
    <row r="789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  <c r="AB789" s="169"/>
      <c r="AC789" s="169"/>
      <c r="AD789" s="169"/>
    </row>
    <row r="790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  <c r="AD790" s="169"/>
    </row>
    <row r="79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  <c r="AD791" s="169"/>
    </row>
    <row r="792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  <c r="AB792" s="169"/>
      <c r="AC792" s="169"/>
      <c r="AD792" s="169"/>
    </row>
    <row r="793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  <c r="AD793" s="169"/>
    </row>
    <row r="794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  <c r="AD794" s="169"/>
    </row>
    <row r="795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  <c r="AD795" s="169"/>
    </row>
    <row r="796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  <c r="AB796" s="169"/>
      <c r="AC796" s="169"/>
      <c r="AD796" s="169"/>
    </row>
    <row r="797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  <c r="AD797" s="169"/>
    </row>
    <row r="798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  <c r="AB798" s="169"/>
      <c r="AC798" s="169"/>
      <c r="AD798" s="169"/>
    </row>
    <row r="799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  <c r="AB799" s="169"/>
      <c r="AC799" s="169"/>
      <c r="AD799" s="169"/>
    </row>
    <row r="800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  <c r="AB800" s="169"/>
      <c r="AC800" s="169"/>
      <c r="AD800" s="169"/>
    </row>
    <row r="80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  <c r="AD801" s="169"/>
    </row>
    <row r="802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  <c r="AB802" s="169"/>
      <c r="AC802" s="169"/>
      <c r="AD802" s="169"/>
    </row>
    <row r="803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  <c r="AD803" s="169"/>
    </row>
    <row r="804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  <c r="AB804" s="169"/>
      <c r="AC804" s="169"/>
      <c r="AD804" s="169"/>
    </row>
    <row r="805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  <c r="AD805" s="169"/>
    </row>
    <row r="806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  <c r="AB806" s="169"/>
      <c r="AC806" s="169"/>
      <c r="AD806" s="169"/>
    </row>
    <row r="807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  <c r="AD807" s="169"/>
    </row>
    <row r="808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  <c r="AB808" s="169"/>
      <c r="AC808" s="169"/>
      <c r="AD808" s="169"/>
    </row>
    <row r="809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  <c r="AD809" s="169"/>
    </row>
    <row r="810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  <c r="AB810" s="169"/>
      <c r="AC810" s="169"/>
      <c r="AD810" s="169"/>
    </row>
    <row r="81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  <c r="AD811" s="169"/>
    </row>
    <row r="812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  <c r="AB812" s="169"/>
      <c r="AC812" s="169"/>
      <c r="AD812" s="169"/>
    </row>
    <row r="813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/>
      <c r="AD813" s="169"/>
    </row>
    <row r="814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  <c r="AB814" s="169"/>
      <c r="AC814" s="169"/>
      <c r="AD814" s="169"/>
    </row>
    <row r="815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  <c r="AB815" s="169"/>
      <c r="AC815" s="169"/>
      <c r="AD815" s="169"/>
    </row>
    <row r="816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  <c r="AB816" s="169"/>
      <c r="AC816" s="169"/>
      <c r="AD816" s="169"/>
    </row>
    <row r="817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  <c r="AD817" s="169"/>
    </row>
    <row r="818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  <c r="AB818" s="169"/>
      <c r="AC818" s="169"/>
      <c r="AD818" s="169"/>
    </row>
    <row r="819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  <c r="AD819" s="169"/>
    </row>
    <row r="820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  <c r="AB820" s="169"/>
      <c r="AC820" s="169"/>
      <c r="AD820" s="169"/>
    </row>
    <row r="82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  <c r="AD821" s="169"/>
    </row>
    <row r="822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  <c r="AB822" s="169"/>
      <c r="AC822" s="169"/>
      <c r="AD822" s="169"/>
    </row>
    <row r="823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/>
      <c r="AD823" s="169"/>
    </row>
    <row r="824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  <c r="AD824" s="169"/>
    </row>
    <row r="825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  <c r="AB825" s="169"/>
      <c r="AC825" s="169"/>
      <c r="AD825" s="169"/>
    </row>
    <row r="826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  <c r="AB826" s="169"/>
      <c r="AC826" s="169"/>
      <c r="AD826" s="169"/>
    </row>
    <row r="827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  <c r="AD827" s="169"/>
    </row>
    <row r="828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  <c r="AD828" s="169"/>
    </row>
    <row r="829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  <c r="AB829" s="169"/>
      <c r="AC829" s="169"/>
      <c r="AD829" s="169"/>
    </row>
    <row r="830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  <c r="AD830" s="169"/>
    </row>
    <row r="83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  <c r="AD831" s="169"/>
    </row>
    <row r="832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  <c r="AD832" s="169"/>
    </row>
    <row r="833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  <c r="AB833" s="169"/>
      <c r="AC833" s="169"/>
      <c r="AD833" s="169"/>
    </row>
    <row r="834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  <c r="AD834" s="169"/>
    </row>
    <row r="835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  <c r="AB835" s="169"/>
      <c r="AC835" s="169"/>
      <c r="AD835" s="169"/>
    </row>
    <row r="836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  <c r="AD836" s="169"/>
    </row>
    <row r="837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  <c r="AB837" s="169"/>
      <c r="AC837" s="169"/>
      <c r="AD837" s="169"/>
    </row>
    <row r="838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  <c r="AB838" s="169"/>
      <c r="AC838" s="169"/>
      <c r="AD838" s="169"/>
    </row>
    <row r="839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  <c r="AB839" s="169"/>
      <c r="AC839" s="169"/>
      <c r="AD839" s="169"/>
    </row>
    <row r="840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/>
      <c r="AD840" s="169"/>
    </row>
    <row r="84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  <c r="AB841" s="169"/>
      <c r="AC841" s="169"/>
      <c r="AD841" s="169"/>
    </row>
    <row r="842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  <c r="AB842" s="169"/>
      <c r="AC842" s="169"/>
      <c r="AD842" s="169"/>
    </row>
    <row r="843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  <c r="AB843" s="169"/>
      <c r="AC843" s="169"/>
      <c r="AD843" s="169"/>
    </row>
    <row r="844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  <c r="AD844" s="169"/>
    </row>
    <row r="845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  <c r="AB845" s="169"/>
      <c r="AC845" s="169"/>
      <c r="AD845" s="169"/>
    </row>
    <row r="846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  <c r="AD846" s="169"/>
    </row>
    <row r="847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  <c r="AB847" s="169"/>
      <c r="AC847" s="169"/>
      <c r="AD847" s="169"/>
    </row>
    <row r="848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  <c r="AD848" s="169"/>
    </row>
    <row r="849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  <c r="AB849" s="169"/>
      <c r="AC849" s="169"/>
      <c r="AD849" s="169"/>
    </row>
    <row r="850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/>
      <c r="AD850" s="169"/>
    </row>
    <row r="85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  <c r="AB851" s="169"/>
      <c r="AC851" s="169"/>
      <c r="AD851" s="169"/>
    </row>
    <row r="852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  <c r="AD852" s="169"/>
    </row>
    <row r="853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  <c r="AB853" s="169"/>
      <c r="AC853" s="169"/>
      <c r="AD853" s="169"/>
    </row>
    <row r="854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  <c r="AD854" s="169"/>
    </row>
    <row r="855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  <c r="AB855" s="169"/>
      <c r="AC855" s="169"/>
      <c r="AD855" s="169"/>
    </row>
    <row r="856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  <c r="AD856" s="169"/>
    </row>
    <row r="857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  <c r="AB857" s="169"/>
      <c r="AC857" s="169"/>
      <c r="AD857" s="169"/>
    </row>
    <row r="858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  <c r="AD858" s="169"/>
    </row>
    <row r="859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  <c r="AB859" s="169"/>
      <c r="AC859" s="169"/>
      <c r="AD859" s="169"/>
    </row>
    <row r="860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  <c r="AB860" s="169"/>
      <c r="AC860" s="169"/>
      <c r="AD860" s="169"/>
    </row>
    <row r="86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  <c r="AB861" s="169"/>
      <c r="AC861" s="169"/>
      <c r="AD861" s="169"/>
    </row>
    <row r="862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  <c r="AB862" s="169"/>
      <c r="AC862" s="169"/>
      <c r="AD862" s="169"/>
    </row>
    <row r="863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/>
      <c r="AD863" s="169"/>
    </row>
    <row r="864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  <c r="AB864" s="169"/>
      <c r="AC864" s="169"/>
      <c r="AD864" s="169"/>
    </row>
    <row r="865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  <c r="AD865" s="169"/>
    </row>
    <row r="866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  <c r="AB866" s="169"/>
      <c r="AC866" s="169"/>
      <c r="AD866" s="169"/>
    </row>
    <row r="867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  <c r="AD867" s="169"/>
    </row>
    <row r="868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  <c r="AB868" s="169"/>
      <c r="AC868" s="169"/>
      <c r="AD868" s="169"/>
    </row>
    <row r="869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  <c r="AD869" s="169"/>
    </row>
    <row r="870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  <c r="AB870" s="169"/>
      <c r="AC870" s="169"/>
      <c r="AD870" s="169"/>
    </row>
    <row r="87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  <c r="AD871" s="169"/>
    </row>
    <row r="872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  <c r="AD872" s="169"/>
    </row>
    <row r="873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  <c r="AD873" s="169"/>
    </row>
    <row r="874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  <c r="AB874" s="169"/>
      <c r="AC874" s="169"/>
      <c r="AD874" s="169"/>
    </row>
    <row r="875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  <c r="AD875" s="169"/>
    </row>
    <row r="876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  <c r="AD876" s="169"/>
    </row>
    <row r="877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  <c r="AD877" s="169"/>
    </row>
    <row r="878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  <c r="AD878" s="169"/>
    </row>
    <row r="879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  <c r="AD879" s="169"/>
    </row>
    <row r="880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  <c r="AD880" s="169"/>
    </row>
    <row r="88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  <c r="AD881" s="169"/>
    </row>
    <row r="882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  <c r="AD882" s="169"/>
    </row>
    <row r="883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  <c r="AD883" s="169"/>
    </row>
    <row r="884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  <c r="AD884" s="169"/>
    </row>
    <row r="88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  <c r="AD885" s="169"/>
    </row>
    <row r="886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  <c r="AD886" s="169"/>
    </row>
    <row r="887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  <c r="AD887" s="169"/>
    </row>
    <row r="888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  <c r="AD888" s="169"/>
    </row>
    <row r="889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  <c r="AD889" s="169"/>
    </row>
    <row r="890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  <c r="AB890" s="169"/>
      <c r="AC890" s="169"/>
      <c r="AD890" s="169"/>
    </row>
    <row r="89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  <c r="AB891" s="169"/>
      <c r="AC891" s="169"/>
      <c r="AD891" s="169"/>
    </row>
    <row r="89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  <c r="AB892" s="169"/>
      <c r="AC892" s="169"/>
      <c r="AD892" s="169"/>
    </row>
    <row r="893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  <c r="AB893" s="169"/>
      <c r="AC893" s="169"/>
      <c r="AD893" s="169"/>
    </row>
    <row r="894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  <c r="AB894" s="169"/>
      <c r="AC894" s="169"/>
      <c r="AD894" s="169"/>
    </row>
    <row r="89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  <c r="AB895" s="169"/>
      <c r="AC895" s="169"/>
      <c r="AD895" s="169"/>
    </row>
    <row r="896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  <c r="AB896" s="169"/>
      <c r="AC896" s="169"/>
      <c r="AD896" s="169"/>
    </row>
    <row r="897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  <c r="AB897" s="169"/>
      <c r="AC897" s="169"/>
      <c r="AD897" s="169"/>
    </row>
    <row r="898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  <c r="AB898" s="169"/>
      <c r="AC898" s="169"/>
      <c r="AD898" s="169"/>
    </row>
    <row r="899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  <c r="AB899" s="169"/>
      <c r="AC899" s="169"/>
      <c r="AD899" s="169"/>
    </row>
    <row r="900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  <c r="AB900" s="169"/>
      <c r="AC900" s="169"/>
      <c r="AD900" s="169"/>
    </row>
    <row r="90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  <c r="AB901" s="169"/>
      <c r="AC901" s="169"/>
      <c r="AD901" s="169"/>
    </row>
    <row r="90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  <c r="AB902" s="169"/>
      <c r="AC902" s="169"/>
      <c r="AD902" s="169"/>
    </row>
    <row r="903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  <c r="AB903" s="169"/>
      <c r="AC903" s="169"/>
      <c r="AD903" s="169"/>
    </row>
    <row r="904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  <c r="AB904" s="169"/>
      <c r="AC904" s="169"/>
      <c r="AD904" s="169"/>
    </row>
    <row r="90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  <c r="AB905" s="169"/>
      <c r="AC905" s="169"/>
      <c r="AD905" s="169"/>
    </row>
    <row r="906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  <c r="AB906" s="169"/>
      <c r="AC906" s="169"/>
      <c r="AD906" s="169"/>
    </row>
    <row r="907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  <c r="AB907" s="169"/>
      <c r="AC907" s="169"/>
      <c r="AD907" s="169"/>
    </row>
    <row r="908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  <c r="AB908" s="169"/>
      <c r="AC908" s="169"/>
      <c r="AD908" s="169"/>
    </row>
    <row r="909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  <c r="AB909" s="169"/>
      <c r="AC909" s="169"/>
      <c r="AD909" s="169"/>
    </row>
    <row r="910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  <c r="AB910" s="169"/>
      <c r="AC910" s="169"/>
      <c r="AD910" s="169"/>
    </row>
    <row r="91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  <c r="AB911" s="169"/>
      <c r="AC911" s="169"/>
      <c r="AD911" s="169"/>
    </row>
    <row r="91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  <c r="AB912" s="169"/>
      <c r="AC912" s="169"/>
      <c r="AD912" s="169"/>
    </row>
    <row r="913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  <c r="AB913" s="169"/>
      <c r="AC913" s="169"/>
      <c r="AD913" s="169"/>
    </row>
    <row r="914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  <c r="AB914" s="169"/>
      <c r="AC914" s="169"/>
      <c r="AD914" s="169"/>
    </row>
    <row r="91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  <c r="AB915" s="169"/>
      <c r="AC915" s="169"/>
      <c r="AD915" s="169"/>
    </row>
    <row r="916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  <c r="AB916" s="169"/>
      <c r="AC916" s="169"/>
      <c r="AD916" s="169"/>
    </row>
    <row r="917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  <c r="AB917" s="169"/>
      <c r="AC917" s="169"/>
      <c r="AD917" s="169"/>
    </row>
    <row r="918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  <c r="AB918" s="169"/>
      <c r="AC918" s="169"/>
      <c r="AD918" s="169"/>
    </row>
    <row r="919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  <c r="AB919" s="169"/>
      <c r="AC919" s="169"/>
      <c r="AD919" s="169"/>
    </row>
    <row r="920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  <c r="AB920" s="169"/>
      <c r="AC920" s="169"/>
      <c r="AD920" s="169"/>
    </row>
    <row r="92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  <c r="AB921" s="169"/>
      <c r="AC921" s="169"/>
      <c r="AD921" s="169"/>
    </row>
    <row r="922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  <c r="AB922" s="169"/>
      <c r="AC922" s="169"/>
      <c r="AD922" s="169"/>
    </row>
    <row r="923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  <c r="AB923" s="169"/>
      <c r="AC923" s="169"/>
      <c r="AD923" s="169"/>
    </row>
    <row r="924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  <c r="AB924" s="169"/>
      <c r="AC924" s="169"/>
      <c r="AD924" s="169"/>
    </row>
    <row r="925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  <c r="AB925" s="169"/>
      <c r="AC925" s="169"/>
      <c r="AD925" s="169"/>
    </row>
    <row r="926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  <c r="AB926" s="169"/>
      <c r="AC926" s="169"/>
      <c r="AD926" s="169"/>
    </row>
    <row r="927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  <c r="AB927" s="169"/>
      <c r="AC927" s="169"/>
      <c r="AD927" s="169"/>
    </row>
    <row r="928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  <c r="AB928" s="169"/>
      <c r="AC928" s="169"/>
      <c r="AD928" s="169"/>
    </row>
    <row r="929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  <c r="AB929" s="169"/>
      <c r="AC929" s="169"/>
      <c r="AD929" s="169"/>
    </row>
    <row r="930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  <c r="AB930" s="169"/>
      <c r="AC930" s="169"/>
      <c r="AD930" s="169"/>
    </row>
    <row r="93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  <c r="AB931" s="169"/>
      <c r="AC931" s="169"/>
      <c r="AD931" s="169"/>
    </row>
    <row r="932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  <c r="AB932" s="169"/>
      <c r="AC932" s="169"/>
      <c r="AD932" s="169"/>
    </row>
    <row r="933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  <c r="AB933" s="169"/>
      <c r="AC933" s="169"/>
      <c r="AD933" s="169"/>
    </row>
    <row r="934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  <c r="AB934" s="169"/>
      <c r="AC934" s="169"/>
      <c r="AD934" s="169"/>
    </row>
    <row r="935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  <c r="AB935" s="169"/>
      <c r="AC935" s="169"/>
      <c r="AD935" s="169"/>
    </row>
    <row r="936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  <c r="AB936" s="169"/>
      <c r="AC936" s="169"/>
      <c r="AD936" s="169"/>
    </row>
    <row r="937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  <c r="AB937" s="169"/>
      <c r="AC937" s="169"/>
      <c r="AD937" s="169"/>
    </row>
    <row r="938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  <c r="AB938" s="169"/>
      <c r="AC938" s="169"/>
      <c r="AD938" s="169"/>
    </row>
    <row r="939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  <c r="AB939" s="169"/>
      <c r="AC939" s="169"/>
      <c r="AD939" s="169"/>
    </row>
    <row r="940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  <c r="AB940" s="169"/>
      <c r="AC940" s="169"/>
      <c r="AD940" s="169"/>
    </row>
    <row r="94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  <c r="AB941" s="169"/>
      <c r="AC941" s="169"/>
      <c r="AD941" s="169"/>
    </row>
    <row r="942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  <c r="AB942" s="169"/>
      <c r="AC942" s="169"/>
      <c r="AD942" s="169"/>
    </row>
    <row r="943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  <c r="AB943" s="169"/>
      <c r="AC943" s="169"/>
      <c r="AD943" s="169"/>
    </row>
    <row r="944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  <c r="AB944" s="169"/>
      <c r="AC944" s="169"/>
      <c r="AD944" s="169"/>
    </row>
    <row r="945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  <c r="AB945" s="169"/>
      <c r="AC945" s="169"/>
      <c r="AD945" s="169"/>
    </row>
    <row r="946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  <c r="AB946" s="169"/>
      <c r="AC946" s="169"/>
      <c r="AD946" s="169"/>
    </row>
    <row r="947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  <c r="AB947" s="169"/>
      <c r="AC947" s="169"/>
      <c r="AD947" s="169"/>
    </row>
    <row r="948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  <c r="AB948" s="169"/>
      <c r="AC948" s="169"/>
      <c r="AD948" s="169"/>
    </row>
    <row r="949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  <c r="AB949" s="169"/>
      <c r="AC949" s="169"/>
      <c r="AD949" s="169"/>
    </row>
    <row r="950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  <c r="AB950" s="169"/>
      <c r="AC950" s="169"/>
      <c r="AD950" s="169"/>
    </row>
    <row r="95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  <c r="AB951" s="169"/>
      <c r="AC951" s="169"/>
      <c r="AD951" s="169"/>
    </row>
    <row r="952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  <c r="AB952" s="169"/>
      <c r="AC952" s="169"/>
      <c r="AD952" s="169"/>
    </row>
    <row r="953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  <c r="AB953" s="169"/>
      <c r="AC953" s="169"/>
      <c r="AD953" s="169"/>
    </row>
    <row r="954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  <c r="AB954" s="169"/>
      <c r="AC954" s="169"/>
      <c r="AD954" s="169"/>
    </row>
    <row r="955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  <c r="AB955" s="169"/>
      <c r="AC955" s="169"/>
      <c r="AD955" s="169"/>
    </row>
    <row r="956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  <c r="AB956" s="169"/>
      <c r="AC956" s="169"/>
      <c r="AD956" s="169"/>
    </row>
    <row r="957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  <c r="AB957" s="169"/>
      <c r="AC957" s="169"/>
      <c r="AD957" s="169"/>
    </row>
    <row r="958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  <c r="AB958" s="169"/>
      <c r="AC958" s="169"/>
      <c r="AD958" s="169"/>
    </row>
    <row r="959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  <c r="AB959" s="169"/>
      <c r="AC959" s="169"/>
      <c r="AD959" s="169"/>
    </row>
    <row r="960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  <c r="AB960" s="169"/>
      <c r="AC960" s="169"/>
      <c r="AD960" s="169"/>
    </row>
    <row r="96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  <c r="AB961" s="169"/>
      <c r="AC961" s="169"/>
      <c r="AD961" s="169"/>
    </row>
    <row r="962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  <c r="AB962" s="169"/>
      <c r="AC962" s="169"/>
      <c r="AD962" s="169"/>
    </row>
    <row r="963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  <c r="AB963" s="169"/>
      <c r="AC963" s="169"/>
      <c r="AD963" s="169"/>
    </row>
    <row r="964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  <c r="AB964" s="169"/>
      <c r="AC964" s="169"/>
      <c r="AD964" s="169"/>
    </row>
    <row r="965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  <c r="AB965" s="169"/>
      <c r="AC965" s="169"/>
      <c r="AD965" s="169"/>
    </row>
    <row r="966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  <c r="AB966" s="169"/>
      <c r="AC966" s="169"/>
      <c r="AD966" s="169"/>
    </row>
    <row r="967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  <c r="AB967" s="169"/>
      <c r="AC967" s="169"/>
      <c r="AD967" s="169"/>
    </row>
    <row r="968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  <c r="AB968" s="169"/>
      <c r="AC968" s="169"/>
      <c r="AD968" s="169"/>
    </row>
    <row r="969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  <c r="AB969" s="169"/>
      <c r="AC969" s="169"/>
      <c r="AD969" s="169"/>
    </row>
    <row r="970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  <c r="AB970" s="169"/>
      <c r="AC970" s="169"/>
      <c r="AD970" s="169"/>
    </row>
    <row r="97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  <c r="AB971" s="169"/>
      <c r="AC971" s="169"/>
      <c r="AD971" s="169"/>
    </row>
    <row r="972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  <c r="AB972" s="169"/>
      <c r="AC972" s="169"/>
      <c r="AD972" s="169"/>
    </row>
    <row r="973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  <c r="AB973" s="169"/>
      <c r="AC973" s="169"/>
      <c r="AD973" s="169"/>
    </row>
    <row r="974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  <c r="AB974" s="169"/>
      <c r="AC974" s="169"/>
      <c r="AD974" s="169"/>
    </row>
    <row r="975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  <c r="AB975" s="169"/>
      <c r="AC975" s="169"/>
      <c r="AD975" s="169"/>
    </row>
    <row r="976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  <c r="AB976" s="169"/>
      <c r="AC976" s="169"/>
      <c r="AD976" s="169"/>
    </row>
    <row r="977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  <c r="AB977" s="169"/>
      <c r="AC977" s="169"/>
      <c r="AD977" s="169"/>
    </row>
    <row r="978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  <c r="AB978" s="169"/>
      <c r="AC978" s="169"/>
      <c r="AD978" s="169"/>
    </row>
    <row r="979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  <c r="AB979" s="169"/>
      <c r="AC979" s="169"/>
      <c r="AD979" s="169"/>
    </row>
    <row r="980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  <c r="AB980" s="169"/>
      <c r="AC980" s="169"/>
      <c r="AD980" s="169"/>
    </row>
    <row r="98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  <c r="AB981" s="169"/>
      <c r="AC981" s="169"/>
      <c r="AD981" s="169"/>
    </row>
    <row r="982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  <c r="AB982" s="169"/>
      <c r="AC982" s="169"/>
      <c r="AD982" s="169"/>
    </row>
    <row r="983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  <c r="AB983" s="169"/>
      <c r="AC983" s="169"/>
      <c r="AD983" s="169"/>
    </row>
    <row r="984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  <c r="AB984" s="169"/>
      <c r="AC984" s="169"/>
      <c r="AD984" s="169"/>
    </row>
    <row r="985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  <c r="AB985" s="169"/>
      <c r="AC985" s="169"/>
      <c r="AD985" s="169"/>
    </row>
    <row r="986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  <c r="AB986" s="169"/>
      <c r="AC986" s="169"/>
      <c r="AD986" s="169"/>
    </row>
    <row r="987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  <c r="AB987" s="169"/>
      <c r="AC987" s="169"/>
      <c r="AD987" s="169"/>
    </row>
    <row r="988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  <c r="AB988" s="169"/>
      <c r="AC988" s="169"/>
      <c r="AD988" s="169"/>
    </row>
    <row r="989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  <c r="AB989" s="169"/>
      <c r="AC989" s="169"/>
      <c r="AD989" s="169"/>
    </row>
    <row r="990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  <c r="AB990" s="169"/>
      <c r="AC990" s="169"/>
      <c r="AD990" s="169"/>
    </row>
    <row r="99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  <c r="AB991" s="169"/>
      <c r="AC991" s="169"/>
      <c r="AD991" s="169"/>
    </row>
    <row r="992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  <c r="AB992" s="169"/>
      <c r="AC992" s="169"/>
      <c r="AD992" s="169"/>
    </row>
    <row r="993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  <c r="AB993" s="169"/>
      <c r="AC993" s="169"/>
      <c r="AD993" s="169"/>
    </row>
    <row r="994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  <c r="AB994" s="169"/>
      <c r="AC994" s="169"/>
      <c r="AD994" s="169"/>
    </row>
    <row r="995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  <c r="AB995" s="169"/>
      <c r="AC995" s="169"/>
      <c r="AD995" s="169"/>
    </row>
    <row r="996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  <c r="AB996" s="169"/>
      <c r="AC996" s="169"/>
      <c r="AD996" s="169"/>
    </row>
    <row r="997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  <c r="AA997" s="169"/>
      <c r="AB997" s="169"/>
      <c r="AC997" s="169"/>
      <c r="AD997" s="169"/>
    </row>
    <row r="998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  <c r="AA998" s="169"/>
      <c r="AB998" s="169"/>
      <c r="AC998" s="169"/>
      <c r="AD998" s="169"/>
    </row>
    <row r="999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  <c r="AA999" s="169"/>
      <c r="AB999" s="169"/>
      <c r="AC999" s="169"/>
      <c r="AD999" s="169"/>
    </row>
    <row r="1000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  <c r="AB1000" s="169"/>
      <c r="AC1000" s="169"/>
      <c r="AD1000" s="169"/>
    </row>
    <row r="1001">
      <c r="A1001" s="169"/>
      <c r="B1001" s="169"/>
      <c r="C1001" s="169"/>
      <c r="D1001" s="169"/>
      <c r="E1001" s="169"/>
      <c r="F1001" s="169"/>
      <c r="G1001" s="169"/>
      <c r="H1001" s="169"/>
      <c r="I1001" s="169"/>
      <c r="J1001" s="169"/>
      <c r="K1001" s="169"/>
      <c r="L1001" s="169"/>
      <c r="M1001" s="169"/>
      <c r="N1001" s="169"/>
      <c r="O1001" s="169"/>
      <c r="P1001" s="169"/>
      <c r="Q1001" s="169"/>
      <c r="R1001" s="169"/>
      <c r="S1001" s="169"/>
      <c r="T1001" s="169"/>
      <c r="U1001" s="169"/>
      <c r="V1001" s="169"/>
      <c r="W1001" s="169"/>
      <c r="X1001" s="169"/>
      <c r="Y1001" s="169"/>
      <c r="Z1001" s="169"/>
      <c r="AA1001" s="169"/>
      <c r="AB1001" s="169"/>
      <c r="AC1001" s="169"/>
      <c r="AD1001" s="169"/>
    </row>
    <row r="1002">
      <c r="A1002" s="169"/>
      <c r="B1002" s="169"/>
      <c r="C1002" s="169"/>
      <c r="D1002" s="169"/>
      <c r="E1002" s="169"/>
      <c r="F1002" s="169"/>
      <c r="G1002" s="169"/>
      <c r="H1002" s="169"/>
      <c r="I1002" s="169"/>
      <c r="J1002" s="169"/>
      <c r="K1002" s="169"/>
      <c r="L1002" s="169"/>
      <c r="M1002" s="169"/>
      <c r="N1002" s="169"/>
      <c r="O1002" s="169"/>
      <c r="P1002" s="169"/>
      <c r="Q1002" s="169"/>
      <c r="R1002" s="169"/>
      <c r="S1002" s="169"/>
      <c r="T1002" s="169"/>
      <c r="U1002" s="169"/>
      <c r="V1002" s="169"/>
      <c r="W1002" s="169"/>
      <c r="X1002" s="169"/>
      <c r="Y1002" s="169"/>
      <c r="Z1002" s="169"/>
      <c r="AA1002" s="169"/>
      <c r="AB1002" s="169"/>
      <c r="AC1002" s="169"/>
      <c r="AD1002" s="169"/>
    </row>
    <row r="1003">
      <c r="A1003" s="169"/>
      <c r="B1003" s="169"/>
      <c r="C1003" s="169"/>
      <c r="D1003" s="169"/>
      <c r="E1003" s="169"/>
      <c r="F1003" s="169"/>
      <c r="G1003" s="169"/>
      <c r="H1003" s="169"/>
      <c r="I1003" s="169"/>
      <c r="J1003" s="169"/>
      <c r="K1003" s="169"/>
      <c r="L1003" s="169"/>
      <c r="M1003" s="169"/>
      <c r="N1003" s="169"/>
      <c r="O1003" s="169"/>
      <c r="P1003" s="169"/>
      <c r="Q1003" s="169"/>
      <c r="R1003" s="169"/>
      <c r="S1003" s="169"/>
      <c r="T1003" s="169"/>
      <c r="U1003" s="169"/>
      <c r="V1003" s="169"/>
      <c r="W1003" s="169"/>
      <c r="X1003" s="169"/>
      <c r="Y1003" s="169"/>
      <c r="Z1003" s="169"/>
      <c r="AA1003" s="169"/>
      <c r="AB1003" s="169"/>
      <c r="AC1003" s="169"/>
      <c r="AD1003" s="169"/>
    </row>
    <row r="1004">
      <c r="A1004" s="169"/>
      <c r="B1004" s="169"/>
      <c r="C1004" s="169"/>
      <c r="D1004" s="169"/>
      <c r="E1004" s="169"/>
      <c r="F1004" s="169"/>
      <c r="G1004" s="169"/>
      <c r="H1004" s="169"/>
      <c r="I1004" s="169"/>
      <c r="J1004" s="169"/>
      <c r="K1004" s="169"/>
      <c r="L1004" s="169"/>
      <c r="M1004" s="169"/>
      <c r="N1004" s="169"/>
      <c r="O1004" s="169"/>
      <c r="P1004" s="169"/>
      <c r="Q1004" s="169"/>
      <c r="R1004" s="169"/>
      <c r="S1004" s="169"/>
      <c r="T1004" s="169"/>
      <c r="U1004" s="169"/>
      <c r="V1004" s="169"/>
      <c r="W1004" s="169"/>
      <c r="X1004" s="169"/>
      <c r="Y1004" s="169"/>
      <c r="Z1004" s="169"/>
      <c r="AA1004" s="169"/>
      <c r="AB1004" s="169"/>
      <c r="AC1004" s="169"/>
      <c r="AD1004" s="169"/>
    </row>
    <row r="1005">
      <c r="A1005" s="169"/>
      <c r="B1005" s="169"/>
      <c r="C1005" s="169"/>
      <c r="D1005" s="169"/>
      <c r="E1005" s="169"/>
      <c r="F1005" s="169"/>
      <c r="G1005" s="169"/>
      <c r="H1005" s="169"/>
      <c r="I1005" s="169"/>
      <c r="J1005" s="169"/>
      <c r="K1005" s="169"/>
      <c r="L1005" s="169"/>
      <c r="M1005" s="169"/>
      <c r="N1005" s="169"/>
      <c r="O1005" s="169"/>
      <c r="P1005" s="169"/>
      <c r="Q1005" s="169"/>
      <c r="R1005" s="169"/>
      <c r="S1005" s="169"/>
      <c r="T1005" s="169"/>
      <c r="U1005" s="169"/>
      <c r="V1005" s="169"/>
      <c r="W1005" s="169"/>
      <c r="X1005" s="169"/>
      <c r="Y1005" s="169"/>
      <c r="Z1005" s="169"/>
      <c r="AA1005" s="169"/>
      <c r="AB1005" s="169"/>
      <c r="AC1005" s="169"/>
      <c r="AD1005" s="169"/>
    </row>
    <row r="1006">
      <c r="A1006" s="169"/>
      <c r="B1006" s="169"/>
      <c r="C1006" s="169"/>
      <c r="D1006" s="169"/>
      <c r="E1006" s="169"/>
      <c r="F1006" s="169"/>
      <c r="G1006" s="169"/>
      <c r="H1006" s="169"/>
      <c r="I1006" s="169"/>
      <c r="J1006" s="169"/>
      <c r="K1006" s="169"/>
      <c r="L1006" s="169"/>
      <c r="M1006" s="169"/>
      <c r="N1006" s="169"/>
      <c r="O1006" s="169"/>
      <c r="P1006" s="169"/>
      <c r="Q1006" s="169"/>
      <c r="R1006" s="169"/>
      <c r="S1006" s="169"/>
      <c r="T1006" s="169"/>
      <c r="U1006" s="169"/>
      <c r="V1006" s="169"/>
      <c r="W1006" s="169"/>
      <c r="X1006" s="169"/>
      <c r="Y1006" s="169"/>
      <c r="Z1006" s="169"/>
      <c r="AA1006" s="169"/>
      <c r="AB1006" s="169"/>
      <c r="AC1006" s="169"/>
      <c r="AD1006" s="16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