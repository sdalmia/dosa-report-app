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documenttasks+xml" PartName="/xl/documenttasks/documenttask3.xml"/>
  <Override ContentType="application/vnd.ms-excel.documenttasks+xml" PartName="/xl/documenttasks/documenttask18.xml"/>
  <Override ContentType="application/vnd.ms-excel.documenttasks+xml" PartName="/xl/documenttasks/documenttask8.xml"/>
  <Override ContentType="application/vnd.ms-excel.documenttasks+xml" PartName="/xl/documenttasks/documenttask11.xml"/>
  <Override ContentType="application/vnd.ms-excel.documenttasks+xml" PartName="/xl/documenttasks/documenttask5.xml"/>
  <Override ContentType="application/vnd.ms-excel.documenttasks+xml" PartName="/xl/documenttasks/documenttask13.xml"/>
  <Override ContentType="application/vnd.ms-excel.documenttasks+xml" PartName="/xl/documenttasks/documenttask6.xml"/>
  <Override ContentType="application/vnd.ms-excel.documenttasks+xml" PartName="/xl/documenttasks/documenttask16.xml"/>
  <Override ContentType="application/vnd.ms-excel.documenttasks+xml" PartName="/xl/documenttasks/documenttask1.xml"/>
  <Override ContentType="application/vnd.ms-excel.documenttasks+xml" PartName="/xl/documenttasks/documenttask20.xml"/>
  <Override ContentType="application/vnd.ms-excel.documenttasks+xml" PartName="/xl/documenttasks/documenttask9.xml"/>
  <Override ContentType="application/vnd.ms-excel.documenttasks+xml" PartName="/xl/documenttasks/documenttask2.xml"/>
  <Override ContentType="application/vnd.ms-excel.documenttasks+xml" PartName="/xl/documenttasks/documenttask17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14.xml"/>
  <Override ContentType="application/vnd.ms-excel.documenttasks+xml" PartName="/xl/documenttasks/documenttask12.xml"/>
  <Override ContentType="application/vnd.ms-excel.documenttasks+xml" PartName="/xl/documenttasks/documenttask15.xml"/>
  <Override ContentType="application/vnd.ms-excel.documenttasks+xml" PartName="/xl/documenttasks/documenttask10.xml"/>
  <Override ContentType="application/vnd.ms-excel.documenttasks+xml" PartName="/xl/documenttasks/documenttask21.xml"/>
  <Override ContentType="application/vnd.ms-excel.documenttasks+xml" PartName="/xl/documenttasks/documenttask19.xml"/>
  <Override ContentType="application/vnd.ms-excel.person+xml" PartName="/xl/persons/person.xml"/>
  <Override ContentType="application/vnd.ms-excel.threadedcomments+xml" PartName="/xl/threadedComments/threadedComment10.xml"/>
  <Override ContentType="application/vnd.ms-excel.threadedcomments+xml" PartName="/xl/threadedComments/threadedComment15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12.xml"/>
  <Override ContentType="application/vnd.ms-excel.threadedcomments+xml" PartName="/xl/threadedComments/threadedComment6.xml"/>
  <Override ContentType="application/vnd.ms-excel.threadedcomments+xml" PartName="/xl/threadedComments/threadedComment13.xml"/>
  <Override ContentType="application/vnd.ms-excel.threadedcomments+xml" PartName="/xl/threadedComments/threadedComment18.xml"/>
  <Override ContentType="application/vnd.ms-excel.threadedcomments+xml" PartName="/xl/threadedComments/threadedComment2.xml"/>
  <Override ContentType="application/vnd.ms-excel.threadedcomments+xml" PartName="/xl/threadedComments/threadedComment9.xml"/>
  <Override ContentType="application/vnd.ms-excel.threadedcomments+xml" PartName="/xl/threadedComments/threadedComment20.xml"/>
  <Override ContentType="application/vnd.ms-excel.threadedcomments+xml" PartName="/xl/threadedComments/threadedComment16.xml"/>
  <Override ContentType="application/vnd.ms-excel.threadedcomments+xml" PartName="/xl/threadedComments/threadedComment7.xml"/>
  <Override ContentType="application/vnd.ms-excel.threadedcomments+xml" PartName="/xl/threadedComments/threadedComment14.xml"/>
  <Override ContentType="application/vnd.ms-excel.threadedcomments+xml" PartName="/xl/threadedComments/threadedComment11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ms-excel.threadedcomments+xml" PartName="/xl/threadedComments/threadedComment19.xml"/>
  <Override ContentType="application/vnd.ms-excel.threadedcomments+xml" PartName="/xl/threadedComments/threadedComment17.xml"/>
  <Override ContentType="application/vnd.ms-excel.threadedcomments+xml" PartName="/xl/threadedComments/threadedComment21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21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22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Ideal Plaza" sheetId="2" r:id="rId6"/>
    <sheet state="visible" name="Salt Lake JC -21" sheetId="3" r:id="rId7"/>
    <sheet state="visible" name="Forum Mall" sheetId="4" r:id="rId8"/>
    <sheet state="visible" name="Mani Square Mall" sheetId="5" r:id="rId9"/>
    <sheet state="visible" name="Lake Town" sheetId="6" r:id="rId10"/>
    <sheet state="visible" name="Rosedale Plaza" sheetId="7" r:id="rId11"/>
    <sheet state="visible" name="CSC" sheetId="8" r:id="rId12"/>
    <sheet state="visible" name="Technopolis" sheetId="9" r:id="rId13"/>
    <sheet state="visible" name="Forum Rangoli" sheetId="10" r:id="rId14"/>
    <sheet state="visible" name="Jameslong" sheetId="11" r:id="rId15"/>
    <sheet state="visible" name="Sector 1" sheetId="12" r:id="rId16"/>
    <sheet state="visible" name="Chinar Park" sheetId="13" r:id="rId17"/>
    <sheet state="visible" name="Santoshpur" sheetId="14" r:id="rId18"/>
    <sheet state="visible" name="Kalikapur" sheetId="15" r:id="rId19"/>
    <sheet state="visible" name="Lake Road" sheetId="16" r:id="rId20"/>
    <sheet state="visible" name="Quest Mall" sheetId="17" r:id="rId21"/>
    <sheet state="visible" name="Event Sales" sheetId="18" r:id="rId22"/>
    <sheet state="visible" name="Central Kitchen - Kolkata" sheetId="19" r:id="rId23"/>
    <sheet state="visible" name="Ads Account" sheetId="20" r:id="rId24"/>
    <sheet state="visible" name="HO" sheetId="21" r:id="rId25"/>
    <sheet state="visible" name="Misc Exp" sheetId="22" r:id="rId26"/>
    <sheet state="visible" name="Notes" sheetId="23" r:id="rId27"/>
    <sheet state="visible" name="Cost Factors" sheetId="24" r:id="rId2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tc={e31fca95-b414-4fb6-bd3c-49dedf65e24b}</author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  <comment authorId="1" xr:uid="{e31fca95-b414-4fb6-bd3c-49dedf65e24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29500 ATJ Consultancy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tc={0ae10b94-ec17-4ea3-a131-cd30f8048da3}</author>
    <author>tc={235a41ed-e396-4075-89ee-dfcc715ecbe5}</author>
    <author>tc={3c093294-80fd-4fe8-aba0-e61db7a02ca8}</author>
    <author>tc={6f9e5a6d-8450-4953-b22c-04c59ca124ce}</author>
    <author>tc={747ccf7f-3a40-4d40-a16a-d21d36f96233}</author>
    <author>tc={87af78dd-e178-4f6b-b9c3-87b2b3abf4ae}</author>
    <author>tc={962c03db-a1b9-4b7f-8d18-089605be5c0d}</author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  <comment authorId="1" xr:uid="{0ae10b94-ec17-4ea3-a131-cd30f8048da3}" ref="B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1200 Flame n Fire
</t>
      </text>
    </comment>
    <comment authorId="2" xr:uid="{235a41ed-e396-4075-89ee-dfcc715ecbe5}" ref="E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37480 CLEAN SOURCE
</t>
      </text>
    </comment>
    <comment authorId="3" xr:uid="{3c093294-80fd-4fe8-aba0-e61db7a02ca8}" ref="E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5145 Rent on Equipments
</t>
      </text>
    </comment>
    <comment authorId="4" xr:uid="{6f9e5a6d-8450-4953-b22c-04c59ca124ce}" ref="D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21240 ATJ PROVISION
Reply:
	5192 DESTIMONEY PROV
Reply:
	25960 S&amp;IB
Reply:
	37480 CLEAN SOURCE
</t>
      </text>
    </comment>
    <comment authorId="5" xr:uid="{747ccf7f-3a40-4d40-a16a-d21d36f96233}" ref="C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25960 S&amp;IB Provision
</t>
      </text>
    </comment>
    <comment authorId="6" xr:uid="{87af78dd-e178-4f6b-b9c3-87b2b3abf4ae}" ref="B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2516 for 3 months Fame Pilot
Reply:
	18000 for 3 months Matsan Plants
Reply:
	9813 for 12 months FHRAI
Reply:
	7080 FOR 12 MONTHS HREAI
</t>
      </text>
    </comment>
    <comment authorId="7" xr:uid="{962c03db-a1b9-4b7f-8d18-089605be5c0d}" ref="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48492 is KMC Trade License Fees for 26-27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tc={2fd83928-85d4-4aa6-9bc1-fc1307bf7a5d}</author>
    <author>tc={71835b91-1535-46f4-8750-a8f18f683ab9}</author>
    <author>tc={c3cc8a3d-e826-4d6b-a5cd-ad2744e1e4f1}</author>
    <author>tc={f50e6ec5-cdde-445e-81e0-55cecf2c22c1}</author>
    <author>tc={f63d148d-5d9e-449d-8f68-21193ddcfb02}</author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  <comment authorId="1" xr:uid="{2fd83928-85d4-4aa6-9bc1-fc1307bf7a5d}" ref="E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11000 STAFF ROOM RENT
</t>
      </text>
    </comment>
    <comment authorId="2" xr:uid="{71835b91-1535-46f4-8750-a8f18f683ab9}" ref="B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2516 for 3 months Fame Pilot
Reply:
	24000 for 3 months Matsan Plants
Reply:
	9813 FHRAI for 12 months
Reply:
	7080 FOR 12 MONTHS HREAI
</t>
      </text>
    </comment>
    <comment authorId="3" xr:uid="{c3cc8a3d-e826-4d6b-a5cd-ad2744e1e4f1}" ref="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8700 is KMC Trade License Fees for 26-27
</t>
      </text>
    </comment>
    <comment authorId="4" xr:uid="{f50e6ec5-cdde-445e-81e0-55cecf2c22c1}" ref="D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26317 CLEAN SOURCE PROV
</t>
      </text>
    </comment>
    <comment authorId="5" xr:uid="{f63d148d-5d9e-449d-8f68-21193ddcfb02}" ref="E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2950 Rent on Equipmemts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tc={3ba6bb58-af9c-44e7-bc06-a1e04001179d}</author>
    <author>tc={e3c7197d-13da-4b7e-b279-66eca347e51a}</author>
    <author>tc={eadf7855-b774-464e-a461-58ac1496364b}</author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  <comment authorId="1" xr:uid="{3ba6bb58-af9c-44e7-bc06-a1e04001179d}" ref="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15602 is KMC Trade License Fees for 26-27
</t>
      </text>
    </comment>
    <comment authorId="2" xr:uid="{e3c7197d-13da-4b7e-b279-66eca347e51a}" ref="E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3457 Rent on Equipments
</t>
      </text>
    </comment>
    <comment authorId="3" xr:uid="{eadf7855-b774-464e-a461-58ac1496364b}" ref="B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2516.16 Fame Pilot for 3 months
Reply:
	9813 for 12 Months FHRAI
Reply:
	7080 FOR 12 MONTHS HREAI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tc={064d8fb8-d383-4663-bb48-bb707069e776}</author>
    <author>tc={13099e84-b78e-4b80-ae11-5f213e3a0f03}</author>
    <author>tc={be610fcb-4575-4f4b-9bd6-cc7f5aadd8d3}</author>
    <author>tc={f560657c-35fc-443e-be6e-790e0ee497d3}</author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  <comment authorId="1" xr:uid="{064d8fb8-d383-4663-bb48-bb707069e776}" ref="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7596 is KMC Trade License Fees for 26-27
</t>
      </text>
    </comment>
    <comment authorId="2" xr:uid="{13099e84-b78e-4b80-ae11-5f213e3a0f03}" ref="C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1500 for 3 months
</t>
      </text>
    </comment>
    <comment authorId="3" xr:uid="{be610fcb-4575-4f4b-9bd6-cc7f5aadd8d3}" ref="B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1500 Flame n Fire
</t>
      </text>
    </comment>
    <comment authorId="4" xr:uid="{f560657c-35fc-443e-be6e-790e0ee497d3}" ref="B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2516 for 3 months Fame Pilot
Reply:
	7080 FOR 12 MONTHS HREAI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tc={17cb087b-be6d-4df0-8b10-5435b15a0261}</author>
    <author>tc={22306fbd-8403-4ccb-974d-8679fe4050b0}</author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  <comment authorId="1" xr:uid="{17cb087b-be6d-4df0-8b10-5435b15a0261}" ref="B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2516 for 3 months Fame Pilot
Reply:
	9813 for 12 months FHRAI
Reply:
	7080 FOR 12 MONTHS HREAI
</t>
      </text>
    </comment>
    <comment authorId="2" xr:uid="{22306fbd-8403-4ccb-974d-8679fe4050b0}" ref="E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2950 Rent on Equipmemts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tc={21f55b04-e88b-4ca1-9077-d50e3055f332}</author>
    <author>tc={70dadc8b-05a6-43dd-820a-53a32533cd55}</author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  <comment authorId="1" xr:uid="{21f55b04-e88b-4ca1-9077-d50e3055f332}" ref="B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2516.16 for 3 months Fame Pilot
Reply:
	9813 for 12 months FHRAI
Reply:
	7080 FOR MONTHS HREAI
</t>
      </text>
    </comment>
    <comment authorId="2" xr:uid="{70dadc8b-05a6-43dd-820a-53a32533cd55}" ref="B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2440 Flame n Fire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tc={eb6301a3-4f2c-4572-940d-7dc63b8d53be}</author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  <comment authorId="1" xr:uid="{eb6301a3-4f2c-4572-940d-7dc63b8d53be}" ref="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5104 is KMC Trade License Fees for 26-27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tc={78454b3f-02ba-47e0-959d-264cbf396e14}</author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  <comment authorId="1" xr:uid="{78454b3f-02ba-47e0-959d-264cbf396e14}" ref="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1550 is KMC Trade License Fees for 26-27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tc={107a9345-b4ee-41dc-ac06-008412d2bd86}</author>
    <author>tc={5c596505-cd16-42d9-9fe8-ae14a2f45c20}</author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  <comment authorId="1" xr:uid="{107a9345-b4ee-41dc-ac06-008412d2bd86}" ref="E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3457 Rent on Equipmemts
</t>
      </text>
    </comment>
    <comment authorId="2" xr:uid="{5c596505-cd16-42d9-9fe8-ae14a2f45c20}" ref="B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2516.16 for 3 months Fame Pilot
Reply:
	9813 for 12 months FHRAI
Reply:
	7080 FOR 12 MONTHS HREAI
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tc={5a2752e6-120f-478e-8c10-bb239ec74542}</author>
    <author>tc={f1c7cb19-ed50-4e0d-a4e9-c4c945e993b2}</author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  <comment authorId="1" xr:uid="{5a2752e6-120f-478e-8c10-bb239ec74542}" ref="E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2360 Rent on Equipmemts
</t>
      </text>
    </comment>
    <comment authorId="2" xr:uid="{f1c7cb19-ed50-4e0d-a4e9-c4c945e993b2}" ref="B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2516.16 for 3 months Fame Pilot
Reply:
	9000 for 3 months Matsan Plants
Reply:
	9813 for 12 months FHRAI
Reply:
	7080 for 12 months HREAI
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tc={2146dd9c-2e35-4571-ba90-3bc4a9b86ab4}</author>
    <author>tc={5b002f6e-e65a-464c-b1e5-3cba00906ae0}</author>
    <author>tc={73292da7-b724-4e19-af93-52a49205a6d1}</author>
    <author>tc={8901680c-07e5-4afd-bfa9-de2a551ac5a5}</author>
    <author>tc={a7d2906f-6715-400c-9680-f5f3c3880350}</author>
    <author>tc={afbe44e7-2f48-4864-a3a6-1b022fdf399a}</author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  <comment authorId="1" xr:uid="{2146dd9c-2e35-4571-ba90-3bc4a9b86ab4}" ref="B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2516.16 for 3 months Fame Pilot
Reply:
	9813 for 12 months FHRAI
Reply:
	7080 FOR 12 MONTHS HREAI
</t>
      </text>
    </comment>
    <comment authorId="2" xr:uid="{5b002f6e-e65a-464c-b1e5-3cba00906ae0}" ref="D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41250 DESTIMONEY
</t>
      </text>
    </comment>
    <comment authorId="3" xr:uid="{73292da7-b724-4e19-af93-52a49205a6d1}" ref="B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23364 S&amp;IB
</t>
      </text>
    </comment>
    <comment authorId="4" xr:uid="{8901680c-07e5-4afd-bfa9-de2a551ac5a5}" ref="E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2950 Rent on Equipmemts
</t>
      </text>
    </comment>
    <comment authorId="5" xr:uid="{a7d2906f-6715-400c-9680-f5f3c3880350}" ref="C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23364 S&amp;IB Provision
</t>
      </text>
    </comment>
    <comment authorId="6" xr:uid="{afbe44e7-2f48-4864-a3a6-1b022fdf399a}" ref="B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2400 Flame n Fire
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tc={1185a165-c258-414d-9d10-7192af2c570e}</author>
    <author>tc={265fb0e5-0a4f-4cfb-8244-5fefecba7bd6}</author>
    <author>tc={664df305-61c1-4e59-a243-83c6913d46b4}</author>
    <author>tc={7ab92359-4639-4dd7-919d-98c5c30e6e6b}</author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  <comment authorId="1" xr:uid="{1185a165-c258-414d-9d10-7192af2c570e}" ref="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22334 is KMC Trade License Fees for 26-27
</t>
      </text>
    </comment>
    <comment authorId="2" xr:uid="{265fb0e5-0a4f-4cfb-8244-5fefecba7bd6}" ref="B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1200 Flame n Fire
</t>
      </text>
    </comment>
    <comment authorId="3" xr:uid="{664df305-61c1-4e59-a243-83c6913d46b4}" ref="B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2516.16 for 3 months Fame Pilot
</t>
      </text>
    </comment>
    <comment authorId="4" xr:uid="{7ab92359-4639-4dd7-919d-98c5c30e6e6b}" ref="E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2360 Rent on Equipmemts
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tc={3eebe63a-7108-4f67-aad8-abbf140e8d03}</author>
    <author>tc={61837e03-796e-4477-b478-d1be6e44f90a}</author>
    <author>tc={8aed0f8d-83db-426f-9d0f-cfad028fe8e4}</author>
    <author>tc={eb5e9519-7b93-4542-b1b7-0edfa8c85101}</author>
    <author>tc={f9e49719-c733-436a-b363-5e5e94965f88}</author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  <comment authorId="1" xr:uid="{3eebe63a-7108-4f67-aad8-abbf140e8d03}" ref="B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2516.16 for 3 months Fame Pilot
Reply:
	9813 for 12 months FHRAI
Reply:
	7080 for 12 months HREAI
</t>
      </text>
    </comment>
    <comment authorId="2" xr:uid="{61837e03-796e-4477-b478-d1be6e44f90a}" ref="E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4300 FOR 12 MONTHS 18.7.26 TO 12.7.27
</t>
      </text>
    </comment>
    <comment authorId="3" xr:uid="{8aed0f8d-83db-426f-9d0f-cfad028fe8e4}" ref="B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3100 Flame n Fire
</t>
      </text>
    </comment>
    <comment authorId="4" xr:uid="{eb5e9519-7b93-4542-b1b7-0edfa8c85101}" ref="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21934 is KMC Trade License Fees for 26-27
</t>
      </text>
    </comment>
    <comment authorId="5" xr:uid="{f9e49719-c733-436a-b363-5e5e94965f88}" ref="E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5145 Rent on Equipmemts
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tc={26f58d28-605a-4ffb-99f7-a294b9a5f254}</author>
    <author>tc={50443127-0140-49a2-80b7-255827b51f57}</author>
    <author>tc={c1e1524f-c9b5-40a5-bd38-370042040d4c}</author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  <comment authorId="1" xr:uid="{26f58d28-605a-4ffb-99f7-a294b9a5f254}" ref="E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2360 Rent on Equipmemts
</t>
      </text>
    </comment>
    <comment authorId="2" xr:uid="{50443127-0140-49a2-80b7-255827b51f57}" ref="B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2516.16 for 3 months Fame Pilot
Reply:
	9813 for 12 months FHRAI
Reply:
	7080 for 12 months HREAI
</t>
      </text>
    </comment>
    <comment authorId="3" xr:uid="{c1e1524f-c9b5-40a5-bd38-370042040d4c}" ref="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21934 is KMC Trade License Fees for 26-27
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tc={2060449e-4d89-483e-b7c5-3c328e5e5b0d}</author>
    <author>tc={208627c8-cb03-48f1-963f-cf81fa8bb21a}</author>
    <author>tc={3427a4b8-ddbc-4416-93bf-1fe73d16128e}</author>
    <author>tc={627552d5-a4f0-4238-9a51-00e86952ea9b}</author>
    <author>tc={64f9846f-ca32-4907-afee-f6d526b098cc}</author>
    <author>tc={789434ce-d6de-4038-801f-4932debfcced}</author>
    <author>tc={da93cb36-cefe-41dc-bc05-0a8cb67a32af}</author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  <comment authorId="1" xr:uid="{2060449e-4d89-483e-b7c5-3c328e5e5b0d}" ref="C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25960 S&amp;IB Provision
29500 ATJ Consultancy
</t>
      </text>
    </comment>
    <comment authorId="2" xr:uid="{208627c8-cb03-48f1-963f-cf81fa8bb21a}" ref="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48492 is KMC Trade License Fees for 26-27
</t>
      </text>
    </comment>
    <comment authorId="3" xr:uid="{3427a4b8-ddbc-4416-93bf-1fe73d16128e}" ref="B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2516.16for 3 months Fame Pilot
Reply:
	16500 for 3 months Matsan Plants
Reply:
	9813 FHRAI for 12 months
Reply:
	7080 HREAI for 12 months
</t>
      </text>
    </comment>
    <comment authorId="4" xr:uid="{627552d5-a4f0-4238-9a51-00e86952ea9b}" ref="D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29500 ATJ CONSULTANCY PROVISION
Reply:
	10000 STAFF ROOM RENT
</t>
      </text>
    </comment>
    <comment authorId="5" xr:uid="{64f9846f-ca32-4907-afee-f6d526b098cc}" ref="C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25960 S&amp;IB Provision
</t>
      </text>
    </comment>
    <comment authorId="6" xr:uid="{789434ce-d6de-4038-801f-4932debfcced}" ref="B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2400 Flame n Fire
</t>
      </text>
    </comment>
    <comment authorId="7" xr:uid="{da93cb36-cefe-41dc-bc05-0a8cb67a32af}" ref="B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25960 for Security Guard Charges
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tc={11ecfc43-6e27-46e2-bdc3-de7c9bf50b09}</author>
    <author>tc={14b92a78-a599-4059-b0ba-d5a4920915a3}</author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  <comment authorId="1" xr:uid="{11ecfc43-6e27-46e2-bdc3-de7c9bf50b09}" ref="B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2400 Flame n Fire
</t>
      </text>
    </comment>
    <comment authorId="2" xr:uid="{14b92a78-a599-4059-b0ba-d5a4920915a3}" ref="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50492 is KMC Trade License Fees for 26-27
Reply:
	124271 for Quest Mall Municipal Tax FY 25-26
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tc={0043d0be-be3c-4aa0-9479-ac5854e18849}</author>
    <author>tc={1b49c28f-7049-4702-9d78-947b25d9a5c6}</author>
    <author>tc={216927e8-ea82-4457-a40f-751e83a213cd}</author>
    <author>tc={25b31f80-cb85-4810-a57f-9916a9a54845}</author>
    <author>tc={7aacfffb-fa64-48b0-8928-bc3ec5704ece}</author>
    <author>tc={8a140b58-9753-481f-9b35-877b531b6f2d}</author>
    <author>tc={a35f2b21-92c2-423a-af0c-771a2a85ffa1}</author>
    <author>tc={eb2411b5-1fcf-414e-922a-dd0c01086b7d}</author>
    <author>tc={f0660ea5-2a12-4c4b-aa1d-f101f9f78b7d}</author>
  </authors>
  <commentList>
    <comment authorId="0" xr:uid="{0043d0be-be3c-4aa0-9479-ac5854e18849}" ref="G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OUT OF 369512 RS 355552 BELONGS EARLIER FY AND WE INVOICES RECEIVED IN CURRENT FY
</t>
      </text>
    </comment>
    <comment authorId="1" xr:uid="{1b49c28f-7049-4702-9d78-947b25d9a5c6}" ref="B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39394 for Cash pick up charges
</t>
      </text>
    </comment>
    <comment authorId="2" xr:uid="{216927e8-ea82-4457-a40f-751e83a213cd}" ref="C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75709 S&amp;IB Provision
</t>
      </text>
    </comment>
    <comment authorId="3" xr:uid="{25b31f80-cb85-4810-a57f-9916a9a54845}" ref="B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2720 Flame n Fire
</t>
      </text>
    </comment>
    <comment authorId="4" xr:uid="{7aacfffb-fa64-48b0-8928-bc3ec5704ece}" ref="E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9440 Rent on Equipments
</t>
      </text>
    </comment>
    <comment authorId="5" xr:uid="{8a140b58-9753-481f-9b35-877b531b6f2d}" ref="C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39394 for Cash pick up charges
</t>
      </text>
    </comment>
    <comment authorId="6" xr:uid="{a35f2b21-92c2-423a-af0c-771a2a85ffa1}" ref="B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18760 is KMC Trade License Fees for 26-27
Reply:
	34235 for Vehicle Tax Payment
</t>
      </text>
    </comment>
    <comment authorId="7" xr:uid="{eb2411b5-1fcf-414e-922a-dd0c01086b7d}" ref="F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Rs 100000 paid to Chef
</t>
      </text>
    </comment>
    <comment authorId="8" xr:uid="{f0660ea5-2a12-4c4b-aa1d-f101f9f78b7d}" ref="D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13000 CHIRANJIT PURAKAIT
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tc={0067f4a2-8eb3-4e42-898d-dc10a5ba31b4}</author>
    <author>tc={0aa20ec0-758c-4b09-86c9-1acbd0d17044}</author>
    <author>tc={1bc622e7-2886-4691-945d-ac8da9dcec17}</author>
    <author>tc={55ef6fcc-0708-49a7-94fb-a50ab5ad701a}</author>
    <author>tc={59add605-958b-4942-84f7-220bf4f0aa78}</author>
    <author>tc={5efb8c87-3959-4b2f-9b64-edbfa98c28a9}</author>
    <author>tc={6795d986-37d1-4e19-8b3e-c9e19f52a416}</author>
    <author>tc={7e6ffe1a-586c-4b7c-993b-4ccd4625c371}</author>
    <author>tc={824697db-c766-4a7e-9379-657019836e1e}</author>
    <author>tc={a519bb51-60e9-4431-a511-b86bff37ca7a}</author>
    <author>tc={b85e0372-e733-48c2-a7b7-19188dee6389}</author>
    <author>tc={b89934a4-504d-4d7b-808d-7be5df827c0c}</author>
    <author>tc={ce157424-bf5b-4c33-aec3-461f5fc16d8c}</author>
    <author>tc={e2866116-f138-4316-8d73-5a17f5a31268}</author>
    <author>tc={ec8661fe-fb08-4c0c-8ca6-5d1bd1e781e5}</author>
    <author>tc={ec9f2d8b-834b-4e1a-9576-f6a3e7cf5567}</author>
    <author>tc={edd57afd-a9fd-42c7-9099-b7b347c287c4}</author>
  </authors>
  <commentList>
    <comment authorId="0" xr:uid="{0067f4a2-8eb3-4e42-898d-dc10a5ba31b4}" ref="D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 DISCUSSED WITH SANJOY DA THIS PARTICULAR EXPENSES RELATES TO BRANDING THUS WE DIVIDE THE EXPENSES BETWEEN BOTH THE CITIES
</t>
      </text>
    </comment>
    <comment authorId="1" xr:uid="{0aa20ec0-758c-4b09-86c9-1acbd0d17044}" ref="G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35400 Astra One Ventures Sep 26 Provision
</t>
      </text>
    </comment>
    <comment authorId="2" xr:uid="{1bc622e7-2886-4691-945d-ac8da9dcec17}" ref="G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171000 Durga Puja Donation
</t>
      </text>
    </comment>
    <comment authorId="3" xr:uid="{55ef6fcc-0708-49a7-94fb-a50ab5ad701a}" ref="F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35400 Astra One Ventures Aug 26 Provision
</t>
      </text>
    </comment>
    <comment authorId="4" xr:uid="{59add605-958b-4942-84f7-220bf4f0aa78}" ref="B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35400 Klarus Tech
Reply:
	62663.68 Facebook Expenses
</t>
      </text>
    </comment>
    <comment authorId="5" xr:uid="{5efb8c87-3959-4b2f-9b64-edbfa98c28a9}" ref="C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25000 paid to Jyotisko Biswas
</t>
      </text>
    </comment>
    <comment authorId="6" xr:uid="{6795d986-37d1-4e19-8b3e-c9e19f52a416}" ref="B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47702 paid to Jyotishko
</t>
      </text>
    </comment>
    <comment authorId="7" xr:uid="{7e6ffe1a-586c-4b7c-993b-4ccd4625c371}" ref="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why both are pertaining to July 26
Reply:
	35400 Paid to Astra One Ventures July 26
</t>
      </text>
    </comment>
    <comment authorId="8" xr:uid="{824697db-c766-4a7e-9379-657019836e1e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30713 Fridge Magnet given on Mothers day
</t>
      </text>
    </comment>
    <comment authorId="9" xr:uid="{a519bb51-60e9-4431-a511-b86bff37ca7a}" ref="C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25000 paid to Jyotisko Biswas
Reply:
	35400 Klarus Tech
Reply:
	65255 Facebook Expenses
</t>
      </text>
    </comment>
    <comment authorId="10" xr:uid="{b85e0372-e733-48c2-a7b7-19188dee6389}" ref="E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88297 Facebook Expenses
</t>
      </text>
    </comment>
    <comment authorId="11" xr:uid="{b89934a4-504d-4d7b-808d-7be5df827c0c}" ref="D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35400 Paid to Astra One Ventures June 26
</t>
      </text>
    </comment>
    <comment authorId="12" xr:uid="{ce157424-bf5b-4c33-aec3-461f5fc16d8c}" ref="D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35400 Klarus Tech
</t>
      </text>
    </comment>
    <comment authorId="13" xr:uid="{e2866116-f138-4316-8d73-5a17f5a31268}" ref="C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Excess Deduction
Reply:
	Swiggy has deducted ₹7,18,753. However, as per our calculation, the advertisement charges for the month of May 2026 amount to only ₹3,34,754
</t>
      </text>
    </comment>
    <comment authorId="14" xr:uid="{ec8661fe-fb08-4c0c-8ca6-5d1bd1e781e5}" ref="C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35400 Paid to Astra One Ventures
</t>
      </text>
    </comment>
    <comment authorId="15" xr:uid="{ec9f2d8b-834b-4e1a-9576-f6a3e7cf5567}" ref="B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Rs 53100 paid to Kairos (Astra One Ventures)
</t>
      </text>
    </comment>
    <comment authorId="16" xr:uid="{edd57afd-a9fd-42c7-9099-b7b347c287c4}" ref="C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45000 PAID TO SHAHBAZ
</t>
      </text>
    </comment>
  </commentLi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tc={5b87efb7-7e6d-46cb-bfba-253de83fd0b1}</author>
    <author>tc={6a996c41-8c52-4a69-abac-c534018e22d9}</author>
    <author>tc={d28ff438-9000-453d-86a5-96acfb7a9829}</author>
    <author>tc={d2c3727f-8b6d-4f9e-938c-dd06826cf197}</author>
    <author>tc={db403d50-896d-4db2-9265-ed77fbde2843}</author>
    <author>tc={dff1b6cc-4551-4ca1-8f4a-b44557560104}</author>
  </authors>
  <commentList>
    <comment authorId="0" xr:uid="{5b87efb7-7e6d-46cb-bfba-253de83fd0b1}" ref="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65025 for hiring CS
Reply:
	4000 paid to Sukamal Paul
7000 paid to Neeraj Agarwal
Reply:
	27258 paid to Frontline
Reply:
	42480 PAid to Intelidit for Mystery Audit
</t>
      </text>
    </comment>
    <comment authorId="1" xr:uid="{6a996c41-8c52-4a69-abac-c534018e22d9}" ref="B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26904 for 6 months Cloud Services
Reply:
	109848 already paid for 3 months to Keka last year in Feb 26
Reply:
	259978 for 12 months paid to Reelo
</t>
      </text>
    </comment>
    <comment authorId="2" xr:uid="{d28ff438-9000-453d-86a5-96acfb7a9829}" ref="C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114621 for 3 months Keka
</t>
      </text>
    </comment>
    <comment authorId="3" xr:uid="{d2c3727f-8b6d-4f9e-938c-dd06826cf197}" ref="C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27258 Frontlyne May 26
</t>
      </text>
    </comment>
    <comment authorId="4" xr:uid="{db403d50-896d-4db2-9265-ed77fbde2843}" ref="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50514 FNF
9259 FNF
11726 FNF
11377 FNF
28276 FNF
Reply:
	130000 Gratuity
</t>
      </text>
    </comment>
    <comment authorId="5" xr:uid="{dff1b6cc-4551-4ca1-8f4a-b44557560104}" ref="B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27258 for Frontlyne Subscription
</t>
      </text>
    </comment>
  </commentLi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tc={1926b8cd-e809-4041-8852-6157522709d4}</author>
    <author>tc={1f8a0132-758f-4ff2-8a1a-4f03201d6136}</author>
    <author>tc={5ba39549-1235-4a87-80be-ebb9d47887cf}</author>
    <author>tc={946b2eaa-98ab-4366-8610-1b1b3b8f1574}</author>
    <author>tc={a694dbd9-c54c-4bb6-ad0c-7853e1300a48}</author>
  </authors>
  <commentList>
    <comment authorId="0" xr:uid="{1926b8cd-e809-4041-8852-6157522709d4}" ref="S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Out of Rs 369512, Rs 355552 related to earlier years and received invoices in Current FY only
</t>
      </text>
    </comment>
    <comment authorId="1" xr:uid="{1f8a0132-758f-4ff2-8a1a-4f03201d6136}" ref="H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10789 for music license for 12 months starting from July 26
</t>
      </text>
    </comment>
    <comment authorId="2" xr:uid="{5ba39549-1235-4a87-80be-ebb9d47887cf}" ref="S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17450 Motor Car Insurance
</t>
      </text>
    </comment>
    <comment authorId="3" xr:uid="{946b2eaa-98ab-4366-8610-1b1b3b8f1574}" ref="S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44414 Motor Car Insurance
</t>
      </text>
    </comment>
    <comment authorId="4" xr:uid="{a694dbd9-c54c-4bb6-ad0c-7853e1300a48}" ref="G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9246 Music License for 12 months 19.06.26 to 18.06.27
</t>
      </text>
    </comment>
  </commentList>
</comments>
</file>

<file path=xl/sharedStrings.xml><?xml version="1.0" encoding="utf-8"?>
<sst xmlns="http://schemas.openxmlformats.org/spreadsheetml/2006/main" count="1003" uniqueCount="213">
  <si>
    <t>Dosa Coffee - Ideal Plaza</t>
  </si>
  <si>
    <t>Dosa Coffee - Kolkata</t>
  </si>
  <si>
    <t>Department</t>
  </si>
  <si>
    <t>Dosa Coffee - Salt Lake JC 21</t>
  </si>
  <si>
    <t>Dosa Coffee - Forum Mall</t>
  </si>
  <si>
    <t>FY 2025-26</t>
  </si>
  <si>
    <t>Food Cost Calculation</t>
  </si>
  <si>
    <t>Opening Stock</t>
  </si>
  <si>
    <t>Procurement</t>
  </si>
  <si>
    <t>Purchases Food (Less Purchase Return)</t>
  </si>
  <si>
    <t>Transferred Out</t>
  </si>
  <si>
    <t>Wastage &amp; Date Expired</t>
  </si>
  <si>
    <t>Closing Stock</t>
  </si>
  <si>
    <t>Gross Revenue</t>
  </si>
  <si>
    <t>Catering &amp; Fairs</t>
  </si>
  <si>
    <t>Less Tax</t>
  </si>
  <si>
    <t>Less Commission</t>
  </si>
  <si>
    <t>Net Revenues from F&amp;B Sales</t>
  </si>
  <si>
    <t>Less: Tax</t>
  </si>
  <si>
    <t>Less: Commission</t>
  </si>
  <si>
    <t>F&amp;B Cost</t>
  </si>
  <si>
    <t>Electricity</t>
  </si>
  <si>
    <t>Telephone/Internet</t>
  </si>
  <si>
    <t>Gas</t>
  </si>
  <si>
    <t>Rent &amp; Revenue Share</t>
  </si>
  <si>
    <t>Software</t>
  </si>
  <si>
    <t>Staff Salary &amp; Bonus</t>
  </si>
  <si>
    <t>AMC</t>
  </si>
  <si>
    <t>Subscription</t>
  </si>
  <si>
    <t>Insurance Premium</t>
  </si>
  <si>
    <t>Repairs &amp; Maintenance</t>
  </si>
  <si>
    <t>Miscellaneous Expenses</t>
  </si>
  <si>
    <t>CAM</t>
  </si>
  <si>
    <t>HO+CK Cost</t>
  </si>
  <si>
    <t>Operating Expenses</t>
  </si>
  <si>
    <t>Store Level EBITDA</t>
  </si>
  <si>
    <t>Food Cost</t>
  </si>
  <si>
    <t>Dosa Coffee - Mani Square Mall</t>
  </si>
  <si>
    <t>Dosa Coffee - Lake Town</t>
  </si>
  <si>
    <t>Dosa Coffee - Rosedale Plaza</t>
  </si>
  <si>
    <t>Operation</t>
  </si>
  <si>
    <t>Dosa Coffee - CSC</t>
  </si>
  <si>
    <t>Staff Salary</t>
  </si>
  <si>
    <t>Dosa Coffee - Technopolis</t>
  </si>
  <si>
    <t>Dosa Coffee - Forum Rangoli</t>
  </si>
  <si>
    <t xml:space="preserve">Staff Salary </t>
  </si>
  <si>
    <t>Dosa Coffee - Jameslong Sarani</t>
  </si>
  <si>
    <t>Commission %</t>
  </si>
  <si>
    <t>Dosa Coffee - Sector 1</t>
  </si>
  <si>
    <t>Dosa Coffee - Chinar Park</t>
  </si>
  <si>
    <t>Accounts</t>
  </si>
  <si>
    <t>Dosa Coffee - Santoshpur</t>
  </si>
  <si>
    <t>Dosa Coffee - Kalikapur</t>
  </si>
  <si>
    <t>HR</t>
  </si>
  <si>
    <t>Dosa Coffee - Lake Road</t>
  </si>
  <si>
    <t>Dosa Coffee - Quest Mall</t>
  </si>
  <si>
    <t>Dosa Coffee - Event Sales</t>
  </si>
  <si>
    <t>Staff Incentives</t>
  </si>
  <si>
    <t>Insurance</t>
  </si>
  <si>
    <t>Development</t>
  </si>
  <si>
    <t>Depriciation (2%) + Interest (1%)</t>
  </si>
  <si>
    <t>P/L</t>
  </si>
  <si>
    <t>Capital Deployed</t>
  </si>
  <si>
    <t>FY 2024-25</t>
  </si>
  <si>
    <t>FY 25-26</t>
  </si>
  <si>
    <t>Advertisement &amp; Promotion</t>
  </si>
  <si>
    <t>- Team</t>
  </si>
  <si>
    <t>- Social Media/Digital Media</t>
  </si>
  <si>
    <t>- Print Media</t>
  </si>
  <si>
    <t>- Radio</t>
  </si>
  <si>
    <t xml:space="preserve">- Public Relations </t>
  </si>
  <si>
    <t>- Influencers</t>
  </si>
  <si>
    <t>- POP Materials</t>
  </si>
  <si>
    <t>- Photo and Video Shoot</t>
  </si>
  <si>
    <t>- Website</t>
  </si>
  <si>
    <t>- Competitions and Give Aways</t>
  </si>
  <si>
    <t>- Reelo Campaign</t>
  </si>
  <si>
    <t>- Misc. &amp; Others</t>
  </si>
  <si>
    <t>Consumption</t>
  </si>
  <si>
    <t>- Zomato</t>
  </si>
  <si>
    <t>- Swiggy</t>
  </si>
  <si>
    <t>Wastage</t>
  </si>
  <si>
    <t>Total</t>
  </si>
  <si>
    <t>Rent &amp; CAM</t>
  </si>
  <si>
    <t>Head Office Expenses</t>
  </si>
  <si>
    <t>Central Kitchen Expenses</t>
  </si>
  <si>
    <t>Membership &amp; Subscription</t>
  </si>
  <si>
    <t>Corporate Level Costs</t>
  </si>
  <si>
    <t>General Expenses</t>
  </si>
  <si>
    <t>Telephone Expenses</t>
  </si>
  <si>
    <t>Head Office Salary &amp; Bonus</t>
  </si>
  <si>
    <t>Conveyance</t>
  </si>
  <si>
    <t>Transport Charges</t>
  </si>
  <si>
    <t>Leave Encashment</t>
  </si>
  <si>
    <t xml:space="preserve"> </t>
  </si>
  <si>
    <t xml:space="preserve">Motor Car Expenses &amp; Fuel </t>
  </si>
  <si>
    <t>Office Expenses</t>
  </si>
  <si>
    <t>Professional and Consultancy Fees</t>
  </si>
  <si>
    <t>Printing &amp; Stationary</t>
  </si>
  <si>
    <t>Repair &amp; Maintenance</t>
  </si>
  <si>
    <t>Software Charges</t>
  </si>
  <si>
    <t>Staff Incentive</t>
  </si>
  <si>
    <t>Staff Food &amp; Perks</t>
  </si>
  <si>
    <t>Subscription Fees</t>
  </si>
  <si>
    <t>Transportation and Labour</t>
  </si>
  <si>
    <t>Travelling and Conveyance</t>
  </si>
  <si>
    <t>Other Sales</t>
  </si>
  <si>
    <t>Ideal Plaza</t>
  </si>
  <si>
    <t>CSC</t>
  </si>
  <si>
    <t>Rosedale Plaza</t>
  </si>
  <si>
    <t>Santoshpur</t>
  </si>
  <si>
    <t>Kalikapur</t>
  </si>
  <si>
    <t>Sector 1</t>
  </si>
  <si>
    <t>Salt Lake</t>
  </si>
  <si>
    <t>Rangoli Mall</t>
  </si>
  <si>
    <t>Jameslong Sarani</t>
  </si>
  <si>
    <t>Mani Square</t>
  </si>
  <si>
    <t>Lake Town</t>
  </si>
  <si>
    <t>Lake Road</t>
  </si>
  <si>
    <t>Rajarhat</t>
  </si>
  <si>
    <t>Quest Mall</t>
  </si>
  <si>
    <t>Forum</t>
  </si>
  <si>
    <t>Event</t>
  </si>
  <si>
    <t>Technopolis</t>
  </si>
  <si>
    <t>Central Kitchen</t>
  </si>
  <si>
    <t>Head Office</t>
  </si>
  <si>
    <t>Actual</t>
  </si>
  <si>
    <t>Total HO Expenses</t>
  </si>
  <si>
    <t>Travelling Expenses</t>
  </si>
  <si>
    <t>Transportation Charges</t>
  </si>
  <si>
    <t>Motor Car Expenses</t>
  </si>
  <si>
    <t>Local Conveyance</t>
  </si>
  <si>
    <t>Round Off</t>
  </si>
  <si>
    <t>Apr'2026</t>
  </si>
  <si>
    <t>% Sales Dist</t>
  </si>
  <si>
    <t>% Dist (HO)</t>
  </si>
  <si>
    <t>Parking Expense</t>
  </si>
  <si>
    <t>May'2026</t>
  </si>
  <si>
    <t>Staff Welfare Expenses</t>
  </si>
  <si>
    <t>June'2026</t>
  </si>
  <si>
    <t>July'2026</t>
  </si>
  <si>
    <t>Credit Card Settlement Charges</t>
  </si>
  <si>
    <t>Printing &amp; Stationery</t>
  </si>
  <si>
    <t>Advertisement Expenses</t>
  </si>
  <si>
    <t>Postage &amp; Courier</t>
  </si>
  <si>
    <t>Research &amp; Testing Fees</t>
  </si>
  <si>
    <t>Filing Fees</t>
  </si>
  <si>
    <t>Cancellation Refund on Swiggy</t>
  </si>
  <si>
    <t>Water Supply Charges</t>
  </si>
  <si>
    <t>Puja Expenses</t>
  </si>
  <si>
    <t>Customer Compensation Fees</t>
  </si>
  <si>
    <t>Fire Extuinguishers Cylinder</t>
  </si>
  <si>
    <t>Salt Lake JC-21</t>
  </si>
  <si>
    <t>Commission on Gift Card</t>
  </si>
  <si>
    <t>Rates &amp; Taxes</t>
  </si>
  <si>
    <t>Fines &amp; Penalty</t>
  </si>
  <si>
    <t>License Fees</t>
  </si>
  <si>
    <t>Delivery Charges</t>
  </si>
  <si>
    <t>Merchant Funded Promotion</t>
  </si>
  <si>
    <t>Forum Mall</t>
  </si>
  <si>
    <t>Kitchen Utensils Expenses</t>
  </si>
  <si>
    <t>Interest on TDS</t>
  </si>
  <si>
    <t>Professional Tax</t>
  </si>
  <si>
    <t>Bank Charges</t>
  </si>
  <si>
    <t>Cash Pick- up Charges</t>
  </si>
  <si>
    <t>Staff Electricity</t>
  </si>
  <si>
    <t>Consultancy Fees</t>
  </si>
  <si>
    <t>EDC Annual Return</t>
  </si>
  <si>
    <t>Repairs &amp; Maintenance - Plant</t>
  </si>
  <si>
    <t>Repairs &amp; Maintenance - Building</t>
  </si>
  <si>
    <t>Repairs &amp; Maintenance - Others</t>
  </si>
  <si>
    <t>Mani Square Mall</t>
  </si>
  <si>
    <t>Forum Rangoli</t>
  </si>
  <si>
    <t>Sl. No.</t>
  </si>
  <si>
    <t>Particulars</t>
  </si>
  <si>
    <t>Salt Lake JC 21</t>
  </si>
  <si>
    <t xml:space="preserve">Jameslong </t>
  </si>
  <si>
    <t>Event Sales</t>
  </si>
  <si>
    <t>HO</t>
  </si>
  <si>
    <t>Salary</t>
  </si>
  <si>
    <t>Salary (Includes Bonus and Other Emoluments)</t>
  </si>
  <si>
    <t>Depository Fees</t>
  </si>
  <si>
    <t>EPF - EDLI Charges</t>
  </si>
  <si>
    <t>EPF- ADMIN CHARGES</t>
  </si>
  <si>
    <t>Consumanble Items</t>
  </si>
  <si>
    <t>Chinar Park</t>
  </si>
  <si>
    <t>EBIDTA Margin %</t>
  </si>
  <si>
    <t>OK</t>
  </si>
  <si>
    <t>166 2/3</t>
  </si>
  <si>
    <t>972 2/9</t>
  </si>
  <si>
    <t>Aug'2026</t>
  </si>
  <si>
    <t>Sep'2026</t>
  </si>
  <si>
    <t>Oct'2026</t>
  </si>
  <si>
    <t>Nov'2026</t>
  </si>
  <si>
    <t xml:space="preserve">HO CK cost can be apportioned on these below factors </t>
  </si>
  <si>
    <t>Cost Component</t>
  </si>
  <si>
    <t>Suggested Basis</t>
  </si>
  <si>
    <t>Central Kitchen Labour</t>
  </si>
  <si>
    <t>Quantity/value supplied</t>
  </si>
  <si>
    <t>CK Rent &amp; Utilities</t>
  </si>
  <si>
    <t>Procurement Team</t>
  </si>
  <si>
    <t>Purchase value</t>
  </si>
  <si>
    <t>Operations Team</t>
  </si>
  <si>
    <t>Sales or number of stores</t>
  </si>
  <si>
    <t>Finance &amp; Accounts</t>
  </si>
  <si>
    <t>Sales or equal store basis</t>
  </si>
  <si>
    <t>HR &amp; Training</t>
  </si>
  <si>
    <t>Employee count</t>
  </si>
  <si>
    <t>Number of POS terminals/orders</t>
  </si>
  <si>
    <t>Dec'2026</t>
  </si>
  <si>
    <t>Jan'2027</t>
  </si>
  <si>
    <t>Feb'2027</t>
  </si>
  <si>
    <t>Mar'2027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</si>
</sst>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&quot;,&quot;yy"/>
    <numFmt numFmtId="165" formatCode="_(* #,##0.00_);_(* \(#,##0.00\);_(* &quot;-&quot;??_);_(@_)"/>
    <numFmt numFmtId="166" formatCode="_(* #,##0.00_);_(* \(#,##0.00\);_(* &quot;-&quot;??.0_);_(@_)"/>
    <numFmt numFmtId="167" formatCode="mmm d"/>
    <numFmt numFmtId="168" formatCode="mmmm-d"/>
    <numFmt numFmtId="169" formatCode="_(* #,##0.000_);_(* \(#,##0.000\);_(* &quot;-&quot;??.000_);_(@_)"/>
    <numFmt numFmtId="170" formatCode="_(* #,##0_);_(* \(#,##0\);_(* &quot;-&quot;??_);_(@_)"/>
  </numFmts>
  <fonts count="19">
    <font>
      <sz val="10.0"/>
      <color rgb="FF000000"/>
      <name val="Arial"/>
      <scheme val="minor"/>
    </font>
    <font>
      <b/>
      <sz val="9.0"/>
      <color theme="1"/>
      <name val="Arial"/>
    </font>
    <font/>
    <font>
      <sz val="9.0"/>
      <color theme="1"/>
      <name val="Arial"/>
    </font>
    <font>
      <sz val="9.0"/>
      <color theme="1"/>
      <name val="Arial"/>
      <scheme val="minor"/>
    </font>
    <font>
      <sz val="9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u/>
      <sz val="9.0"/>
      <color theme="1"/>
      <name val="Arial"/>
    </font>
    <font>
      <sz val="10.0"/>
      <color theme="1"/>
      <name val="Arial"/>
    </font>
    <font>
      <b/>
      <sz val="8.0"/>
      <color rgb="FF000000"/>
      <name val="Tahoma"/>
    </font>
    <font>
      <b/>
      <u/>
      <sz val="8.0"/>
      <color rgb="FF000000"/>
      <name val="Tahoma"/>
    </font>
    <font>
      <sz val="8.0"/>
      <color rgb="FF000000"/>
      <name val="Tahoma"/>
    </font>
    <font>
      <b/>
      <color theme="1"/>
      <name val="Arial"/>
      <scheme val="minor"/>
    </font>
    <font>
      <b/>
      <u/>
      <color theme="1"/>
      <name val="Arial"/>
      <scheme val="minor"/>
    </font>
    <font>
      <sz val="9.0"/>
      <color rgb="FF000000"/>
      <name val="Tahoma"/>
    </font>
    <font>
      <sz val="11.0"/>
      <color rgb="FF000000"/>
      <name val="Calibri"/>
    </font>
    <font>
      <b/>
      <sz val="9.0"/>
      <color rgb="FF000000"/>
      <name val="Tahoma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1" fillId="0" fontId="1" numFmtId="164" xfId="0" applyAlignment="1" applyBorder="1" applyFont="1" applyNumberFormat="1">
      <alignment horizontal="center" readingOrder="0" vertical="bottom"/>
    </xf>
    <xf borderId="2" fillId="2" fontId="1" numFmtId="0" xfId="0" applyAlignment="1" applyBorder="1" applyFill="1" applyFont="1">
      <alignment horizontal="center" readingOrder="0" vertical="bottom"/>
    </xf>
    <xf borderId="3" fillId="0" fontId="2" numFmtId="0" xfId="0" applyBorder="1" applyFont="1"/>
    <xf borderId="0" fillId="0" fontId="3" numFmtId="0" xfId="0" applyAlignment="1" applyFont="1">
      <alignment vertical="bottom"/>
    </xf>
    <xf borderId="1" fillId="3" fontId="1" numFmtId="0" xfId="0" applyAlignment="1" applyBorder="1" applyFill="1" applyFont="1">
      <alignment vertical="bottom"/>
    </xf>
    <xf borderId="1" fillId="3" fontId="3" numFmtId="0" xfId="0" applyAlignment="1" applyBorder="1" applyFill="1" applyFont="1">
      <alignment vertical="bottom"/>
    </xf>
    <xf borderId="3" fillId="3" fontId="3" numFmtId="0" xfId="0" applyAlignment="1" applyBorder="1" applyFill="1" applyFont="1">
      <alignment vertical="bottom"/>
    </xf>
    <xf borderId="1" fillId="4" fontId="3" numFmtId="0" xfId="0" applyAlignment="1" applyBorder="1" applyFill="1" applyFont="1">
      <alignment vertical="bottom"/>
    </xf>
    <xf borderId="1" fillId="0" fontId="3" numFmtId="3" xfId="0" applyAlignment="1" applyBorder="1" applyFont="1" applyNumberFormat="1">
      <alignment horizontal="right" vertical="bottom"/>
    </xf>
    <xf borderId="1" fillId="0" fontId="4" numFmtId="4" xfId="0" applyAlignment="1" applyBorder="1" applyFont="1" applyNumberFormat="1">
      <alignment readingOrder="0"/>
    </xf>
    <xf borderId="1" fillId="0" fontId="3" numFmtId="4" xfId="0" applyAlignment="1" applyBorder="1" applyFont="1" applyNumberFormat="1">
      <alignment horizontal="right" vertical="bottom"/>
    </xf>
    <xf borderId="1" fillId="2" fontId="1" numFmtId="3" xfId="0" applyAlignment="1" applyBorder="1" applyFill="1" applyFont="1" applyNumberFormat="1">
      <alignment horizontal="right" vertical="bottom"/>
    </xf>
    <xf borderId="1" fillId="0" fontId="3" numFmtId="4" xfId="0" applyAlignment="1" applyBorder="1" applyFont="1" applyNumberFormat="1">
      <alignment horizontal="right" readingOrder="0" vertical="bottom"/>
    </xf>
    <xf borderId="1" fillId="2" fontId="3" numFmtId="10" xfId="0" applyAlignment="1" applyBorder="1" applyFill="1" applyFont="1" applyNumberFormat="1">
      <alignment vertical="bottom"/>
    </xf>
    <xf borderId="1" fillId="0" fontId="3" numFmtId="3" xfId="0" applyAlignment="1" applyBorder="1" applyFont="1" applyNumberFormat="1">
      <alignment horizontal="right" readingOrder="0" vertical="bottom"/>
    </xf>
    <xf borderId="1" fillId="4" fontId="3" numFmtId="0" xfId="0" applyAlignment="1" applyBorder="1" applyFill="1" applyFont="1">
      <alignment shrinkToFit="0" vertical="bottom" wrapText="1"/>
    </xf>
    <xf borderId="1" fillId="3" fontId="1" numFmtId="0" xfId="0" applyAlignment="1" applyBorder="1" applyFill="1" applyFont="1">
      <alignment shrinkToFit="0" vertical="bottom" wrapText="1"/>
    </xf>
    <xf borderId="1" fillId="4" fontId="3" numFmtId="0" xfId="0" applyAlignment="1" applyBorder="1" applyFill="1" applyFont="1">
      <alignment readingOrder="0" shrinkToFit="0" vertical="bottom" wrapText="1"/>
    </xf>
    <xf borderId="1" fillId="3" fontId="1" numFmtId="3" xfId="0" applyAlignment="1" applyBorder="1" applyFill="1" applyFont="1" applyNumberFormat="1">
      <alignment horizontal="right" shrinkToFit="0" vertical="bottom" wrapText="1"/>
    </xf>
    <xf borderId="3" fillId="3" fontId="1" numFmtId="3" xfId="0" applyAlignment="1" applyBorder="1" applyFill="1" applyFont="1" applyNumberFormat="1">
      <alignment horizontal="right" shrinkToFit="0" vertical="bottom" wrapText="1"/>
    </xf>
    <xf borderId="1" fillId="3" fontId="1" numFmtId="10" xfId="0" applyAlignment="1" applyBorder="1" applyFill="1" applyFont="1" applyNumberFormat="1">
      <alignment horizontal="right" shrinkToFit="0" vertical="bottom" wrapText="1"/>
    </xf>
    <xf borderId="1" fillId="0" fontId="4" numFmtId="165" xfId="0" applyBorder="1" applyFont="1" applyNumberFormat="1"/>
    <xf borderId="1" fillId="2" fontId="1" numFmtId="10" xfId="0" applyAlignment="1" applyBorder="1" applyFill="1" applyFont="1" applyNumberFormat="1">
      <alignment horizontal="right" vertical="bottom"/>
    </xf>
    <xf borderId="1" fillId="2" fontId="3" numFmtId="3" xfId="0" applyAlignment="1" applyBorder="1" applyFill="1" applyFont="1" applyNumberFormat="1">
      <alignment horizontal="right" readingOrder="0" vertical="bottom"/>
    </xf>
    <xf borderId="1" fillId="0" fontId="4" numFmtId="165" xfId="0" applyAlignment="1" applyBorder="1" applyFont="1" applyNumberFormat="1">
      <alignment readingOrder="0"/>
    </xf>
    <xf borderId="1" fillId="0" fontId="4" numFmtId="3" xfId="0" applyAlignment="1" applyBorder="1" applyFont="1" applyNumberFormat="1">
      <alignment readingOrder="0"/>
    </xf>
    <xf borderId="1" fillId="2" fontId="4" numFmtId="3" xfId="0" applyAlignment="1" applyBorder="1" applyFill="1" applyFont="1" applyNumberFormat="1">
      <alignment readingOrder="0"/>
    </xf>
    <xf borderId="1" fillId="4" fontId="3" numFmtId="0" xfId="0" applyAlignment="1" applyBorder="1" applyFill="1" applyFont="1">
      <alignment readingOrder="0" vertical="bottom"/>
    </xf>
    <xf borderId="1" fillId="4" fontId="3" numFmtId="10" xfId="0" applyAlignment="1" applyBorder="1" applyFill="1" applyFont="1" applyNumberFormat="1">
      <alignment vertical="bottom"/>
    </xf>
    <xf borderId="1" fillId="0" fontId="3" numFmtId="3" xfId="0" applyAlignment="1" applyBorder="1" applyFont="1" applyNumberFormat="1">
      <alignment readingOrder="0" vertical="bottom"/>
    </xf>
    <xf borderId="0" fillId="0" fontId="3" numFmtId="165" xfId="0" applyAlignment="1" applyFont="1" applyNumberFormat="1">
      <alignment readingOrder="0" vertical="bottom"/>
    </xf>
    <xf borderId="1" fillId="0" fontId="3" numFmtId="3" xfId="0" applyAlignment="1" applyBorder="1" applyFont="1" applyNumberFormat="1">
      <alignment vertical="bottom"/>
    </xf>
    <xf borderId="1" fillId="5" fontId="1" numFmtId="0" xfId="0" applyAlignment="1" applyBorder="1" applyFill="1" applyFont="1">
      <alignment shrinkToFit="0" vertical="bottom" wrapText="1"/>
    </xf>
    <xf borderId="1" fillId="5" fontId="1" numFmtId="3" xfId="0" applyAlignment="1" applyBorder="1" applyFill="1" applyFont="1" applyNumberFormat="1">
      <alignment horizontal="right" shrinkToFit="0" vertical="bottom" wrapText="1"/>
    </xf>
    <xf borderId="1" fillId="5" fontId="1" numFmtId="10" xfId="0" applyAlignment="1" applyBorder="1" applyFill="1" applyFont="1" applyNumberFormat="1">
      <alignment horizontal="right" shrinkToFit="0" vertical="bottom" wrapText="1"/>
    </xf>
    <xf borderId="1" fillId="6" fontId="1" numFmtId="0" xfId="0" applyAlignment="1" applyBorder="1" applyFill="1" applyFont="1">
      <alignment shrinkToFit="0" vertical="bottom" wrapText="1"/>
    </xf>
    <xf borderId="1" fillId="6" fontId="1" numFmtId="165" xfId="0" applyAlignment="1" applyBorder="1" applyFill="1" applyFont="1" applyNumberFormat="1">
      <alignment horizontal="right" shrinkToFit="0" vertical="bottom" wrapText="1"/>
    </xf>
    <xf borderId="1" fillId="6" fontId="1" numFmtId="10" xfId="0" applyAlignment="1" applyBorder="1" applyFill="1" applyFont="1" applyNumberFormat="1">
      <alignment horizontal="right" shrinkToFit="0" vertical="bottom" wrapText="1"/>
    </xf>
    <xf borderId="1" fillId="7" fontId="1" numFmtId="0" xfId="0" applyAlignment="1" applyBorder="1" applyFill="1" applyFont="1">
      <alignment shrinkToFit="0" vertical="bottom" wrapText="1"/>
    </xf>
    <xf borderId="1" fillId="7" fontId="1" numFmtId="10" xfId="0" applyAlignment="1" applyBorder="1" applyFill="1" applyFont="1" applyNumberFormat="1">
      <alignment horizontal="right" shrinkToFit="0" vertical="bottom" wrapText="1"/>
    </xf>
    <xf borderId="3" fillId="7" fontId="1" numFmtId="10" xfId="0" applyAlignment="1" applyBorder="1" applyFill="1" applyFont="1" applyNumberFormat="1">
      <alignment horizontal="right" shrinkToFit="0" vertical="bottom" wrapText="1"/>
    </xf>
    <xf borderId="1" fillId="7" fontId="3" numFmtId="10" xfId="0" applyAlignment="1" applyBorder="1" applyFill="1" applyFont="1" applyNumberFormat="1">
      <alignment vertical="bottom"/>
    </xf>
    <xf borderId="0" fillId="0" fontId="4" numFmtId="165" xfId="0" applyFont="1" applyNumberFormat="1"/>
    <xf borderId="0" fillId="0" fontId="3" numFmtId="0" xfId="0" applyAlignment="1" applyFont="1">
      <alignment readingOrder="0" vertical="bottom"/>
    </xf>
    <xf borderId="0" fillId="0" fontId="3" numFmtId="10" xfId="0" applyAlignment="1" applyFont="1" applyNumberFormat="1">
      <alignment horizontal="right" vertical="bottom"/>
    </xf>
    <xf borderId="3" fillId="5" fontId="1" numFmtId="3" xfId="0" applyAlignment="1" applyBorder="1" applyFill="1" applyFont="1" applyNumberFormat="1">
      <alignment horizontal="right" shrinkToFit="0" vertical="bottom" wrapText="1"/>
    </xf>
    <xf borderId="0" fillId="0" fontId="3" numFmtId="165" xfId="0" applyAlignment="1" applyFont="1" applyNumberFormat="1">
      <alignment vertical="bottom"/>
    </xf>
    <xf borderId="0" fillId="0" fontId="3" numFmtId="3" xfId="0" applyAlignment="1" applyFont="1" applyNumberFormat="1">
      <alignment vertical="bottom"/>
    </xf>
    <xf borderId="0" fillId="0" fontId="4" numFmtId="0" xfId="0" applyFont="1"/>
    <xf borderId="0" fillId="0" fontId="3" numFmtId="3" xfId="0" applyAlignment="1" applyFont="1" applyNumberFormat="1">
      <alignment horizontal="right" vertical="bottom"/>
    </xf>
    <xf borderId="0" fillId="0" fontId="4" numFmtId="10" xfId="0" applyFont="1" applyNumberFormat="1"/>
    <xf borderId="1" fillId="2" fontId="4" numFmtId="165" xfId="0" applyAlignment="1" applyBorder="1" applyFill="1" applyFont="1" applyNumberFormat="1">
      <alignment readingOrder="0"/>
    </xf>
    <xf borderId="1" fillId="0" fontId="5" numFmtId="165" xfId="0" applyAlignment="1" applyBorder="1" applyFont="1" applyNumberFormat="1">
      <alignment readingOrder="0"/>
    </xf>
    <xf borderId="1" fillId="0" fontId="4" numFmtId="4" xfId="0" applyBorder="1" applyFont="1" applyNumberFormat="1"/>
    <xf borderId="2" fillId="2" fontId="1" numFmtId="0" xfId="0" applyAlignment="1" applyBorder="1" applyFill="1" applyFont="1">
      <alignment horizontal="center" vertical="bottom"/>
    </xf>
    <xf borderId="1" fillId="2" fontId="4" numFmtId="4" xfId="0" applyAlignment="1" applyBorder="1" applyFill="1" applyFont="1" applyNumberFormat="1">
      <alignment readingOrder="0"/>
    </xf>
    <xf borderId="1" fillId="3" fontId="6" numFmtId="0" xfId="0" applyAlignment="1" applyBorder="1" applyFill="1" applyFont="1">
      <alignment vertical="bottom"/>
    </xf>
    <xf borderId="1" fillId="2" fontId="6" numFmtId="3" xfId="0" applyAlignment="1" applyBorder="1" applyFill="1" applyFont="1" applyNumberFormat="1">
      <alignment vertical="bottom"/>
    </xf>
    <xf borderId="1" fillId="3" fontId="3" numFmtId="4" xfId="0" applyAlignment="1" applyBorder="1" applyFill="1" applyFont="1" applyNumberFormat="1">
      <alignment vertical="bottom"/>
    </xf>
    <xf borderId="1" fillId="3" fontId="1" numFmtId="4" xfId="0" applyAlignment="1" applyBorder="1" applyFill="1" applyFont="1" applyNumberFormat="1">
      <alignment horizontal="right" shrinkToFit="0" vertical="bottom" wrapText="1"/>
    </xf>
    <xf borderId="1" fillId="5" fontId="1" numFmtId="4" xfId="0" applyAlignment="1" applyBorder="1" applyFill="1" applyFont="1" applyNumberFormat="1">
      <alignment horizontal="right" shrinkToFit="0" vertical="bottom" wrapText="1"/>
    </xf>
    <xf borderId="1" fillId="3" fontId="6" numFmtId="10" xfId="0" applyAlignment="1" applyBorder="1" applyFill="1" applyFont="1" applyNumberFormat="1">
      <alignment vertical="bottom"/>
    </xf>
    <xf borderId="0" fillId="0" fontId="3" numFmtId="3" xfId="0" applyAlignment="1" applyFont="1" applyNumberFormat="1">
      <alignment horizontal="right" readingOrder="0" vertical="bottom"/>
    </xf>
    <xf borderId="0" fillId="0" fontId="7" numFmtId="0" xfId="0" applyAlignment="1" applyFont="1">
      <alignment readingOrder="0"/>
    </xf>
    <xf borderId="1" fillId="7" fontId="6" numFmtId="10" xfId="0" applyAlignment="1" applyBorder="1" applyFill="1" applyFont="1" applyNumberFormat="1">
      <alignment vertical="bottom"/>
    </xf>
    <xf borderId="1" fillId="3" fontId="6" numFmtId="10" xfId="0" applyAlignment="1" applyBorder="1" applyFill="1" applyFont="1" applyNumberFormat="1">
      <alignment horizontal="right" vertical="bottom"/>
    </xf>
    <xf borderId="4" fillId="0" fontId="3" numFmtId="0" xfId="0" applyAlignment="1" applyBorder="1" applyFont="1">
      <alignment readingOrder="0" vertical="bottom"/>
    </xf>
    <xf borderId="1" fillId="2" fontId="6" numFmtId="10" xfId="0" applyAlignment="1" applyBorder="1" applyFill="1" applyFont="1" applyNumberFormat="1">
      <alignment vertical="bottom"/>
    </xf>
    <xf borderId="1" fillId="2" fontId="6" numFmtId="3" xfId="0" applyAlignment="1" applyBorder="1" applyFill="1" applyFont="1" applyNumberFormat="1">
      <alignment horizontal="right" vertical="bottom"/>
    </xf>
    <xf borderId="4" fillId="0" fontId="3" numFmtId="4" xfId="0" applyAlignment="1" applyBorder="1" applyFont="1" applyNumberFormat="1">
      <alignment readingOrder="0" vertical="bottom"/>
    </xf>
    <xf borderId="4" fillId="0" fontId="3" numFmtId="165" xfId="0" applyAlignment="1" applyBorder="1" applyFont="1" applyNumberFormat="1">
      <alignment readingOrder="0" vertical="bottom"/>
    </xf>
    <xf borderId="0" fillId="0" fontId="3" numFmtId="4" xfId="0" applyAlignment="1" applyFont="1" applyNumberFormat="1">
      <alignment horizontal="right" vertical="bottom"/>
    </xf>
    <xf borderId="1" fillId="2" fontId="1" numFmtId="0" xfId="0" applyAlignment="1" applyBorder="1" applyFill="1" applyFont="1">
      <alignment readingOrder="0" shrinkToFit="0" vertical="bottom" wrapText="1"/>
    </xf>
    <xf borderId="1" fillId="2" fontId="3" numFmtId="3" xfId="0" applyAlignment="1" applyBorder="1" applyFill="1" applyFont="1" applyNumberFormat="1">
      <alignment horizontal="right" vertical="bottom"/>
    </xf>
    <xf borderId="1" fillId="4" fontId="1" numFmtId="10" xfId="0" applyAlignment="1" applyBorder="1" applyFill="1" applyFont="1" applyNumberFormat="1">
      <alignment horizontal="right" vertical="bottom"/>
    </xf>
    <xf borderId="0" fillId="0" fontId="1" numFmtId="0" xfId="0" applyAlignment="1" applyFont="1">
      <alignment vertical="bottom"/>
    </xf>
    <xf borderId="1" fillId="4" fontId="3" numFmtId="3" xfId="0" applyAlignment="1" applyBorder="1" applyFill="1" applyFont="1" applyNumberFormat="1">
      <alignment horizontal="right" vertical="bottom"/>
    </xf>
    <xf borderId="1" fillId="0" fontId="3" numFmtId="4" xfId="0" applyAlignment="1" applyBorder="1" applyFont="1" applyNumberFormat="1">
      <alignment readingOrder="0" vertical="bottom"/>
    </xf>
    <xf borderId="0" fillId="4" fontId="1" numFmtId="165" xfId="0" applyAlignment="1" applyFill="1" applyFont="1" applyNumberFormat="1">
      <alignment horizontal="right" shrinkToFit="0" vertical="bottom" wrapText="1"/>
    </xf>
    <xf borderId="0" fillId="0" fontId="7" numFmtId="10" xfId="0" applyFont="1" applyNumberFormat="1"/>
    <xf borderId="1" fillId="0" fontId="3" numFmtId="165" xfId="0" applyAlignment="1" applyBorder="1" applyFont="1" applyNumberFormat="1">
      <alignment horizontal="right" readingOrder="0" vertical="bottom"/>
    </xf>
    <xf borderId="1" fillId="0" fontId="3" numFmtId="165" xfId="0" applyAlignment="1" applyBorder="1" applyFont="1" applyNumberFormat="1">
      <alignment horizontal="right" vertical="bottom"/>
    </xf>
    <xf borderId="1" fillId="0" fontId="4" numFmtId="166" xfId="0" applyAlignment="1" applyBorder="1" applyFont="1" applyNumberFormat="1">
      <alignment readingOrder="0"/>
    </xf>
    <xf borderId="1" fillId="0" fontId="3" numFmtId="166" xfId="0" applyAlignment="1" applyBorder="1" applyFont="1" applyNumberFormat="1">
      <alignment horizontal="right" vertical="bottom"/>
    </xf>
    <xf borderId="1" fillId="0" fontId="3" numFmtId="166" xfId="0" applyAlignment="1" applyBorder="1" applyFont="1" applyNumberFormat="1">
      <alignment horizontal="right" readingOrder="0" vertical="bottom"/>
    </xf>
    <xf borderId="1" fillId="3" fontId="3" numFmtId="166" xfId="0" applyAlignment="1" applyBorder="1" applyFill="1" applyFont="1" applyNumberFormat="1">
      <alignment vertical="bottom"/>
    </xf>
    <xf borderId="1" fillId="0" fontId="3" numFmtId="165" xfId="0" applyAlignment="1" applyBorder="1" applyFont="1" applyNumberFormat="1">
      <alignment readingOrder="0" vertical="bottom"/>
    </xf>
    <xf borderId="1" fillId="0" fontId="4" numFmtId="166" xfId="0" applyBorder="1" applyFont="1" applyNumberFormat="1"/>
    <xf borderId="1" fillId="4" fontId="3" numFmtId="3" xfId="0" applyAlignment="1" applyBorder="1" applyFill="1" applyFont="1" applyNumberFormat="1">
      <alignment horizontal="right" readingOrder="0" vertical="bottom"/>
    </xf>
    <xf borderId="1" fillId="0" fontId="3" numFmtId="0" xfId="0" applyAlignment="1" applyBorder="1" applyFont="1">
      <alignment shrinkToFit="0" vertical="bottom" wrapText="1"/>
    </xf>
    <xf borderId="3" fillId="0" fontId="3" numFmtId="3" xfId="0" applyAlignment="1" applyBorder="1" applyFont="1" applyNumberFormat="1">
      <alignment vertical="bottom"/>
    </xf>
    <xf borderId="1" fillId="4" fontId="1" numFmtId="0" xfId="0" applyAlignment="1" applyBorder="1" applyFill="1" applyFont="1">
      <alignment shrinkToFit="0" vertical="bottom" wrapText="1"/>
    </xf>
    <xf borderId="1" fillId="4" fontId="1" numFmtId="165" xfId="0" applyAlignment="1" applyBorder="1" applyFill="1" applyFont="1" applyNumberFormat="1">
      <alignment horizontal="right" shrinkToFit="0" vertical="bottom" wrapText="1"/>
    </xf>
    <xf borderId="3" fillId="4" fontId="1" numFmtId="165" xfId="0" applyAlignment="1" applyBorder="1" applyFill="1" applyFont="1" applyNumberFormat="1">
      <alignment horizontal="right" shrinkToFit="0" vertical="bottom" wrapText="1"/>
    </xf>
    <xf borderId="1" fillId="0" fontId="1" numFmtId="4" xfId="0" applyAlignment="1" applyBorder="1" applyFont="1" applyNumberFormat="1">
      <alignment horizontal="center" shrinkToFit="0" vertical="bottom" wrapText="1"/>
    </xf>
    <xf borderId="1" fillId="0" fontId="6" numFmtId="4" xfId="0" applyAlignment="1" applyBorder="1" applyFont="1" applyNumberFormat="1">
      <alignment vertical="bottom"/>
    </xf>
    <xf borderId="1" fillId="0" fontId="6" numFmtId="0" xfId="0" applyAlignment="1" applyBorder="1" applyFont="1">
      <alignment vertical="bottom"/>
    </xf>
    <xf borderId="1" fillId="2" fontId="6" numFmtId="0" xfId="0" applyAlignment="1" applyBorder="1" applyFill="1" applyFont="1">
      <alignment vertical="bottom"/>
    </xf>
    <xf borderId="0" fillId="0" fontId="3" numFmtId="4" xfId="0" applyAlignment="1" applyFont="1" applyNumberFormat="1">
      <alignment horizontal="right" readingOrder="0" vertical="bottom"/>
    </xf>
    <xf borderId="4" fillId="2" fontId="1" numFmtId="0" xfId="0" applyAlignment="1" applyBorder="1" applyFill="1" applyFont="1">
      <alignment horizontal="center" vertical="bottom"/>
    </xf>
    <xf borderId="1" fillId="3" fontId="1" numFmtId="4" xfId="0" applyAlignment="1" applyBorder="1" applyFill="1" applyFont="1" applyNumberFormat="1">
      <alignment vertical="bottom"/>
    </xf>
    <xf borderId="1" fillId="3" fontId="6" numFmtId="4" xfId="0" applyAlignment="1" applyBorder="1" applyFill="1" applyFont="1" applyNumberFormat="1">
      <alignment vertical="bottom"/>
    </xf>
    <xf borderId="1" fillId="4" fontId="3" numFmtId="4" xfId="0" applyAlignment="1" applyBorder="1" applyFill="1" applyFont="1" applyNumberFormat="1">
      <alignment vertical="bottom"/>
    </xf>
    <xf borderId="1" fillId="2" fontId="1" numFmtId="0" xfId="0" applyAlignment="1" applyBorder="1" applyFill="1" applyFont="1">
      <alignment horizontal="center" readingOrder="0" vertical="bottom"/>
    </xf>
    <xf borderId="1" fillId="0" fontId="8" numFmtId="0" xfId="0" applyAlignment="1" applyBorder="1" applyFont="1">
      <alignment shrinkToFit="0" vertical="bottom" wrapText="1"/>
    </xf>
    <xf borderId="1" fillId="2" fontId="6" numFmtId="165" xfId="0" applyAlignment="1" applyBorder="1" applyFill="1" applyFont="1" applyNumberFormat="1">
      <alignment vertical="bottom"/>
    </xf>
    <xf borderId="1" fillId="0" fontId="9" numFmtId="3" xfId="0" applyAlignment="1" applyBorder="1" applyFont="1" applyNumberFormat="1">
      <alignment horizontal="right" vertical="bottom"/>
    </xf>
    <xf quotePrefix="1" borderId="1" fillId="0" fontId="3" numFmtId="0" xfId="0" applyAlignment="1" applyBorder="1" applyFont="1">
      <alignment shrinkToFit="0" vertical="bottom" wrapText="1"/>
    </xf>
    <xf borderId="1" fillId="0" fontId="6" numFmtId="3" xfId="0" applyAlignment="1" applyBorder="1" applyFont="1" applyNumberFormat="1">
      <alignment readingOrder="0" vertical="bottom"/>
    </xf>
    <xf borderId="1" fillId="4" fontId="6" numFmtId="3" xfId="0" applyAlignment="1" applyBorder="1" applyFill="1" applyFont="1" applyNumberFormat="1">
      <alignment readingOrder="0" vertical="bottom"/>
    </xf>
    <xf borderId="1" fillId="2" fontId="3" numFmtId="165" xfId="0" applyAlignment="1" applyBorder="1" applyFill="1" applyFont="1" applyNumberFormat="1">
      <alignment horizontal="right" vertical="bottom"/>
    </xf>
    <xf borderId="0" fillId="0" fontId="7" numFmtId="4" xfId="0" applyFont="1" applyNumberFormat="1"/>
    <xf borderId="1" fillId="2" fontId="3" numFmtId="165" xfId="0" applyAlignment="1" applyBorder="1" applyFill="1" applyFont="1" applyNumberFormat="1">
      <alignment horizontal="right" readingOrder="0" vertical="bottom"/>
    </xf>
    <xf borderId="0" fillId="0" fontId="7" numFmtId="3" xfId="0" applyFont="1" applyNumberFormat="1"/>
    <xf borderId="1" fillId="0" fontId="6" numFmtId="3" xfId="0" applyAlignment="1" applyBorder="1" applyFont="1" applyNumberFormat="1">
      <alignment vertical="bottom"/>
    </xf>
    <xf borderId="5" fillId="0" fontId="3" numFmtId="165" xfId="0" applyAlignment="1" applyBorder="1" applyFont="1" applyNumberFormat="1">
      <alignment horizontal="right" readingOrder="0" vertical="bottom"/>
    </xf>
    <xf borderId="5" fillId="0" fontId="3" numFmtId="165" xfId="0" applyAlignment="1" applyBorder="1" applyFont="1" applyNumberFormat="1">
      <alignment horizontal="right" vertical="bottom"/>
    </xf>
    <xf borderId="5" fillId="3" fontId="6" numFmtId="4" xfId="0" applyAlignment="1" applyBorder="1" applyFill="1" applyFont="1" applyNumberFormat="1">
      <alignment vertical="bottom"/>
    </xf>
    <xf borderId="1" fillId="4" fontId="6" numFmtId="3" xfId="0" applyAlignment="1" applyBorder="1" applyFill="1" applyFont="1" applyNumberFormat="1">
      <alignment vertical="bottom"/>
    </xf>
    <xf quotePrefix="1" borderId="1" fillId="0" fontId="3" numFmtId="0" xfId="0" applyAlignment="1" applyBorder="1" applyFont="1">
      <alignment shrinkToFit="0" vertical="bottom" wrapText="1"/>
    </xf>
    <xf borderId="1" fillId="0" fontId="3" numFmtId="4" xfId="0" applyAlignment="1" applyBorder="1" applyFont="1" applyNumberFormat="1">
      <alignment shrinkToFit="0" vertical="bottom" wrapText="1"/>
    </xf>
    <xf quotePrefix="1" borderId="1" fillId="0" fontId="3" numFmtId="0" xfId="0" applyAlignment="1" applyBorder="1" applyFont="1">
      <alignment readingOrder="0" shrinkToFit="0" vertical="bottom" wrapText="1"/>
    </xf>
    <xf borderId="0" fillId="0" fontId="7" numFmtId="4" xfId="0" applyAlignment="1" applyFont="1" applyNumberFormat="1">
      <alignment readingOrder="0"/>
    </xf>
    <xf borderId="1" fillId="0" fontId="3" numFmtId="4" xfId="0" applyAlignment="1" applyBorder="1" applyFont="1" applyNumberFormat="1">
      <alignment readingOrder="0" shrinkToFit="0" vertical="bottom" wrapText="1"/>
    </xf>
    <xf borderId="1" fillId="6" fontId="1" numFmtId="0" xfId="0" applyAlignment="1" applyBorder="1" applyFill="1" applyFont="1">
      <alignment readingOrder="0" shrinkToFit="0" vertical="bottom" wrapText="1"/>
    </xf>
    <xf borderId="1" fillId="6" fontId="1" numFmtId="164" xfId="0" applyAlignment="1" applyBorder="1" applyFill="1" applyFont="1" applyNumberFormat="1">
      <alignment horizontal="center" readingOrder="0" vertical="bottom"/>
    </xf>
    <xf borderId="1" fillId="0" fontId="3" numFmtId="4" xfId="0" applyAlignment="1" applyBorder="1" applyFont="1" applyNumberFormat="1">
      <alignment vertical="bottom"/>
    </xf>
    <xf borderId="6" fillId="2" fontId="1" numFmtId="0" xfId="0" applyAlignment="1" applyBorder="1" applyFill="1" applyFont="1">
      <alignment horizontal="center" vertical="bottom"/>
    </xf>
    <xf borderId="4" fillId="0" fontId="2" numFmtId="0" xfId="0" applyBorder="1" applyFont="1"/>
    <xf borderId="1" fillId="2" fontId="6" numFmtId="167" xfId="0" applyAlignment="1" applyBorder="1" applyFill="1" applyFont="1" applyNumberFormat="1">
      <alignment vertical="bottom"/>
    </xf>
    <xf borderId="1" fillId="0" fontId="3" numFmtId="0" xfId="0" applyAlignment="1" applyBorder="1" applyFont="1">
      <alignment readingOrder="0" shrinkToFit="0" vertical="bottom" wrapText="1"/>
    </xf>
    <xf borderId="1" fillId="5" fontId="1" numFmtId="4" xfId="0" applyAlignment="1" applyBorder="1" applyFill="1" applyFont="1" applyNumberFormat="1">
      <alignment shrinkToFit="0" vertical="bottom" wrapText="1"/>
    </xf>
    <xf borderId="1" fillId="4" fontId="3" numFmtId="4" xfId="0" applyAlignment="1" applyBorder="1" applyFill="1" applyFont="1" applyNumberFormat="1">
      <alignment horizontal="right" vertical="bottom"/>
    </xf>
    <xf borderId="1" fillId="2" fontId="3" numFmtId="4" xfId="0" applyAlignment="1" applyBorder="1" applyFill="1" applyFont="1" applyNumberFormat="1">
      <alignment horizontal="right" vertical="bottom"/>
    </xf>
    <xf borderId="5" fillId="5" fontId="1" numFmtId="4" xfId="0" applyAlignment="1" applyBorder="1" applyFill="1" applyFont="1" applyNumberFormat="1">
      <alignment horizontal="right" shrinkToFit="0" vertical="bottom" wrapText="1"/>
    </xf>
    <xf borderId="0" fillId="0" fontId="3" numFmtId="165" xfId="0" applyAlignment="1" applyFont="1" applyNumberFormat="1">
      <alignment horizontal="right" vertical="bottom"/>
    </xf>
    <xf borderId="0" fillId="0" fontId="10" numFmtId="168" xfId="0" applyAlignment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1" fillId="0" fontId="10" numFmtId="0" xfId="0" applyAlignment="1" applyBorder="1" applyFont="1">
      <alignment readingOrder="0" shrinkToFit="0" vertical="bottom" wrapText="0"/>
    </xf>
    <xf borderId="1" fillId="0" fontId="10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readingOrder="0" vertical="bottom"/>
    </xf>
    <xf borderId="1" fillId="0" fontId="3" numFmtId="4" xfId="0" applyAlignment="1" applyBorder="1" applyFont="1" applyNumberFormat="1">
      <alignment horizontal="right" readingOrder="0" shrinkToFit="0" vertical="bottom" wrapText="1"/>
    </xf>
    <xf borderId="1" fillId="0" fontId="10" numFmtId="4" xfId="0" applyAlignment="1" applyBorder="1" applyFont="1" applyNumberFormat="1">
      <alignment readingOrder="0" shrinkToFit="0" vertical="bottom" wrapText="0"/>
    </xf>
    <xf borderId="1" fillId="2" fontId="6" numFmtId="4" xfId="0" applyAlignment="1" applyBorder="1" applyFill="1" applyFont="1" applyNumberFormat="1">
      <alignment vertical="bottom"/>
    </xf>
    <xf borderId="1" fillId="0" fontId="11" numFmtId="0" xfId="0" applyAlignment="1" applyBorder="1" applyFont="1">
      <alignment readingOrder="0" shrinkToFit="0" vertical="bottom" wrapText="0"/>
    </xf>
    <xf borderId="1" fillId="0" fontId="10" numFmtId="168" xfId="0" applyAlignment="1" applyBorder="1" applyFont="1" applyNumberFormat="1">
      <alignment horizontal="center" readingOrder="0" shrinkToFit="0" vertical="bottom" wrapText="0"/>
    </xf>
    <xf borderId="1" fillId="0" fontId="12" numFmtId="0" xfId="0" applyAlignment="1" applyBorder="1" applyFont="1">
      <alignment readingOrder="0" shrinkToFit="0" vertical="bottom" wrapText="0"/>
    </xf>
    <xf borderId="1" fillId="0" fontId="12" numFmtId="0" xfId="0" applyAlignment="1" applyBorder="1" applyFont="1">
      <alignment horizontal="center" readingOrder="0" shrinkToFit="0" vertical="bottom" wrapText="0"/>
    </xf>
    <xf borderId="1" fillId="0" fontId="12" numFmtId="4" xfId="0" applyAlignment="1" applyBorder="1" applyFont="1" applyNumberFormat="1">
      <alignment horizontal="center" readingOrder="0" shrinkToFit="0" vertical="bottom" wrapText="0"/>
    </xf>
    <xf borderId="1" fillId="6" fontId="1" numFmtId="4" xfId="0" applyAlignment="1" applyBorder="1" applyFill="1" applyFont="1" applyNumberFormat="1">
      <alignment horizontal="right" shrinkToFit="0" vertical="bottom" wrapText="1"/>
    </xf>
    <xf borderId="1" fillId="0" fontId="12" numFmtId="168" xfId="0" applyAlignment="1" applyBorder="1" applyFont="1" applyNumberFormat="1">
      <alignment horizontal="center" readingOrder="0" shrinkToFit="0" vertical="bottom" wrapText="0"/>
    </xf>
    <xf borderId="1" fillId="0" fontId="10" numFmtId="4" xfId="0" applyAlignment="1" applyBorder="1" applyFont="1" applyNumberFormat="1">
      <alignment horizontal="center" readingOrder="0" shrinkToFit="0" vertical="bottom" wrapText="0"/>
    </xf>
    <xf borderId="1" fillId="6" fontId="6" numFmtId="4" xfId="0" applyAlignment="1" applyBorder="1" applyFill="1" applyFont="1" applyNumberFormat="1">
      <alignment vertical="bottom"/>
    </xf>
    <xf borderId="0" fillId="0" fontId="6" numFmtId="0" xfId="0" applyAlignment="1" applyFont="1">
      <alignment vertical="bottom"/>
    </xf>
    <xf borderId="1" fillId="6" fontId="6" numFmtId="0" xfId="0" applyAlignment="1" applyBorder="1" applyFill="1" applyFont="1">
      <alignment vertical="bottom"/>
    </xf>
    <xf borderId="1" fillId="8" fontId="6" numFmtId="0" xfId="0" applyAlignment="1" applyBorder="1" applyFill="1" applyFont="1">
      <alignment vertical="bottom"/>
    </xf>
    <xf borderId="1" fillId="0" fontId="3" numFmtId="2" xfId="0" applyAlignment="1" applyBorder="1" applyFont="1" applyNumberFormat="1">
      <alignment horizontal="right" vertical="bottom"/>
    </xf>
    <xf borderId="1" fillId="0" fontId="3" numFmtId="10" xfId="0" applyAlignment="1" applyBorder="1" applyFont="1" applyNumberFormat="1">
      <alignment horizontal="right" vertical="bottom"/>
    </xf>
    <xf borderId="1" fillId="0" fontId="3" numFmtId="2" xfId="0" applyAlignment="1" applyBorder="1" applyFont="1" applyNumberFormat="1">
      <alignment horizontal="right" readingOrder="0" vertical="bottom"/>
    </xf>
    <xf borderId="1" fillId="8" fontId="6" numFmtId="2" xfId="0" applyAlignment="1" applyBorder="1" applyFill="1" applyFont="1" applyNumberFormat="1">
      <alignment vertical="bottom"/>
    </xf>
    <xf borderId="1" fillId="0" fontId="7" numFmtId="0" xfId="0" applyBorder="1" applyFont="1"/>
    <xf borderId="1" fillId="0" fontId="12" numFmtId="0" xfId="0" applyAlignment="1" applyBorder="1" applyFont="1">
      <alignment shrinkToFit="0" vertical="bottom" wrapText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7" numFmtId="0" xfId="0" applyFont="1"/>
    <xf borderId="1" fillId="0" fontId="12" numFmtId="0" xfId="0" applyAlignment="1" applyBorder="1" applyFont="1">
      <alignment readingOrder="0" shrinkToFit="0" vertical="bottom" wrapText="0"/>
    </xf>
    <xf borderId="0" fillId="0" fontId="6" numFmtId="165" xfId="0" applyAlignment="1" applyFont="1" applyNumberFormat="1">
      <alignment horizontal="right" vertical="bottom"/>
    </xf>
    <xf borderId="1" fillId="5" fontId="3" numFmtId="0" xfId="0" applyAlignment="1" applyBorder="1" applyFill="1" applyFont="1">
      <alignment vertical="bottom"/>
    </xf>
    <xf borderId="1" fillId="6" fontId="3" numFmtId="165" xfId="0" applyAlignment="1" applyBorder="1" applyFill="1" applyFont="1" applyNumberFormat="1">
      <alignment vertical="bottom"/>
    </xf>
    <xf borderId="2" fillId="0" fontId="10" numFmtId="168" xfId="0" applyAlignment="1" applyBorder="1" applyFont="1" applyNumberFormat="1">
      <alignment horizontal="center" readingOrder="0" shrinkToFit="0" vertical="bottom" wrapText="0"/>
    </xf>
    <xf borderId="7" fillId="0" fontId="10" numFmtId="168" xfId="0" applyAlignment="1" applyBorder="1" applyFont="1" applyNumberFormat="1">
      <alignment horizontal="center" readingOrder="0" shrinkToFit="0" vertical="bottom" wrapText="0"/>
    </xf>
    <xf borderId="3" fillId="0" fontId="10" numFmtId="168" xfId="0" applyAlignment="1" applyBorder="1" applyFont="1" applyNumberFormat="1">
      <alignment horizontal="center" readingOrder="0" shrinkToFit="0" vertical="bottom" wrapText="0"/>
    </xf>
    <xf borderId="1" fillId="0" fontId="3" numFmtId="0" xfId="0" applyAlignment="1" applyBorder="1" applyFont="1">
      <alignment readingOrder="0" vertical="bottom"/>
    </xf>
    <xf borderId="1" fillId="0" fontId="12" numFmtId="4" xfId="0" applyAlignment="1" applyBorder="1" applyFont="1" applyNumberFormat="1">
      <alignment shrinkToFit="0" vertical="bottom" wrapText="0"/>
    </xf>
    <xf borderId="1" fillId="0" fontId="15" numFmtId="4" xfId="0" applyAlignment="1" applyBorder="1" applyFont="1" applyNumberFormat="1">
      <alignment readingOrder="0" shrinkToFit="0" vertical="bottom" wrapText="0"/>
    </xf>
    <xf borderId="1" fillId="0" fontId="15" numFmtId="0" xfId="0" applyAlignment="1" applyBorder="1" applyFont="1">
      <alignment readingOrder="0" shrinkToFit="0" vertical="bottom" wrapText="0"/>
    </xf>
    <xf borderId="1" fillId="2" fontId="1" numFmtId="10" xfId="0" applyAlignment="1" applyBorder="1" applyFill="1" applyFont="1" applyNumberFormat="1">
      <alignment horizontal="right" shrinkToFit="0" vertical="bottom" wrapText="1"/>
    </xf>
    <xf borderId="1" fillId="0" fontId="15" numFmtId="0" xfId="0" applyAlignment="1" applyBorder="1" applyFont="1">
      <alignment shrinkToFit="0" vertical="bottom" wrapText="0"/>
    </xf>
    <xf borderId="0" fillId="0" fontId="1" numFmtId="169" xfId="0" applyAlignment="1" applyFont="1" applyNumberFormat="1">
      <alignment readingOrder="0" vertical="bottom"/>
    </xf>
    <xf borderId="1" fillId="0" fontId="16" numFmtId="0" xfId="0" applyAlignment="1" applyBorder="1" applyFont="1">
      <alignment horizontal="right" readingOrder="0" shrinkToFit="0" vertical="bottom" wrapText="0"/>
    </xf>
    <xf borderId="0" fillId="0" fontId="1" numFmtId="170" xfId="0" applyAlignment="1" applyFont="1" applyNumberFormat="1">
      <alignment readingOrder="0" vertical="bottom"/>
    </xf>
    <xf borderId="0" fillId="0" fontId="3" numFmtId="170" xfId="0" applyAlignment="1" applyFont="1" applyNumberFormat="1">
      <alignment readingOrder="0" vertical="bottom"/>
    </xf>
    <xf borderId="0" fillId="0" fontId="3" numFmtId="10" xfId="0" applyAlignment="1" applyFont="1" applyNumberFormat="1">
      <alignment vertical="bottom"/>
    </xf>
    <xf borderId="0" fillId="0" fontId="1" numFmtId="4" xfId="0" applyAlignment="1" applyFont="1" applyNumberFormat="1">
      <alignment readingOrder="0" vertical="bottom"/>
    </xf>
    <xf borderId="0" fillId="0" fontId="3" numFmtId="4" xfId="0" applyAlignment="1" applyFont="1" applyNumberForma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3" xfId="0" applyAlignment="1" applyFont="1" applyNumberFormat="1">
      <alignment vertical="bottom"/>
    </xf>
    <xf borderId="0" fillId="0" fontId="13" numFmtId="0" xfId="0" applyFont="1"/>
    <xf borderId="1" fillId="0" fontId="15" numFmtId="0" xfId="0" applyAlignment="1" applyBorder="1" applyFont="1">
      <alignment horizontal="right" readingOrder="0" shrinkToFit="0" vertical="bottom" wrapText="0"/>
    </xf>
    <xf borderId="1" fillId="8" fontId="1" numFmtId="2" xfId="0" applyAlignment="1" applyBorder="1" applyFill="1" applyFont="1" applyNumberFormat="1">
      <alignment horizontal="right" vertical="bottom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readingOrder="0" shrinkToFit="0" vertical="bottom" wrapText="0"/>
    </xf>
    <xf borderId="1" fillId="8" fontId="3" numFmtId="2" xfId="0" applyAlignment="1" applyBorder="1" applyFill="1" applyFont="1" applyNumberFormat="1">
      <alignment horizontal="right" vertical="bottom"/>
    </xf>
    <xf borderId="8" fillId="0" fontId="15" numFmtId="0" xfId="0" applyAlignment="1" applyBorder="1" applyFont="1">
      <alignment readingOrder="0" shrinkToFit="0" vertical="bottom" wrapText="0"/>
    </xf>
    <xf borderId="9" fillId="0" fontId="15" numFmtId="0" xfId="0" applyAlignment="1" applyBorder="1" applyFont="1">
      <alignment shrinkToFit="0" vertical="bottom" wrapText="0"/>
    </xf>
    <xf borderId="8" fillId="0" fontId="15" numFmtId="0" xfId="0" applyAlignment="1" applyBorder="1" applyFont="1">
      <alignment shrinkToFit="0" vertical="bottom" wrapText="0"/>
    </xf>
    <xf borderId="0" fillId="0" fontId="13" numFmtId="0" xfId="0" applyAlignment="1" applyFont="1">
      <alignment horizontal="center" readingOrder="0"/>
    </xf>
    <xf borderId="8" fillId="0" fontId="15" numFmtId="4" xfId="0" applyAlignment="1" applyBorder="1" applyFont="1" applyNumberFormat="1">
      <alignment readingOrder="0" shrinkToFit="0" vertical="bottom" wrapText="0"/>
    </xf>
    <xf borderId="10" fillId="0" fontId="17" numFmtId="4" xfId="0" applyAlignment="1" applyBorder="1" applyFont="1" applyNumberFormat="1">
      <alignment readingOrder="0" shrinkToFit="0" vertical="bottom" wrapText="0"/>
    </xf>
    <xf borderId="5" fillId="0" fontId="15" numFmtId="0" xfId="0" applyAlignment="1" applyBorder="1" applyFont="1">
      <alignment shrinkToFit="0" vertical="bottom" wrapText="0"/>
    </xf>
    <xf borderId="4" fillId="0" fontId="15" numFmtId="0" xfId="0" applyAlignment="1" applyBorder="1" applyFont="1">
      <alignment shrinkToFit="0" vertical="bottom" wrapText="0"/>
    </xf>
    <xf borderId="5" fillId="0" fontId="15" numFmtId="4" xfId="0" applyAlignment="1" applyBorder="1" applyFont="1" applyNumberFormat="1">
      <alignment readingOrder="0" shrinkToFit="0" vertical="bottom" wrapText="0"/>
    </xf>
    <xf borderId="9" fillId="0" fontId="15" numFmtId="4" xfId="0" applyAlignment="1" applyBorder="1" applyFont="1" applyNumberFormat="1">
      <alignment readingOrder="0" shrinkToFit="0" vertical="bottom" wrapText="0"/>
    </xf>
    <xf borderId="9" fillId="0" fontId="15" numFmtId="0" xfId="0" applyAlignment="1" applyBorder="1" applyFont="1">
      <alignment readingOrder="0" shrinkToFit="0" vertical="bottom" wrapText="0"/>
    </xf>
    <xf borderId="0" fillId="0" fontId="16" numFmtId="0" xfId="0" applyAlignment="1" applyFont="1">
      <alignment shrinkToFit="0" vertical="bottom" wrapText="0"/>
    </xf>
    <xf borderId="1" fillId="0" fontId="6" numFmtId="2" xfId="0" applyAlignment="1" applyBorder="1" applyFont="1" applyNumberFormat="1">
      <alignment vertical="bottom"/>
    </xf>
    <xf borderId="1" fillId="8" fontId="18" numFmtId="2" xfId="0" applyAlignment="1" applyBorder="1" applyFill="1" applyFont="1" applyNumberFormat="1">
      <alignment vertical="bottom"/>
    </xf>
    <xf borderId="1" fillId="6" fontId="1" numFmtId="49" xfId="0" applyAlignment="1" applyBorder="1" applyFill="1" applyFont="1" applyNumberFormat="1">
      <alignment readingOrder="0" shrinkToFit="0" vertical="bottom" wrapText="1"/>
    </xf>
    <xf borderId="1" fillId="0" fontId="1" numFmtId="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ocumenttasks/documenttask8.xml><?xml version="1.0" encoding="utf-8"?>
<Tasks xmlns="http://schemas.microsoft.com/office/tasks/2019/documenttasks"/>
</file>

<file path=xl/documenttasks/documenttask9.xml><?xml version="1.0" encoding="utf-8"?>
<Tasks xmlns="http://schemas.microsoft.com/office/tasks/2019/documenttasks"/>
</file>

<file path=xl/documenttasks/documenttask10.xml><?xml version="1.0" encoding="utf-8"?>
<Tasks xmlns="http://schemas.microsoft.com/office/tasks/2019/documenttasks"/>
</file>

<file path=xl/documenttasks/documenttask11.xml><?xml version="1.0" encoding="utf-8"?>
<Tasks xmlns="http://schemas.microsoft.com/office/tasks/2019/documenttasks"/>
</file>

<file path=xl/documenttasks/documenttask12.xml><?xml version="1.0" encoding="utf-8"?>
<Tasks xmlns="http://schemas.microsoft.com/office/tasks/2019/documenttasks"/>
</file>

<file path=xl/documenttasks/documenttask13.xml><?xml version="1.0" encoding="utf-8"?>
<Tasks xmlns="http://schemas.microsoft.com/office/tasks/2019/documenttasks"/>
</file>

<file path=xl/documenttasks/documenttask14.xml><?xml version="1.0" encoding="utf-8"?>
<Tasks xmlns="http://schemas.microsoft.com/office/tasks/2019/documenttasks"/>
</file>

<file path=xl/documenttasks/documenttask15.xml><?xml version="1.0" encoding="utf-8"?>
<Tasks xmlns="http://schemas.microsoft.com/office/tasks/2019/documenttasks"/>
</file>

<file path=xl/documenttasks/documenttask16.xml><?xml version="1.0" encoding="utf-8"?>
<Tasks xmlns="http://schemas.microsoft.com/office/tasks/2019/documenttasks"/>
</file>

<file path=xl/documenttasks/documenttask17.xml><?xml version="1.0" encoding="utf-8"?>
<Tasks xmlns="http://schemas.microsoft.com/office/tasks/2019/documenttasks"/>
</file>

<file path=xl/documenttasks/documenttask18.xml><?xml version="1.0" encoding="utf-8"?>
<Tasks xmlns="http://schemas.microsoft.com/office/tasks/2019/documenttasks"/>
</file>

<file path=xl/documenttasks/documenttask19.xml><?xml version="1.0" encoding="utf-8"?>
<Tasks xmlns="http://schemas.microsoft.com/office/tasks/2019/documenttasks"/>
</file>

<file path=xl/documenttasks/documenttask20.xml><?xml version="1.0" encoding="utf-8"?>
<Tasks xmlns="http://schemas.microsoft.com/office/tasks/2019/documenttasks"/>
</file>

<file path=xl/documenttasks/documenttask2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hilajit Saha" id="{9994cbf3-e10d-46fa-b52c-1a73f2c9d56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7-08T07:56:23.00" personId="{9994cbf3-e10d-46fa-b52c-1a73f2c9d567}" id="{e31fca95-b414-4fb6-bd3c-49dedf65e24b}" done="0">
    <x18tc:text xml:space="preserve">29500 ATJ Consultancy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5" dT="2026-05-13T07:47:28.00" personId="{9994cbf3-e10d-46fa-b52c-1a73f2c9d567}" id="{962c03db-a1b9-4b7f-8d18-089605be5c0d}" done="0">
    <x18tc:text xml:space="preserve">48492 is KMC Trade License Fees for 26-27</x18tc:text>
  </x18tc:threadedComment>
  <x18tc:threadedComment ref="B22" dT="2026-05-13T09:19:10.00" personId="{9994cbf3-e10d-46fa-b52c-1a73f2c9d567}" id="{87af78dd-e178-4f6b-b9c3-87b2b3abf4ae}" done="0">
    <x18tc:text xml:space="preserve">2516 for 3 months Fame Pilot</x18tc:text>
  </x18tc:threadedComment>
  <x18tc:threadedComment ref="B22" dT="2026-05-13T09:45:26.00" personId="{9994cbf3-e10d-46fa-b52c-1a73f2c9d567}" id="{852482d1-3ab9-438e-8d5e-1c7c7f761861}" parentId="{87af78dd-e178-4f6b-b9c3-87b2b3abf4ae}">
    <x18tc:text xml:space="preserve">18000 for 3 months Matsan Plants</x18tc:text>
  </x18tc:threadedComment>
  <x18tc:threadedComment ref="B22" dT="2026-06-05T06:09:21.00" personId="{9994cbf3-e10d-46fa-b52c-1a73f2c9d567}" id="{f028ac2c-3b56-45ac-88eb-690d0982f3d4}" parentId="{87af78dd-e178-4f6b-b9c3-87b2b3abf4ae}">
    <x18tc:text xml:space="preserve">9813 for 12 months FHRAI</x18tc:text>
  </x18tc:threadedComment>
  <x18tc:threadedComment ref="B22" dT="2026-08-07T12:00:03.00" personId="{9994cbf3-e10d-46fa-b52c-1a73f2c9d567}" id="{aec1c267-8e11-427d-9be1-72a100fc43b4}" parentId="{87af78dd-e178-4f6b-b9c3-87b2b3abf4ae}">
    <x18tc:text xml:space="preserve">7080 FOR 12 MONTHS HREAI</x18tc:text>
  </x18tc:threadedComment>
  <x18tc:threadedComment ref="B21" dT="2026-05-13T07:55:18.00" personId="{9994cbf3-e10d-46fa-b52c-1a73f2c9d567}" id="{0ae10b94-ec17-4ea3-a131-cd30f8048da3}" done="0">
    <x18tc:text xml:space="preserve">1200 Flame n Fire</x18tc:text>
  </x18tc:threadedComment>
  <x18tc:threadedComment ref="C20" dT="2026-06-05T13:02:54.00" personId="{9994cbf3-e10d-46fa-b52c-1a73f2c9d567}" id="{747ccf7f-3a40-4d40-a16a-d21d36f96233}" done="0">
    <x18tc:text xml:space="preserve">25960 S&amp;IB Provision</x18tc:text>
  </x18tc:threadedComment>
  <x18tc:threadedComment ref="D20" dT="2026-07-08T09:36:36.00" personId="{9994cbf3-e10d-46fa-b52c-1a73f2c9d567}" id="{6f9e5a6d-8450-4953-b22c-04c59ca124ce}" done="0">
    <x18tc:text xml:space="preserve">21240 ATJ PROVISION</x18tc:text>
  </x18tc:threadedComment>
  <x18tc:threadedComment ref="D20" dT="2026-07-08T09:40:53.00" personId="{9994cbf3-e10d-46fa-b52c-1a73f2c9d567}" id="{4b6734c7-c0d1-44e0-a5cb-1ecd7c88a245}" parentId="{6f9e5a6d-8450-4953-b22c-04c59ca124ce}">
    <x18tc:text xml:space="preserve">5192 DESTIMONEY PROV</x18tc:text>
  </x18tc:threadedComment>
  <x18tc:threadedComment ref="D20" dT="2026-07-08T13:36:33.00" personId="{9994cbf3-e10d-46fa-b52c-1a73f2c9d567}" id="{52f7b486-03ac-4728-b751-b0a401e486f7}" parentId="{6f9e5a6d-8450-4953-b22c-04c59ca124ce}">
    <x18tc:text xml:space="preserve">25960 S&amp;IB</x18tc:text>
  </x18tc:threadedComment>
  <x18tc:threadedComment ref="D20" dT="2026-08-07T07:19:21.00" personId="{9994cbf3-e10d-46fa-b52c-1a73f2c9d567}" id="{7f54f611-6900-4bfb-b0c1-720f84e7fb31}" parentId="{6f9e5a6d-8450-4953-b22c-04c59ca124ce}">
    <x18tc:text xml:space="preserve">37480 CLEAN SOURCE</x18tc:text>
  </x18tc:threadedComment>
  <x18tc:threadedComment ref="E20" dT="2026-08-07T07:20:03.00" personId="{9994cbf3-e10d-46fa-b52c-1a73f2c9d567}" id="{235a41ed-e396-4075-89ee-dfcc715ecbe5}" done="0">
    <x18tc:text xml:space="preserve">37480 CLEAN SOURCE</x18tc:text>
  </x18tc:threadedComment>
  <x18tc:threadedComment ref="E21" dT="2026-08-08T07:39:06.00" personId="{9994cbf3-e10d-46fa-b52c-1a73f2c9d567}" id="{3c093294-80fd-4fe8-aba0-e61db7a02ca8}" done="0">
    <x18tc:text xml:space="preserve">5145 Rent on Equipments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5" dT="2026-05-13T07:45:48.00" personId="{9994cbf3-e10d-46fa-b52c-1a73f2c9d567}" id="{c3cc8a3d-e826-4d6b-a5cd-ad2744e1e4f1}" done="0">
    <x18tc:text xml:space="preserve">8700 is KMC Trade License Fees for 26-27</x18tc:text>
  </x18tc:threadedComment>
  <x18tc:threadedComment ref="B22" dT="2026-05-13T09:20:11.00" personId="{9994cbf3-e10d-46fa-b52c-1a73f2c9d567}" id="{71835b91-1535-46f4-8750-a8f18f683ab9}" done="0">
    <x18tc:text xml:space="preserve">2516 for 3 months Fame Pilot</x18tc:text>
  </x18tc:threadedComment>
  <x18tc:threadedComment ref="B22" dT="2026-05-13T09:43:53.00" personId="{9994cbf3-e10d-46fa-b52c-1a73f2c9d567}" id="{fa0fbf1b-fcd1-482f-9e3d-c2181cef9d7a}" parentId="{71835b91-1535-46f4-8750-a8f18f683ab9}">
    <x18tc:text xml:space="preserve">24000 for 3 months Matsan Plants</x18tc:text>
  </x18tc:threadedComment>
  <x18tc:threadedComment ref="B22" dT="2026-06-05T06:08:06.00" personId="{9994cbf3-e10d-46fa-b52c-1a73f2c9d567}" id="{76ac6f92-5cdf-4a58-ab84-cfcc178290b7}" parentId="{71835b91-1535-46f4-8750-a8f18f683ab9}">
    <x18tc:text xml:space="preserve">9813 FHRAI for 12 months</x18tc:text>
  </x18tc:threadedComment>
  <x18tc:threadedComment ref="B22" dT="2026-08-07T11:59:41.00" personId="{9994cbf3-e10d-46fa-b52c-1a73f2c9d567}" id="{1ee69c6e-6d86-45d1-bd67-4ddb2135c630}" parentId="{71835b91-1535-46f4-8750-a8f18f683ab9}">
    <x18tc:text xml:space="preserve">7080 FOR 12 MONTHS HREAI</x18tc:text>
  </x18tc:threadedComment>
  <x18tc:threadedComment ref="D20" dT="2026-07-08T09:39:26.00" personId="{9994cbf3-e10d-46fa-b52c-1a73f2c9d567}" id="{f50e6ec5-cdde-445e-81e0-55cecf2c22c1}" done="0">
    <x18tc:text xml:space="preserve">26317 CLEAN SOURCE PROV</x18tc:text>
  </x18tc:threadedComment>
  <x18tc:threadedComment ref="E20" dT="2026-08-07T07:20:52.00" personId="{9994cbf3-e10d-46fa-b52c-1a73f2c9d567}" id="{2fd83928-85d4-4aa6-9bc1-fc1307bf7a5d}" done="0">
    <x18tc:text xml:space="preserve">11000 STAFF ROOM RENT</x18tc:text>
  </x18tc:threadedComment>
  <x18tc:threadedComment ref="E21" dT="2026-08-08T07:57:22.00" personId="{9994cbf3-e10d-46fa-b52c-1a73f2c9d567}" id="{f63d148d-5d9e-449d-8f68-21193ddcfb02}" done="0">
    <x18tc:text xml:space="preserve">2950 Rent on Equipmemts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5" dT="2026-05-13T07:46:19.00" personId="{9994cbf3-e10d-46fa-b52c-1a73f2c9d567}" id="{3ba6bb58-af9c-44e7-bc06-a1e04001179d}" done="0">
    <x18tc:text xml:space="preserve">15602 is KMC Trade License Fees for 26-27</x18tc:text>
  </x18tc:threadedComment>
  <x18tc:threadedComment ref="B22" dT="2026-05-13T09:20:49.00" personId="{9994cbf3-e10d-46fa-b52c-1a73f2c9d567}" id="{eadf7855-b774-464e-a461-58ac1496364b}" done="0">
    <x18tc:text xml:space="preserve">2516.16 Fame Pilot for 3 months</x18tc:text>
  </x18tc:threadedComment>
  <x18tc:threadedComment ref="B22" dT="2026-06-05T06:13:16.00" personId="{9994cbf3-e10d-46fa-b52c-1a73f2c9d567}" id="{042376fc-5502-4a96-b62d-3b097ee1c0b9}" parentId="{eadf7855-b774-464e-a461-58ac1496364b}">
    <x18tc:text xml:space="preserve">9813 for 12 Months FHRAI</x18tc:text>
  </x18tc:threadedComment>
  <x18tc:threadedComment ref="B22" dT="2026-08-07T11:56:35.00" personId="{9994cbf3-e10d-46fa-b52c-1a73f2c9d567}" id="{f9857ede-af07-4d9e-9bd5-c88eca48c2c5}" parentId="{eadf7855-b774-464e-a461-58ac1496364b}">
    <x18tc:text xml:space="preserve">7080 FOR 12 MONTHS HREAI</x18tc:text>
  </x18tc:threadedComment>
  <x18tc:threadedComment ref="E21" dT="2026-08-08T07:42:26.00" personId="{9994cbf3-e10d-46fa-b52c-1a73f2c9d567}" id="{e3c7197d-13da-4b7e-b279-66eca347e51a}" done="0">
    <x18tc:text xml:space="preserve">3457 Rent on Equipments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5" dT="2026-05-13T07:45:19.00" personId="{9994cbf3-e10d-46fa-b52c-1a73f2c9d567}" id="{064d8fb8-d383-4663-bb48-bb707069e776}" done="0">
    <x18tc:text xml:space="preserve">7596 is KMC Trade License Fees for 26-27</x18tc:text>
  </x18tc:threadedComment>
  <x18tc:threadedComment ref="B21" dT="2026-05-13T07:51:04.00" personId="{9994cbf3-e10d-46fa-b52c-1a73f2c9d567}" id="{be610fcb-4575-4f4b-9bd6-cc7f5aadd8d3}" done="0">
    <x18tc:text xml:space="preserve">1500 Flame n Fire</x18tc:text>
  </x18tc:threadedComment>
  <x18tc:threadedComment ref="B22" dT="2026-05-13T09:21:49.00" personId="{9994cbf3-e10d-46fa-b52c-1a73f2c9d567}" id="{f560657c-35fc-443e-be6e-790e0ee497d3}" done="0">
    <x18tc:text xml:space="preserve">2516 for 3 months Fame Pilot</x18tc:text>
  </x18tc:threadedComment>
  <x18tc:threadedComment ref="B22" dT="2026-08-07T11:57:37.00" personId="{9994cbf3-e10d-46fa-b52c-1a73f2c9d567}" id="{ab9ff9d1-da75-4b51-96c7-bcdd70c478e5}" parentId="{f560657c-35fc-443e-be6e-790e0ee497d3}">
    <x18tc:text xml:space="preserve">7080 FOR 12 MONTHS HREAI</x18tc:text>
  </x18tc:threadedComment>
  <x18tc:threadedComment ref="C16" dT="2026-06-05T10:23:49.00" personId="{9994cbf3-e10d-46fa-b52c-1a73f2c9d567}" id="{13099e84-b78e-4b80-ae11-5f213e3a0f03}" done="0">
    <x18tc:text xml:space="preserve">1500 for 3 months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2" dT="2026-05-13T09:22:47.00" personId="{9994cbf3-e10d-46fa-b52c-1a73f2c9d567}" id="{17cb087b-be6d-4df0-8b10-5435b15a0261}" done="0">
    <x18tc:text xml:space="preserve">2516 for 3 months Fame Pilot</x18tc:text>
  </x18tc:threadedComment>
  <x18tc:threadedComment ref="B22" dT="2026-06-05T06:14:37.00" personId="{9994cbf3-e10d-46fa-b52c-1a73f2c9d567}" id="{3289d38e-ae67-4835-a49b-d77e542883d1}" parentId="{17cb087b-be6d-4df0-8b10-5435b15a0261}">
    <x18tc:text xml:space="preserve">9813 for 12 months FHRAI</x18tc:text>
  </x18tc:threadedComment>
  <x18tc:threadedComment ref="B22" dT="2026-08-07T11:58:44.00" personId="{9994cbf3-e10d-46fa-b52c-1a73f2c9d567}" id="{29e3bec9-99b0-46b9-95d7-167f39df134c}" parentId="{17cb087b-be6d-4df0-8b10-5435b15a0261}">
    <x18tc:text xml:space="preserve">7080 FOR 12 MONTHS HREAI</x18tc:text>
  </x18tc:threadedComment>
  <x18tc:threadedComment ref="E21" dT="2026-08-08T07:57:56.00" personId="{9994cbf3-e10d-46fa-b52c-1a73f2c9d567}" id="{22306fbd-8403-4ccb-974d-8679fe4050b0}" done="0">
    <x18tc:text xml:space="preserve">2950 Rent on Equipmemts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1" dT="2026-05-13T07:52:49.00" personId="{9994cbf3-e10d-46fa-b52c-1a73f2c9d567}" id="{70dadc8b-05a6-43dd-820a-53a32533cd55}" done="0">
    <x18tc:text xml:space="preserve">2440 Flame n Fire</x18tc:text>
  </x18tc:threadedComment>
  <x18tc:threadedComment ref="B22" dT="2026-05-13T09:35:06.00" personId="{9994cbf3-e10d-46fa-b52c-1a73f2c9d567}" id="{21f55b04-e88b-4ca1-9077-d50e3055f332}" done="0">
    <x18tc:text xml:space="preserve">2516.16 for 3 months Fame Pilot</x18tc:text>
  </x18tc:threadedComment>
  <x18tc:threadedComment ref="B22" dT="2026-06-05T06:16:59.00" personId="{9994cbf3-e10d-46fa-b52c-1a73f2c9d567}" id="{82e66fbe-05ff-4e36-ad91-4c26b2f14d33}" parentId="{21f55b04-e88b-4ca1-9077-d50e3055f332}">
    <x18tc:text xml:space="preserve">9813 for 12 months FHRAI</x18tc:text>
  </x18tc:threadedComment>
  <x18tc:threadedComment ref="B22" dT="2026-08-07T11:48:09.00" personId="{9994cbf3-e10d-46fa-b52c-1a73f2c9d567}" id="{a81e7147-7595-4575-9401-012f9c5e81f2}" parentId="{21f55b04-e88b-4ca1-9077-d50e3055f332}">
    <x18tc:text xml:space="preserve">7080 FOR MONTHS HREAI</x18tc:text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5" dT="2026-05-13T07:46:53.00" personId="{9994cbf3-e10d-46fa-b52c-1a73f2c9d567}" id="{eb6301a3-4f2c-4572-940d-7dc63b8d53be}" done="0">
    <x18tc:text xml:space="preserve">5104 is KMC Trade License Fees for 26-27</x18tc:text>
  </x18tc:threadedComment>
</x18tc:ThreadedComments>
</file>

<file path=xl/threadedComments/threadedComment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5" dT="2026-05-13T07:44:50.00" personId="{9994cbf3-e10d-46fa-b52c-1a73f2c9d567}" id="{78454b3f-02ba-47e0-959d-264cbf396e14}" done="0">
    <x18tc:text xml:space="preserve">1550 is KMC Trade License Fees for 26-27</x18tc:text>
  </x18tc:threadedComment>
</x18tc:ThreadedComments>
</file>

<file path=xl/threadedComments/threadedComment10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2" dT="2026-05-13T09:33:29.00" personId="{9994cbf3-e10d-46fa-b52c-1a73f2c9d567}" id="{5c596505-cd16-42d9-9fe8-ae14a2f45c20}" done="0">
    <x18tc:text xml:space="preserve">2516.16 for 3 months Fame Pilot</x18tc:text>
  </x18tc:threadedComment>
  <x18tc:threadedComment ref="B22" dT="2026-06-05T06:17:50.00" personId="{9994cbf3-e10d-46fa-b52c-1a73f2c9d567}" id="{820b8aaa-c127-4ff9-b932-3d7f25c86ee6}" parentId="{5c596505-cd16-42d9-9fe8-ae14a2f45c20}">
    <x18tc:text xml:space="preserve">9813 for 12 months FHRAI</x18tc:text>
  </x18tc:threadedComment>
  <x18tc:threadedComment ref="B22" dT="2026-08-07T11:53:10.00" personId="{9994cbf3-e10d-46fa-b52c-1a73f2c9d567}" id="{0cdb2330-f054-4cbf-88d4-810db3fbde41}" parentId="{5c596505-cd16-42d9-9fe8-ae14a2f45c20}">
    <x18tc:text xml:space="preserve">7080 FOR 12 MONTHS HREAI</x18tc:text>
  </x18tc:threadedComment>
  <x18tc:threadedComment ref="E21" dT="2026-08-08T07:46:13.00" personId="{9994cbf3-e10d-46fa-b52c-1a73f2c9d567}" id="{107a9345-b4ee-41dc-ac06-008412d2bd86}" done="0">
    <x18tc:text xml:space="preserve">3457 Rent on Equipmemts</x18tc:text>
  </x18tc:threadedComment>
</x18tc:ThreadedComments>
</file>

<file path=xl/threadedComments/threadedComment1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2" dT="2026-05-13T09:32:54.00" personId="{9994cbf3-e10d-46fa-b52c-1a73f2c9d567}" id="{f1c7cb19-ed50-4e0d-a4e9-c4c945e993b2}" done="0">
    <x18tc:text xml:space="preserve">2516.16 for 3 months Fame Pilot</x18tc:text>
  </x18tc:threadedComment>
  <x18tc:threadedComment ref="B22" dT="2026-05-13T09:44:20.00" personId="{9994cbf3-e10d-46fa-b52c-1a73f2c9d567}" id="{093b4d9b-ba9e-48d5-a1d7-ccaedd6f40c2}" parentId="{f1c7cb19-ed50-4e0d-a4e9-c4c945e993b2}">
    <x18tc:text xml:space="preserve">9000 for 3 months Matsan Plants</x18tc:text>
  </x18tc:threadedComment>
  <x18tc:threadedComment ref="B22" dT="2026-06-05T06:12:08.00" personId="{9994cbf3-e10d-46fa-b52c-1a73f2c9d567}" id="{2f130b0c-dd98-4ef7-b4b4-e29bf9e56fe8}" parentId="{f1c7cb19-ed50-4e0d-a4e9-c4c945e993b2}">
    <x18tc:text xml:space="preserve">9813 for 12 months FHRAI</x18tc:text>
  </x18tc:threadedComment>
  <x18tc:threadedComment ref="B22" dT="2026-08-07T11:39:33.00" personId="{9994cbf3-e10d-46fa-b52c-1a73f2c9d567}" id="{ac868edd-4fcd-40b9-9b72-e4892208f31c}" parentId="{f1c7cb19-ed50-4e0d-a4e9-c4c945e993b2}">
    <x18tc:text xml:space="preserve">7080 for 12 months HREAI</x18tc:text>
  </x18tc:threadedComment>
  <x18tc:threadedComment ref="E21" dT="2026-08-08T07:46:54.00" personId="{9994cbf3-e10d-46fa-b52c-1a73f2c9d567}" id="{5a2752e6-120f-478e-8c10-bb239ec74542}" done="0">
    <x18tc:text xml:space="preserve">2360 Rent on Equipmemts</x18tc:text>
  </x18tc:threadedComment>
</x18tc:ThreadedComments>
</file>

<file path=xl/threadedComments/threadedComment1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1" dT="2026-05-13T07:52:25.00" personId="{9994cbf3-e10d-46fa-b52c-1a73f2c9d567}" id="{afbe44e7-2f48-4864-a3a6-1b022fdf399a}" done="0">
    <x18tc:text xml:space="preserve">2400 Flame n Fire</x18tc:text>
  </x18tc:threadedComment>
  <x18tc:threadedComment ref="B22" dT="2026-05-13T09:25:11.00" personId="{9994cbf3-e10d-46fa-b52c-1a73f2c9d567}" id="{2146dd9c-2e35-4571-ba90-3bc4a9b86ab4}" done="0">
    <x18tc:text xml:space="preserve">2516.16 for 3 months Fame Pilot</x18tc:text>
  </x18tc:threadedComment>
  <x18tc:threadedComment ref="B22" dT="2026-06-05T06:15:50.00" personId="{9994cbf3-e10d-46fa-b52c-1a73f2c9d567}" id="{d42be69a-b14f-45a0-aae9-784f16367930}" parentId="{2146dd9c-2e35-4571-ba90-3bc4a9b86ab4}">
    <x18tc:text xml:space="preserve">9813 for 12 months FHRAI</x18tc:text>
  </x18tc:threadedComment>
  <x18tc:threadedComment ref="B22" dT="2026-08-07T11:56:06.00" personId="{9994cbf3-e10d-46fa-b52c-1a73f2c9d567}" id="{cf10a076-ab91-4a2c-81bd-50df3d6b4e81}" parentId="{2146dd9c-2e35-4571-ba90-3bc4a9b86ab4}">
    <x18tc:text xml:space="preserve">7080 FOR 12 MONTHS HREAI</x18tc:text>
  </x18tc:threadedComment>
  <x18tc:threadedComment ref="B20" dT="2026-06-05T12:52:33.00" personId="{9994cbf3-e10d-46fa-b52c-1a73f2c9d567}" id="{73292da7-b724-4e19-af93-52a49205a6d1}" done="0">
    <x18tc:text xml:space="preserve">23364 S&amp;IB</x18tc:text>
  </x18tc:threadedComment>
  <x18tc:threadedComment ref="C20" dT="2026-06-05T13:03:58.00" personId="{9994cbf3-e10d-46fa-b52c-1a73f2c9d567}" id="{a7d2906f-6715-400c-9680-f5f3c3880350}" done="0">
    <x18tc:text xml:space="preserve">23364 S&amp;IB Provision</x18tc:text>
  </x18tc:threadedComment>
  <x18tc:threadedComment ref="D20" dT="2026-07-08T09:40:33.00" personId="{9994cbf3-e10d-46fa-b52c-1a73f2c9d567}" id="{5b002f6e-e65a-464c-b1e5-3cba00906ae0}" done="0">
    <x18tc:text xml:space="preserve">41250 DESTIMONEY</x18tc:text>
  </x18tc:threadedComment>
  <x18tc:threadedComment ref="E21" dT="2026-08-08T07:44:29.00" personId="{9994cbf3-e10d-46fa-b52c-1a73f2c9d567}" id="{8901680c-07e5-4afd-bfa9-de2a551ac5a5}" done="0">
    <x18tc:text xml:space="preserve">2950 Rent on Equipmemts</x18tc:text>
  </x18tc:threadedComment>
</x18tc:ThreadedComments>
</file>

<file path=xl/threadedComments/threadedComment1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5" dT="2026-05-13T07:40:25.00" personId="{9994cbf3-e10d-46fa-b52c-1a73f2c9d567}" id="{1185a165-c258-414d-9d10-7192af2c570e}" done="0">
    <x18tc:text xml:space="preserve">22334 is KMC Trade License Fees for 26-27</x18tc:text>
  </x18tc:threadedComment>
  <x18tc:threadedComment ref="B21" dT="2026-05-13T07:54:58.00" personId="{9994cbf3-e10d-46fa-b52c-1a73f2c9d567}" id="{265fb0e5-0a4f-4cfb-8244-5fefecba7bd6}" done="0">
    <x18tc:text xml:space="preserve">1200 Flame n Fire</x18tc:text>
  </x18tc:threadedComment>
  <x18tc:threadedComment ref="B22" dT="2026-05-13T09:29:35.00" personId="{9994cbf3-e10d-46fa-b52c-1a73f2c9d567}" id="{664df305-61c1-4e59-a243-83c6913d46b4}" done="0">
    <x18tc:text xml:space="preserve">2516.16 for 3 months Fame Pilot</x18tc:text>
  </x18tc:threadedComment>
  <x18tc:threadedComment ref="E21" dT="2026-08-08T07:54:50.00" personId="{9994cbf3-e10d-46fa-b52c-1a73f2c9d567}" id="{7ab92359-4639-4dd7-919d-98c5c30e6e6b}" done="0">
    <x18tc:text xml:space="preserve">2360 Rent on Equipmemts</x18tc:text>
  </x18tc:threadedComment>
</x18tc:ThreadedComments>
</file>

<file path=xl/threadedComments/threadedComment1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5" dT="2026-05-13T07:40:58.00" personId="{9994cbf3-e10d-46fa-b52c-1a73f2c9d567}" id="{eb5e9519-7b93-4542-b1b7-0edfa8c85101}" done="0">
    <x18tc:text xml:space="preserve">21934 is KMC Trade License Fees for 26-27</x18tc:text>
  </x18tc:threadedComment>
  <x18tc:threadedComment ref="B21" dT="2026-05-13T07:54:38.00" personId="{9994cbf3-e10d-46fa-b52c-1a73f2c9d567}" id="{8aed0f8d-83db-426f-9d0f-cfad028fe8e4}" done="0">
    <x18tc:text xml:space="preserve">3100 Flame n Fire</x18tc:text>
  </x18tc:threadedComment>
  <x18tc:threadedComment ref="B22" dT="2026-05-13T09:27:54.00" personId="{9994cbf3-e10d-46fa-b52c-1a73f2c9d567}" id="{3eebe63a-7108-4f67-aad8-abbf140e8d03}" done="0">
    <x18tc:text xml:space="preserve">2516.16 for 3 months Fame Pilot</x18tc:text>
  </x18tc:threadedComment>
  <x18tc:threadedComment ref="B22" dT="2026-06-05T06:19:40.00" personId="{9994cbf3-e10d-46fa-b52c-1a73f2c9d567}" id="{eb643ad7-9755-490f-aeb3-09324b0a6707}" parentId="{3eebe63a-7108-4f67-aad8-abbf140e8d03}">
    <x18tc:text xml:space="preserve">9813 for 12 months FHRAI</x18tc:text>
  </x18tc:threadedComment>
  <x18tc:threadedComment ref="B22" dT="2026-08-07T11:40:18.00" personId="{9994cbf3-e10d-46fa-b52c-1a73f2c9d567}" id="{f95c7699-e850-498e-9407-b05883a52556}" parentId="{3eebe63a-7108-4f67-aad8-abbf140e8d03}">
    <x18tc:text xml:space="preserve">7080 for 12 months HREAI</x18tc:text>
  </x18tc:threadedComment>
  <x18tc:threadedComment ref="E21" dT="2026-08-08T07:48:22.00" personId="{9994cbf3-e10d-46fa-b52c-1a73f2c9d567}" id="{f9e49719-c733-436a-b363-5e5e94965f88}" done="0">
    <x18tc:text xml:space="preserve">5145 Rent on Equipmemts</x18tc:text>
  </x18tc:threadedComment>
  <x18tc:threadedComment ref="E16" dT="2026-08-10T12:08:30.00" personId="{9994cbf3-e10d-46fa-b52c-1a73f2c9d567}" id="{61837e03-796e-4477-b478-d1be6e44f90a}" done="0">
    <x18tc:text xml:space="preserve">4300 FOR 12 MONTHS 18.7.26 TO 12.7.27</x18tc:text>
  </x18tc:threadedComment>
</x18tc:ThreadedComments>
</file>

<file path=xl/threadedComments/threadedComment1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5" dT="2026-05-13T07:33:58.00" personId="{9994cbf3-e10d-46fa-b52c-1a73f2c9d567}" id="{c1e1524f-c9b5-40a5-bd38-370042040d4c}" done="0">
    <x18tc:text xml:space="preserve">21934 is KMC Trade License Fees for 26-27</x18tc:text>
  </x18tc:threadedComment>
  <x18tc:threadedComment ref="B22" dT="2026-05-13T09:30:03.00" personId="{9994cbf3-e10d-46fa-b52c-1a73f2c9d567}" id="{50443127-0140-49a2-80b7-255827b51f57}" done="0">
    <x18tc:text xml:space="preserve">2516.16 for 3 months Fame Pilot</x18tc:text>
  </x18tc:threadedComment>
  <x18tc:threadedComment ref="B22" dT="2026-06-05T06:18:47.00" personId="{9994cbf3-e10d-46fa-b52c-1a73f2c9d567}" id="{76430ba9-33ba-4755-9a07-85b5c2f62b1d}" parentId="{50443127-0140-49a2-80b7-255827b51f57}">
    <x18tc:text xml:space="preserve">9813 for 12 months FHRAI</x18tc:text>
  </x18tc:threadedComment>
  <x18tc:threadedComment ref="B22" dT="2026-08-07T11:42:18.00" personId="{9994cbf3-e10d-46fa-b52c-1a73f2c9d567}" id="{0301cd92-28f0-4b0a-a81c-9302bc13fa5e}" parentId="{50443127-0140-49a2-80b7-255827b51f57}">
    <x18tc:text xml:space="preserve">7080 for 12 months HREAI</x18tc:text>
  </x18tc:threadedComment>
  <x18tc:threadedComment ref="E21" dT="2026-08-08T07:50:53.00" personId="{9994cbf3-e10d-46fa-b52c-1a73f2c9d567}" id="{26f58d28-605a-4ffb-99f7-a294b9a5f254}" done="0">
    <x18tc:text xml:space="preserve">2360 Rent on Equipmemts</x18tc:text>
  </x18tc:threadedComment>
</x18tc:ThreadedComments>
</file>

<file path=xl/threadedComments/threadedComment1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5" dT="2026-05-13T07:37:38.00" personId="{9994cbf3-e10d-46fa-b52c-1a73f2c9d567}" id="{208627c8-cb03-48f1-963f-cf81fa8bb21a}" done="0">
    <x18tc:text xml:space="preserve">48492 is KMC Trade License Fees for 26-27</x18tc:text>
  </x18tc:threadedComment>
  <x18tc:threadedComment ref="B21" dT="2026-05-13T07:53:59.00" personId="{9994cbf3-e10d-46fa-b52c-1a73f2c9d567}" id="{789434ce-d6de-4038-801f-4932debfcced}" done="0">
    <x18tc:text xml:space="preserve">2400 Flame n Fire</x18tc:text>
  </x18tc:threadedComment>
  <x18tc:threadedComment ref="B22" dT="2026-05-13T09:30:43.00" personId="{9994cbf3-e10d-46fa-b52c-1a73f2c9d567}" id="{3427a4b8-ddbc-4416-93bf-1fe73d16128e}" done="0">
    <x18tc:text xml:space="preserve">2516.16for 3 months Fame Pilot</x18tc:text>
  </x18tc:threadedComment>
  <x18tc:threadedComment ref="B22" dT="2026-05-13T09:46:58.00" personId="{9994cbf3-e10d-46fa-b52c-1a73f2c9d567}" id="{f6321eb4-dff9-454f-a8ae-4073ac5138a3}" parentId="{3427a4b8-ddbc-4416-93bf-1fe73d16128e}">
    <x18tc:text xml:space="preserve">16500 for 3 months Matsan Plants</x18tc:text>
  </x18tc:threadedComment>
  <x18tc:threadedComment ref="B22" dT="2026-06-05T06:07:52.00" personId="{9994cbf3-e10d-46fa-b52c-1a73f2c9d567}" id="{a10a6585-21a0-4c65-b110-0bb365a33616}" parentId="{3427a4b8-ddbc-4416-93bf-1fe73d16128e}">
    <x18tc:text xml:space="preserve">9813 FHRAI for 12 months</x18tc:text>
  </x18tc:threadedComment>
  <x18tc:threadedComment ref="B22" dT="2026-08-07T11:38:01.00" personId="{9994cbf3-e10d-46fa-b52c-1a73f2c9d567}" id="{4815b884-57db-453c-821e-4071c20d84d2}" parentId="{3427a4b8-ddbc-4416-93bf-1fe73d16128e}">
    <x18tc:text xml:space="preserve">7080 HREAI for 12 months</x18tc:text>
  </x18tc:threadedComment>
  <x18tc:threadedComment ref="B20" dT="2026-05-13T10:11:18.00" personId="{9994cbf3-e10d-46fa-b52c-1a73f2c9d567}" id="{da93cb36-cefe-41dc-bc05-0a8cb67a32af}" done="0">
    <x18tc:text xml:space="preserve">25960 for Security Guard Charges</x18tc:text>
  </x18tc:threadedComment>
  <x18tc:threadedComment ref="C20" dT="2026-06-05T13:02:04.00" personId="{9994cbf3-e10d-46fa-b52c-1a73f2c9d567}" id="{64f9846f-ca32-4907-afee-f6d526b098cc}" done="1">
    <x18tc:text xml:space="preserve">25960 S&amp;IB Provision</x18tc:text>
  </x18tc:threadedComment>
  <x18tc:threadedComment ref="C20" dT="2026-07-08T07:57:49.00" personId="{9994cbf3-e10d-46fa-b52c-1a73f2c9d567}" id="{2060449e-4d89-483e-b7c5-3c328e5e5b0d}" done="0">
    <x18tc:text xml:space="preserve">25960 S&amp;IB Provision
29500 ATJ Consultancy</x18tc:text>
  </x18tc:threadedComment>
  <x18tc:threadedComment ref="D20" dT="2026-07-08T09:29:29.00" personId="{9994cbf3-e10d-46fa-b52c-1a73f2c9d567}" id="{627552d5-a4f0-4238-9a51-00e86952ea9b}" done="0">
    <x18tc:text xml:space="preserve">29500 ATJ CONSULTANCY PROVISION</x18tc:text>
  </x18tc:threadedComment>
  <x18tc:threadedComment ref="D20" dT="2026-07-08T09:50:42.00" personId="{9994cbf3-e10d-46fa-b52c-1a73f2c9d567}" id="{4624b1dc-cf87-4693-be9b-95ac18e0fa7b}" parentId="{627552d5-a4f0-4238-9a51-00e86952ea9b}">
    <x18tc:text xml:space="preserve">10000 STAFF ROOM RENT</x18tc:text>
  </x18tc:threadedComment>
</x18tc:ThreadedComments>
</file>

<file path=xl/threadedComments/threadedComment1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5" dT="2026-05-13T07:36:01.00" personId="{9994cbf3-e10d-46fa-b52c-1a73f2c9d567}" id="{14b92a78-a599-4059-b0ba-d5a4920915a3}" done="0">
    <x18tc:text xml:space="preserve">50492 is KMC Trade License Fees for 26-27</x18tc:text>
  </x18tc:threadedComment>
  <x18tc:threadedComment ref="B25" dT="2026-10-07T08:24:34.00" personId="{9994cbf3-e10d-46fa-b52c-1a73f2c9d567}" id="{1fbd9b58-525b-44dc-bae5-845eafdc7fda}" parentId="{14b92a78-a599-4059-b0ba-d5a4920915a3}">
    <x18tc:text xml:space="preserve">124271 for Quest Mall Municipal Tax FY 25-26</x18tc:text>
  </x18tc:threadedComment>
  <x18tc:threadedComment ref="B21" dT="2026-05-13T07:54:19.00" personId="{9994cbf3-e10d-46fa-b52c-1a73f2c9d567}" id="{11ecfc43-6e27-46e2-bdc3-de7c9bf50b09}" done="0">
    <x18tc:text xml:space="preserve">2400 Flame n Fire</x18tc:text>
  </x18tc:threadedComment>
</x18tc:ThreadedComments>
</file>

<file path=xl/threadedComments/threadedComment1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0" dT="2026-05-13T07:53:26.00" personId="{9994cbf3-e10d-46fa-b52c-1a73f2c9d567}" id="{25b31f80-cb85-4810-a57f-9916a9a54845}" done="0">
    <x18tc:text xml:space="preserve">2720 Flame n Fire</x18tc:text>
  </x18tc:threadedComment>
  <x18tc:threadedComment ref="B22" dT="2026-05-13T07:39:55.00" personId="{9994cbf3-e10d-46fa-b52c-1a73f2c9d567}" id="{a35f2b21-92c2-423a-af0c-771a2a85ffa1}" done="0">
    <x18tc:text xml:space="preserve">18760 is KMC Trade License Fees for 26-27</x18tc:text>
  </x18tc:threadedComment>
  <x18tc:threadedComment ref="B22" dT="2026-10-07T08:31:06.00" personId="{9994cbf3-e10d-46fa-b52c-1a73f2c9d567}" id="{2cab7a14-af0d-4496-af8b-225f625d503b}" parentId="{a35f2b21-92c2-423a-af0c-771a2a85ffa1}">
    <x18tc:text xml:space="preserve">34235 for Vehicle Tax Payment</x18tc:text>
  </x18tc:threadedComment>
  <x18tc:threadedComment ref="C16" dT="2026-06-05T13:07:41.00" personId="{9994cbf3-e10d-46fa-b52c-1a73f2c9d567}" id="{216927e8-ea82-4457-a40f-751e83a213cd}" done="0">
    <x18tc:text xml:space="preserve">75709 S&amp;IB Provision</x18tc:text>
  </x18tc:threadedComment>
  <x18tc:threadedComment ref="D16" dT="2026-07-08T09:41:43.00" personId="{9994cbf3-e10d-46fa-b52c-1a73f2c9d567}" id="{f0660ea5-2a12-4c4b-aa1d-f101f9f78b7d}" done="0">
    <x18tc:text xml:space="preserve">13000 CHIRANJIT PURAKAIT</x18tc:text>
  </x18tc:threadedComment>
  <x18tc:threadedComment ref="B18" dT="2026-07-09T06:07:19.00" personId="{9994cbf3-e10d-46fa-b52c-1a73f2c9d567}" id="{1b49c28f-7049-4702-9d78-947b25d9a5c6}" done="0">
    <x18tc:text xml:space="preserve">39394 for Cash pick up charges</x18tc:text>
  </x18tc:threadedComment>
  <x18tc:threadedComment ref="C18" dT="2026-07-09T06:07:44.00" personId="{9994cbf3-e10d-46fa-b52c-1a73f2c9d567}" id="{8a140b58-9753-481f-9b35-877b531b6f2d}" done="0">
    <x18tc:text xml:space="preserve">39394 for Cash pick up charges</x18tc:text>
  </x18tc:threadedComment>
  <x18tc:threadedComment ref="G24" dT="2026-10-13T08:12:07.00" personId="{9994cbf3-e10d-46fa-b52c-1a73f2c9d567}" id="{0043d0be-be3c-4aa0-9479-ac5854e18849}" done="0">
    <x18tc:text xml:space="preserve">OUT OF 369512 RS 355552 BELONGS EARLIER FY AND WE INVOICES RECEIVED IN CURRENT FY</x18tc:text>
  </x18tc:threadedComment>
  <x18tc:threadedComment ref="E20" dT="2026-08-08T07:41:22.00" personId="{9994cbf3-e10d-46fa-b52c-1a73f2c9d567}" id="{7aacfffb-fa64-48b0-8928-bc3ec5704ece}" done="0">
    <x18tc:text xml:space="preserve">9440 Rent on Equipments</x18tc:text>
  </x18tc:threadedComment>
  <x18tc:threadedComment ref="F16" dT="2026-10-06T13:32:27.00" personId="{9994cbf3-e10d-46fa-b52c-1a73f2c9d567}" id="{eb2411b5-1fcf-414e-922a-dd0c01086b7d}" done="0">
    <x18tc:text xml:space="preserve">Rs 100000 paid to Chef</x18tc:text>
  </x18tc:threadedComment>
</x18tc:ThreadedComments>
</file>

<file path=xl/threadedComments/threadedComment1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3" dT="2026-05-13T06:59:13.00" personId="{9994cbf3-e10d-46fa-b52c-1a73f2c9d567}" id="{ec9f2d8b-834b-4e1a-9576-f6a3e7cf5567}" done="1">
    <x18tc:text xml:space="preserve">Rs 53100 paid to Kairos (Astra One Ventures)</x18tc:text>
  </x18tc:threadedComment>
  <x18tc:threadedComment ref="B4" dT="2026-05-13T07:00:42.00" personId="{9994cbf3-e10d-46fa-b52c-1a73f2c9d567}" id="{59add605-958b-4942-84f7-220bf4f0aa78}" done="0">
    <x18tc:text xml:space="preserve">35400 Klarus Tech</x18tc:text>
  </x18tc:threadedComment>
  <x18tc:threadedComment ref="B4" dT="2026-05-13T10:40:47.00" personId="{9994cbf3-e10d-46fa-b52c-1a73f2c9d567}" id="{fe0fb836-efa9-4775-9d99-3a1e40fd86ea}" parentId="{59add605-958b-4942-84f7-220bf4f0aa78}">
    <x18tc:text xml:space="preserve">62663.68 Facebook Expenses</x18tc:text>
  </x18tc:threadedComment>
  <x18tc:threadedComment ref="C16" dT="2026-06-04T07:50:51.00" personId="{9994cbf3-e10d-46fa-b52c-1a73f2c9d567}" id="{e2866116-f138-4316-8d73-5a17f5a31268}" done="0">
    <x18tc:text xml:space="preserve">Excess Deduction</x18tc:text>
  </x18tc:threadedComment>
  <x18tc:threadedComment ref="C16" dT="2026-06-08T10:48:37.00" personId="{9994cbf3-e10d-46fa-b52c-1a73f2c9d567}" id="{78855319-fc79-4833-adaf-1a6131244c6c}" parentId="{e2866116-f138-4316-8d73-5a17f5a31268}">
    <x18tc:text xml:space="preserve">Swiggy has deducted ₹7,18,753. However, as per our calculation, the advertisement charges for the month of May 2026 amount to only ₹3,34,754</x18tc:text>
  </x18tc:threadedComment>
  <x18tc:threadedComment ref="C4" dT="2026-06-04T07:57:18.00" personId="{9994cbf3-e10d-46fa-b52c-1a73f2c9d567}" id="{a519bb51-60e9-4431-a511-b86bff37ca7a}" done="0">
    <x18tc:text xml:space="preserve">25000 paid to Jyotisko Biswas</x18tc:text>
  </x18tc:threadedComment>
  <x18tc:threadedComment ref="C4" dT="2026-06-04T07:58:36.00" personId="{9994cbf3-e10d-46fa-b52c-1a73f2c9d567}" id="{1ef7e52b-7444-49ba-b85b-8cf85a65be85}" parentId="{a519bb51-60e9-4431-a511-b86bff37ca7a}">
    <x18tc:text xml:space="preserve">35400 Klarus Tech</x18tc:text>
  </x18tc:threadedComment>
  <x18tc:threadedComment ref="C4" dT="2026-06-05T06:23:29.00" personId="{9994cbf3-e10d-46fa-b52c-1a73f2c9d567}" id="{f96fc391-f1d3-4bed-b087-e80691da13ad}" parentId="{a519bb51-60e9-4431-a511-b86bff37ca7a}">
    <x18tc:text xml:space="preserve">65255 Facebook Expenses</x18tc:text>
  </x18tc:threadedComment>
  <x18tc:threadedComment ref="C5" dT="2026-06-04T08:01:26.00" personId="{9994cbf3-e10d-46fa-b52c-1a73f2c9d567}" id="{824697db-c766-4a7e-9379-657019836e1e}" done="0">
    <x18tc:text xml:space="preserve">30713 Fridge Magnet given on Mothers day</x18tc:text>
  </x18tc:threadedComment>
  <x18tc:threadedComment ref="C13" dT="2026-06-04T08:03:37.00" personId="{9994cbf3-e10d-46fa-b52c-1a73f2c9d567}" id="{ec8661fe-fb08-4c0c-8ca6-5d1bd1e781e5}" done="0">
    <x18tc:text xml:space="preserve">35400 Paid to Astra One Ventures</x18tc:text>
  </x18tc:threadedComment>
  <x18tc:threadedComment ref="B10" dT="2026-06-04T10:56:58.00" personId="{9994cbf3-e10d-46fa-b52c-1a73f2c9d567}" id="{6795d986-37d1-4e19-8b3e-c9e19f52a416}" done="0">
    <x18tc:text xml:space="preserve">47702 paid to Jyotishko</x18tc:text>
  </x18tc:threadedComment>
  <x18tc:threadedComment ref="C10" dT="2026-06-04T10:59:19.00" personId="{9994cbf3-e10d-46fa-b52c-1a73f2c9d567}" id="{5efb8c87-3959-4b2f-9b64-edbfa98c28a9}" done="0">
    <x18tc:text xml:space="preserve">25000 paid to Jyotisko Biswas</x18tc:text>
  </x18tc:threadedComment>
  <x18tc:threadedComment ref="C8" dT="2026-06-04T11:30:53.00" personId="{9994cbf3-e10d-46fa-b52c-1a73f2c9d567}" id="{edd57afd-a9fd-42c7-9099-b7b347c287c4}" done="0">
    <x18tc:text xml:space="preserve">45000 PAID TO SHAHBAZ</x18tc:text>
  </x18tc:threadedComment>
  <x18tc:threadedComment ref="D4" dT="2026-07-07T08:02:30.00" personId="{9994cbf3-e10d-46fa-b52c-1a73f2c9d567}" id="{ce157424-bf5b-4c33-aec3-461f5fc16d8c}" done="0">
    <x18tc:text xml:space="preserve">35400 Klarus Tech</x18tc:text>
  </x18tc:threadedComment>
  <x18tc:threadedComment ref="D8" dT="2026-07-14T11:59:03.00" personId="{9994cbf3-e10d-46fa-b52c-1a73f2c9d567}" id="{0067f4a2-8eb3-4e42-898d-dc10a5ba31b4}" done="1">
    <x18tc:text xml:space="preserve">AS DISCUSSED WITH SANJOY DA THIS PARTICULAR EXPENSES RELATES TO BRANDING THUS WE DIVIDE THE EXPENSES BETWEEN BOTH THE CITIES</x18tc:text>
  </x18tc:threadedComment>
  <x18tc:threadedComment ref="E4" dT="2026-08-06T19:11:49.00" personId="{9994cbf3-e10d-46fa-b52c-1a73f2c9d567}" id="{b85e0372-e733-48c2-a7b7-19188dee6389}" done="0">
    <x18tc:text xml:space="preserve">88297 Facebook Expenses</x18tc:text>
  </x18tc:threadedComment>
  <x18tc:threadedComment ref="E13" dT="2026-08-06T19:13:59.00" personId="{9994cbf3-e10d-46fa-b52c-1a73f2c9d567}" id="{7e6ffe1a-586c-4b7c-993b-4ccd4625c371}" done="0">
    <x18tc:text xml:space="preserve">why both are pertaining to July 26</x18tc:text>
  </x18tc:threadedComment>
  <x18tc:threadedComment ref="E13" dT="2026-10-05T12:35:25.00" personId="{9994cbf3-e10d-46fa-b52c-1a73f2c9d567}" id="{7a3a3d91-f9b1-4c44-8065-abec4ceb8c04}" parentId="{7e6ffe1a-586c-4b7c-993b-4ccd4625c371}">
    <x18tc:text xml:space="preserve">35400 Paid to Astra One Ventures July 26</x18tc:text>
  </x18tc:threadedComment>
  <x18tc:threadedComment ref="G14" dT="2026-10-05T12:31:15.00" personId="{9994cbf3-e10d-46fa-b52c-1a73f2c9d567}" id="{1bc622e7-2886-4691-945d-ac8da9dcec17}" done="0">
    <x18tc:text xml:space="preserve">171000 Durga Puja Donation</x18tc:text>
  </x18tc:threadedComment>
  <x18tc:threadedComment ref="D13" dT="2026-10-05T12:35:10.00" personId="{9994cbf3-e10d-46fa-b52c-1a73f2c9d567}" id="{b89934a4-504d-4d7b-808d-7be5df827c0c}" done="0">
    <x18tc:text xml:space="preserve">35400 Paid to Astra One Ventures June 26</x18tc:text>
  </x18tc:threadedComment>
  <x18tc:threadedComment ref="F13" dT="2026-10-05T12:36:52.00" personId="{9994cbf3-e10d-46fa-b52c-1a73f2c9d567}" id="{55ef6fcc-0708-49a7-94fb-a50ab5ad701a}" done="0">
    <x18tc:text xml:space="preserve">35400 Astra One Ventures Aug 26 Provision</x18tc:text>
  </x18tc:threadedComment>
  <x18tc:threadedComment ref="G13" dT="2026-10-05T12:37:02.00" personId="{9994cbf3-e10d-46fa-b52c-1a73f2c9d567}" id="{0aa20ec0-758c-4b09-86c9-1acbd0d17044}" done="0">
    <x18tc:text xml:space="preserve">35400 Astra One Ventures Sep 26 Provision</x18tc:text>
  </x18tc:threadedComment>
</x18tc:ThreadedComments>
</file>

<file path=xl/threadedComments/threadedComment20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4" dT="2026-05-13T09:40:02.00" personId="{9994cbf3-e10d-46fa-b52c-1a73f2c9d567}" id="{6a996c41-8c52-4a69-abac-c534018e22d9}" done="0">
    <x18tc:text xml:space="preserve">26904 for 6 months Cloud Services</x18tc:text>
  </x18tc:threadedComment>
  <x18tc:threadedComment ref="B14" dT="2026-05-13T09:50:11.00" personId="{9994cbf3-e10d-46fa-b52c-1a73f2c9d567}" id="{2096dab8-86bc-4ccb-b3fb-2baa8d82360b}" parentId="{6a996c41-8c52-4a69-abac-c534018e22d9}">
    <x18tc:text xml:space="preserve">109848 already paid for 3 months to Keka last year in Feb 26</x18tc:text>
  </x18tc:threadedComment>
  <x18tc:threadedComment ref="B14" dT="2026-07-07T07:46:20.00" personId="{9994cbf3-e10d-46fa-b52c-1a73f2c9d567}" id="{25d1ec52-f876-41b8-82e3-76b8558f35cd}" parentId="{6a996c41-8c52-4a69-abac-c534018e22d9}">
    <x18tc:text xml:space="preserve">259978 for 12 months paid to Reelo</x18tc:text>
  </x18tc:threadedComment>
  <x18tc:threadedComment ref="B17" dT="2026-05-13T10:47:02.00" personId="{9994cbf3-e10d-46fa-b52c-1a73f2c9d567}" id="{dff1b6cc-4551-4ca1-8f4a-b44557560104}" done="0">
    <x18tc:text xml:space="preserve">27258 for Frontlyne Subscription</x18tc:text>
  </x18tc:threadedComment>
  <x18tc:threadedComment ref="C14" dT="2026-05-13T09:49:44.00" personId="{9994cbf3-e10d-46fa-b52c-1a73f2c9d567}" id="{d28ff438-9000-453d-86a5-96acfb7a9829}" done="0">
    <x18tc:text xml:space="preserve">114621 for 3 months Keka</x18tc:text>
  </x18tc:threadedComment>
  <x18tc:threadedComment ref="B11" dT="2026-05-13T10:31:01.00" personId="{9994cbf3-e10d-46fa-b52c-1a73f2c9d567}" id="{5b87efb7-7e6d-46cb-bfba-253de83fd0b1}" done="0">
    <x18tc:text xml:space="preserve">65025 for hiring CS</x18tc:text>
  </x18tc:threadedComment>
  <x18tc:threadedComment ref="B11" dT="2026-05-13T10:44:53.00" personId="{9994cbf3-e10d-46fa-b52c-1a73f2c9d567}" id="{f162d5f0-c62c-4edd-83de-feb28c8e84c6}" parentId="{5b87efb7-7e6d-46cb-bfba-253de83fd0b1}">
    <x18tc:text xml:space="preserve">4000 paid to Sukamal Paul
7000 paid to Neeraj Agarwal</x18tc:text>
  </x18tc:threadedComment>
  <x18tc:threadedComment ref="B11" dT="2026-07-08T13:02:53.00" personId="{9994cbf3-e10d-46fa-b52c-1a73f2c9d567}" id="{5a13c100-f12e-4498-906a-9a8de90a8336}" parentId="{5b87efb7-7e6d-46cb-bfba-253de83fd0b1}">
    <x18tc:text xml:space="preserve">27258 paid to Frontline</x18tc:text>
  </x18tc:threadedComment>
  <x18tc:threadedComment ref="B11" dT="2026-10-07T08:15:51.00" personId="{9994cbf3-e10d-46fa-b52c-1a73f2c9d567}" id="{4b251b19-b213-4b19-a855-159366b87689}" parentId="{5b87efb7-7e6d-46cb-bfba-253de83fd0b1}">
    <x18tc:text xml:space="preserve">42480 PAid to Intelidit for Mystery Audit</x18tc:text>
  </x18tc:threadedComment>
  <x18tc:threadedComment ref="B6" dT="2026-05-13T12:45:07.00" personId="{9994cbf3-e10d-46fa-b52c-1a73f2c9d567}" id="{db403d50-896d-4db2-9265-ed77fbde2843}" done="0">
    <x18tc:text xml:space="preserve">50514 FNF
9259 FNF
11726 FNF
11377 FNF
28276 FNF</x18tc:text>
  </x18tc:threadedComment>
  <x18tc:threadedComment ref="B6" dT="2026-05-16T13:46:15.00" personId="{9994cbf3-e10d-46fa-b52c-1a73f2c9d567}" id="{d6c79ffa-4cd8-461e-b08c-03dba9a58fef}" parentId="{db403d50-896d-4db2-9265-ed77fbde2843}">
    <x18tc:text xml:space="preserve">130000 Gratuity</x18tc:text>
  </x18tc:threadedComment>
  <x18tc:threadedComment ref="C17" dT="2026-06-05T06:25:56.00" personId="{9994cbf3-e10d-46fa-b52c-1a73f2c9d567}" id="{d2c3727f-8b6d-4f9e-938c-dd06826cf197}" done="0">
    <x18tc:text xml:space="preserve">27258 Frontlyne May 26</x18tc:text>
  </x18tc:threadedComment>
</x18tc:ThreadedComments>
</file>

<file path=xl/threadedComments/threadedComment2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16" dT="2026-08-08T10:56:13.00" personId="{9994cbf3-e10d-46fa-b52c-1a73f2c9d567}" id="{a694dbd9-c54c-4bb6-ad0c-7853e1300a48}" done="0">
    <x18tc:text xml:space="preserve">9246 Music License for 12 months 19.06.26 to 18.06.27</x18tc:text>
  </x18tc:threadedComment>
  <x18tc:threadedComment ref="H116" dT="2026-08-08T10:58:39.00" personId="{9994cbf3-e10d-46fa-b52c-1a73f2c9d567}" id="{1f8a0132-758f-4ff2-8a1a-4f03201d6136}" done="0">
    <x18tc:text xml:space="preserve">10789 for music license for 12 months starting from July 26</x18tc:text>
  </x18tc:threadedComment>
  <x18tc:threadedComment ref="S5" dT="2026-10-06T12:59:09.00" personId="{9994cbf3-e10d-46fa-b52c-1a73f2c9d567}" id="{1926b8cd-e809-4041-8852-6157522709d4}" done="0">
    <x18tc:text xml:space="preserve">Out of Rs 369512, Rs 355552 related to earlier years and received invoices in Current FY only</x18tc:text>
  </x18tc:threadedComment>
  <x18tc:threadedComment ref="S50" dT="2026-10-07T12:39:18.00" personId="{9994cbf3-e10d-46fa-b52c-1a73f2c9d567}" id="{946b2eaa-98ab-4366-8610-1b1b3b8f1574}" done="0">
    <x18tc:text xml:space="preserve">44414 Motor Car Insurance</x18tc:text>
  </x18tc:threadedComment>
  <x18tc:threadedComment ref="S6" dT="2026-10-07T12:40:06.00" personId="{9994cbf3-e10d-46fa-b52c-1a73f2c9d567}" id="{5ba39549-1235-4a87-80be-ebb9d47887cf}" done="0">
    <x18tc:text xml:space="preserve">17450 Motor Car Insurance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9.xml"/><Relationship Id="rId3" Type="http://schemas.microsoft.com/office/2019/04/relationships/documenttask" Target="../documenttasks/documenttask9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microsoft.com/office/2017/10/relationships/threadedComment" Target="../threadedComments/threadedComment10.xml"/><Relationship Id="rId3" Type="http://schemas.microsoft.com/office/2019/04/relationships/documenttask" Target="../documenttasks/documenttask10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microsoft.com/office/2017/10/relationships/threadedComment" Target="../threadedComments/threadedComment11.xml"/><Relationship Id="rId3" Type="http://schemas.microsoft.com/office/2019/04/relationships/documenttask" Target="../documenttasks/documenttask11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1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microsoft.com/office/2017/10/relationships/threadedComment" Target="../threadedComments/threadedComment12.xml"/><Relationship Id="rId3" Type="http://schemas.microsoft.com/office/2019/04/relationships/documenttask" Target="../documenttasks/documenttask12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1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microsoft.com/office/2017/10/relationships/threadedComment" Target="../threadedComments/threadedComment13.xml"/><Relationship Id="rId3" Type="http://schemas.microsoft.com/office/2019/04/relationships/documenttask" Target="../documenttasks/documenttask13.xml"/><Relationship Id="rId4" Type="http://schemas.openxmlformats.org/officeDocument/2006/relationships/drawing" Target="../drawings/drawing13.xml"/><Relationship Id="rId5" Type="http://schemas.openxmlformats.org/officeDocument/2006/relationships/vmlDrawing" Target="../drawings/vmlDrawing13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microsoft.com/office/2017/10/relationships/threadedComment" Target="../threadedComments/threadedComment14.xml"/><Relationship Id="rId3" Type="http://schemas.microsoft.com/office/2019/04/relationships/documenttask" Target="../documenttasks/documenttask14.xml"/><Relationship Id="rId4" Type="http://schemas.openxmlformats.org/officeDocument/2006/relationships/drawing" Target="../drawings/drawing14.xml"/><Relationship Id="rId5" Type="http://schemas.openxmlformats.org/officeDocument/2006/relationships/vmlDrawing" Target="../drawings/vmlDrawing14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microsoft.com/office/2017/10/relationships/threadedComment" Target="../threadedComments/threadedComment15.xml"/><Relationship Id="rId3" Type="http://schemas.microsoft.com/office/2019/04/relationships/documenttask" Target="../documenttasks/documenttask15.xml"/><Relationship Id="rId4" Type="http://schemas.openxmlformats.org/officeDocument/2006/relationships/drawing" Target="../drawings/drawing15.xml"/><Relationship Id="rId5" Type="http://schemas.openxmlformats.org/officeDocument/2006/relationships/vmlDrawing" Target="../drawings/vmlDrawing15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microsoft.com/office/2017/10/relationships/threadedComment" Target="../threadedComments/threadedComment16.xml"/><Relationship Id="rId3" Type="http://schemas.microsoft.com/office/2019/04/relationships/documenttask" Target="../documenttasks/documenttask16.xml"/><Relationship Id="rId4" Type="http://schemas.openxmlformats.org/officeDocument/2006/relationships/drawing" Target="../drawings/drawing16.xml"/><Relationship Id="rId5" Type="http://schemas.openxmlformats.org/officeDocument/2006/relationships/vmlDrawing" Target="../drawings/vmlDrawing16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microsoft.com/office/2017/10/relationships/threadedComment" Target="../threadedComments/threadedComment17.xml"/><Relationship Id="rId3" Type="http://schemas.microsoft.com/office/2019/04/relationships/documenttask" Target="../documenttasks/documenttask17.xml"/><Relationship Id="rId4" Type="http://schemas.openxmlformats.org/officeDocument/2006/relationships/drawing" Target="../drawings/drawing17.xml"/><Relationship Id="rId5" Type="http://schemas.openxmlformats.org/officeDocument/2006/relationships/vmlDrawing" Target="../drawings/vmlDrawing17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8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microsoft.com/office/2017/10/relationships/threadedComment" Target="../threadedComments/threadedComment18.xml"/><Relationship Id="rId3" Type="http://schemas.microsoft.com/office/2019/04/relationships/documenttask" Target="../documenttasks/documenttask18.xml"/><Relationship Id="rId4" Type="http://schemas.openxmlformats.org/officeDocument/2006/relationships/drawing" Target="../drawings/drawing19.xml"/><Relationship Id="rId5" Type="http://schemas.openxmlformats.org/officeDocument/2006/relationships/vmlDrawing" Target="../drawings/vmlDrawing19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microsoft.com/office/2017/10/relationships/threadedComment" Target="../threadedComments/threadedComment19.xml"/><Relationship Id="rId3" Type="http://schemas.microsoft.com/office/2019/04/relationships/documenttask" Target="../documenttasks/documenttask19.xml"/><Relationship Id="rId4" Type="http://schemas.openxmlformats.org/officeDocument/2006/relationships/drawing" Target="../drawings/drawing20.xml"/><Relationship Id="rId5" Type="http://schemas.openxmlformats.org/officeDocument/2006/relationships/vmlDrawing" Target="../drawings/vmlDrawing20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microsoft.com/office/2017/10/relationships/threadedComment" Target="../threadedComments/threadedComment20.xml"/><Relationship Id="rId3" Type="http://schemas.microsoft.com/office/2019/04/relationships/documenttask" Target="../documenttasks/documenttask20.xml"/><Relationship Id="rId4" Type="http://schemas.openxmlformats.org/officeDocument/2006/relationships/drawing" Target="../drawings/drawing21.xml"/><Relationship Id="rId5" Type="http://schemas.openxmlformats.org/officeDocument/2006/relationships/vmlDrawing" Target="../drawings/vmlDrawing21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microsoft.com/office/2017/10/relationships/threadedComment" Target="../threadedComments/threadedComment21.xml"/><Relationship Id="rId3" Type="http://schemas.microsoft.com/office/2019/04/relationships/documenttask" Target="../documenttasks/documenttask21.xml"/><Relationship Id="rId4" Type="http://schemas.openxmlformats.org/officeDocument/2006/relationships/drawing" Target="../drawings/drawing22.xml"/><Relationship Id="rId5" Type="http://schemas.openxmlformats.org/officeDocument/2006/relationships/vmlDrawing" Target="../drawings/vmlDrawing22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11.25"/>
    <col customWidth="1" min="16" max="16" width="10.38"/>
  </cols>
  <sheetData>
    <row r="1">
      <c r="A1" s="2" t="s">
        <v>1</v>
      </c>
      <c r="B1" s="2" t="s">
        <v>2</v>
      </c>
      <c r="C1" s="3">
        <v>46113.0</v>
      </c>
      <c r="D1" s="3">
        <v>46143.0</v>
      </c>
      <c r="E1" s="3">
        <v>46174.0</v>
      </c>
      <c r="F1" s="3">
        <v>46204.0</v>
      </c>
      <c r="G1" s="3">
        <v>46235.0</v>
      </c>
      <c r="H1" s="3">
        <v>46266.0</v>
      </c>
      <c r="I1" s="3">
        <v>46296.0</v>
      </c>
      <c r="J1" s="3">
        <v>46327.0</v>
      </c>
      <c r="K1" s="3">
        <v>46357.0</v>
      </c>
      <c r="L1" s="3">
        <v>46388.0</v>
      </c>
      <c r="M1" s="3">
        <v>46419.0</v>
      </c>
      <c r="N1" s="3">
        <v>46447.0</v>
      </c>
      <c r="O1" s="4" t="s">
        <v>5</v>
      </c>
      <c r="P1" s="5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7" t="s">
        <v>6</v>
      </c>
      <c r="B2" s="8"/>
      <c r="C2" s="8"/>
      <c r="D2" s="8"/>
      <c r="E2" s="8"/>
      <c r="F2" s="8"/>
      <c r="G2" s="9"/>
      <c r="H2" s="8"/>
      <c r="I2" s="8"/>
      <c r="J2" s="8"/>
      <c r="K2" s="8"/>
      <c r="L2" s="8"/>
      <c r="M2" s="8"/>
      <c r="N2" s="8"/>
      <c r="O2" s="8"/>
      <c r="P2" s="8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>
      <c r="A3" s="10" t="s">
        <v>7</v>
      </c>
      <c r="B3" s="11" t="s">
        <v>8</v>
      </c>
      <c r="C3" s="11">
        <f>'Ideal Plaza'!B3+'Salt Lake JC -21'!B3+'Forum Mall'!B3+'Lake Town'!B3+'Quest Mall'!B3+'Rosedale Plaza'!B3+'Mani Square Mall'!B3+'Forum Rangoli'!B3+CSC!B3+Jameslong!B3+Technopolis!B3+Santoshpur!B3+'Chinar Park'!B3+'Lake Road'!B3+Kalikapur!B3+'Event Sales'!B3+'Sector 1'!B3</f>
        <v>447329</v>
      </c>
      <c r="D3" s="11">
        <f>'Ideal Plaza'!C3+'Salt Lake JC -21'!C3+'Forum Mall'!C3+'Lake Town'!C3+'Quest Mall'!C3+'Rosedale Plaza'!C3+'Mani Square Mall'!C3+'Forum Rangoli'!C3+CSC!C3+Jameslong!C3+Technopolis!C3+Santoshpur!C3+'Chinar Park'!C3+'Lake Road'!C3+Kalikapur!C3+'Event Sales'!C3+'Sector 1'!C3</f>
        <v>526715.46</v>
      </c>
      <c r="E3" s="11">
        <f>'Ideal Plaza'!D3+'Salt Lake JC -21'!D3+'Forum Mall'!D3+'Lake Town'!D3+'Quest Mall'!D3+'Rosedale Plaza'!D3+'Mani Square Mall'!D3+'Forum Rangoli'!D3+CSC!D3+Jameslong!D3+Technopolis!D3+Santoshpur!D3+'Chinar Park'!D3+'Lake Road'!D3+Kalikapur!D3+'Event Sales'!D3+'Sector 1'!D3</f>
        <v>493813.25</v>
      </c>
      <c r="F3" s="11">
        <f>'Ideal Plaza'!E3+'Salt Lake JC -21'!E3+'Forum Mall'!E3+'Lake Town'!E3+'Quest Mall'!E3+'Rosedale Plaza'!E3+'Mani Square Mall'!E3+'Forum Rangoli'!E3+CSC!E3+Jameslong!E3+Technopolis!E3+Santoshpur!E3+'Chinar Park'!E3+'Lake Road'!E3+Kalikapur!E3+'Event Sales'!E3+'Sector 1'!E3</f>
        <v>508615.44</v>
      </c>
      <c r="G3" s="11">
        <f>'Ideal Plaza'!F3+'Salt Lake JC -21'!F3+'Forum Mall'!F3+'Lake Town'!F3+'Quest Mall'!F3+'Rosedale Plaza'!F3+'Mani Square Mall'!F3+'Forum Rangoli'!F3+CSC!F3+Jameslong!F3+Technopolis!F3+Santoshpur!F3+'Chinar Park'!F3+'Lake Road'!F3+Kalikapur!F3+'Event Sales'!F3+'Sector 1'!F3</f>
        <v>427633.73</v>
      </c>
      <c r="H3" s="11">
        <f>'Ideal Plaza'!G3+'Salt Lake JC -21'!G3+'Forum Mall'!G3+'Lake Town'!G3+'Quest Mall'!G3+'Rosedale Plaza'!G3+'Mani Square Mall'!G3+'Forum Rangoli'!G3+CSC!G3+Jameslong!G3+Technopolis!G3+Santoshpur!G3+'Chinar Park'!G3+'Lake Road'!G3+Kalikapur!G3+'Event Sales'!G3+'Sector 1'!G3</f>
        <v>445238.45</v>
      </c>
      <c r="I3" s="11">
        <f>'Ideal Plaza'!H3+'Salt Lake JC -21'!H3+'Forum Mall'!H3+'Lake Town'!H3+'Quest Mall'!H3+'Rosedale Plaza'!H3+'Mani Square Mall'!H3+'Forum Rangoli'!H3+CSC!H3+Jameslong!H3+Technopolis!H3+Santoshpur!H3+'Chinar Park'!H3+'Lake Road'!H3+Kalikapur!H3+'Event Sales'!H3+'Sector 1'!H3</f>
        <v>450578.72</v>
      </c>
      <c r="J3" s="11">
        <f>'Ideal Plaza'!I3+'Salt Lake JC -21'!I3+'Forum Mall'!I3+'Lake Town'!I3+'Quest Mall'!I3+'Rosedale Plaza'!I3+'Mani Square Mall'!I3+'Forum Rangoli'!I3+CSC!I3+Jameslong!I3+Technopolis!I3+Santoshpur!I3+'Chinar Park'!I3+'Lake Road'!I3+Kalikapur!I3+'Event Sales'!I3+'Sector 1'!I3</f>
        <v>0</v>
      </c>
      <c r="K3" s="11">
        <f>'Ideal Plaza'!J3+'Salt Lake JC -21'!J3+'Forum Mall'!J3+'Lake Town'!J3+'Quest Mall'!J3+'Rosedale Plaza'!J3+'Mani Square Mall'!J3+'Forum Rangoli'!J3+CSC!J3+Jameslong!J3+Technopolis!J3+Santoshpur!J3+'Chinar Park'!J3+'Lake Road'!J3+Kalikapur!J3+'Event Sales'!J3+'Sector 1'!J3</f>
        <v>0</v>
      </c>
      <c r="L3" s="11">
        <f>'Ideal Plaza'!K3+'Salt Lake JC -21'!K3+'Forum Mall'!K3+'Lake Town'!K3+'Quest Mall'!K3+'Rosedale Plaza'!K3+'Mani Square Mall'!K3+'Forum Rangoli'!K3+CSC!K3+Jameslong!K3+Technopolis!K3+Santoshpur!K3+'Chinar Park'!K3+'Lake Road'!K3+Kalikapur!K3+'Event Sales'!K3+'Sector 1'!K3</f>
        <v>0</v>
      </c>
      <c r="M3" s="11">
        <f>'Ideal Plaza'!L3+'Salt Lake JC -21'!L3+'Forum Mall'!L3+'Lake Town'!L3+'Quest Mall'!L3+'Rosedale Plaza'!L3+'Mani Square Mall'!L3+'Forum Rangoli'!L3+CSC!L3+Jameslong!L3+Technopolis!L3+Santoshpur!L3+'Chinar Park'!L3+'Lake Road'!L3+Kalikapur!L3+'Event Sales'!L3+'Sector 1'!L3</f>
        <v>0</v>
      </c>
      <c r="N3" s="11">
        <f>'Ideal Plaza'!M3+'Salt Lake JC -21'!M3+'Forum Mall'!M3+'Lake Town'!M3+'Quest Mall'!M3+'Rosedale Plaza'!M3+'Mani Square Mall'!M3+'Forum Rangoli'!M3+CSC!M3+Jameslong!M3+Technopolis!M3+Santoshpur!M3+'Chinar Park'!M3+'Lake Road'!M3+Kalikapur!M3+'Event Sales'!M3+'Sector 1'!M3</f>
        <v>0</v>
      </c>
      <c r="O3" s="14"/>
      <c r="P3" s="31"/>
      <c r="Q3" s="6"/>
      <c r="R3" s="33">
        <f>'Central Kitchen - Kolkata'!F6</f>
        <v>6907308</v>
      </c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10" t="s">
        <v>9</v>
      </c>
      <c r="B4" s="11" t="s">
        <v>8</v>
      </c>
      <c r="C4" s="11">
        <f>'Ideal Plaza'!B4+'Salt Lake JC -21'!B4+'Forum Mall'!B4+'Lake Town'!B4+'Quest Mall'!B4+'Rosedale Plaza'!B4+'Mani Square Mall'!B4+'Forum Rangoli'!B4+CSC!B4+Jameslong!B4+Technopolis!B4+Santoshpur!B4+'Chinar Park'!B4+'Lake Road'!B4+Kalikapur!B4+'Event Sales'!B4+'Sector 1'!B4+140608</f>
        <v>5564785.3</v>
      </c>
      <c r="D4" s="11">
        <f>'Ideal Plaza'!C4+'Salt Lake JC -21'!C4+'Forum Mall'!C4+'Lake Town'!C4+'Quest Mall'!C4+'Rosedale Plaza'!C4+'Mani Square Mall'!C4+'Forum Rangoli'!C4+CSC!C4+Jameslong!C4+Technopolis!C4+Santoshpur!C4+'Chinar Park'!C4+'Lake Road'!C4+Kalikapur!C4+'Event Sales'!C4+'Sector 1'!C4+372700</f>
        <v>6109164.43</v>
      </c>
      <c r="E4" s="11">
        <f>'Ideal Plaza'!D4+'Salt Lake JC -21'!D4+'Forum Mall'!D4+'Lake Town'!D4+'Quest Mall'!D4+'Rosedale Plaza'!D4+'Mani Square Mall'!D4+'Forum Rangoli'!D4+CSC!D4+Jameslong!D4+Technopolis!D4+Santoshpur!D4+'Chinar Park'!D4+'Lake Road'!D4+Kalikapur!D4+'Event Sales'!D4+'Sector 1'!D4+122665</f>
        <v>6056091.87</v>
      </c>
      <c r="F4" s="11">
        <f>'Ideal Plaza'!E4+'Salt Lake JC -21'!E4+'Forum Mall'!E4+'Lake Town'!E4+'Quest Mall'!E4+'Rosedale Plaza'!E4+'Mani Square Mall'!E4+'Forum Rangoli'!E4+CSC!E4+Jameslong!E4+Technopolis!E4+Santoshpur!E4+'Chinar Park'!E4+'Lake Road'!E4+Kalikapur!E4+'Event Sales'!E4+'Sector 1'!E4</f>
        <v>6114107.88</v>
      </c>
      <c r="G4" s="11">
        <f>'Ideal Plaza'!F4+'Salt Lake JC -21'!F4+'Forum Mall'!F4+'Lake Town'!F4+'Quest Mall'!F4+'Rosedale Plaza'!F4+'Mani Square Mall'!F4+'Forum Rangoli'!F4+CSC!F4+Jameslong!F4+Technopolis!F4+Santoshpur!F4+'Chinar Park'!F4+'Lake Road'!F4+Kalikapur!F4+'Event Sales'!F4+'Sector 1'!F4+153979</f>
        <v>6907307.71</v>
      </c>
      <c r="H4" s="11">
        <f>'Ideal Plaza'!G4+'Salt Lake JC -21'!G4+'Forum Mall'!G4+'Lake Town'!G4+'Quest Mall'!G4+'Rosedale Plaza'!G4+'Mani Square Mall'!G4+'Forum Rangoli'!G4+CSC!G4+Jameslong!G4+Technopolis!G4+Santoshpur!G4+'Chinar Park'!G4+'Lake Road'!G4+Kalikapur!G4+'Event Sales'!G4+'Sector 1'!G4+79474</f>
        <v>6135736.4</v>
      </c>
      <c r="I4" s="11">
        <f>'Ideal Plaza'!H4+'Salt Lake JC -21'!H4+'Forum Mall'!H4+'Lake Town'!H4+'Quest Mall'!H4+'Rosedale Plaza'!H4+'Mani Square Mall'!H4+'Forum Rangoli'!H4+CSC!H4+Jameslong!H4+Technopolis!H4+Santoshpur!H4+'Chinar Park'!H4+'Lake Road'!H4+Kalikapur!H4+'Event Sales'!H4+'Sector 1'!H4</f>
        <v>0</v>
      </c>
      <c r="J4" s="11">
        <f>'Ideal Plaza'!I4+'Salt Lake JC -21'!I4+'Forum Mall'!I4+'Lake Town'!I4+'Quest Mall'!I4+'Rosedale Plaza'!I4+'Mani Square Mall'!I4+'Forum Rangoli'!I4+CSC!I4+Jameslong!I4+Technopolis!I4+Santoshpur!I4+'Chinar Park'!I4+'Lake Road'!I4+Kalikapur!I4+'Event Sales'!I4+'Sector 1'!I4</f>
        <v>0</v>
      </c>
      <c r="K4" s="11">
        <f>'Ideal Plaza'!J4+'Salt Lake JC -21'!J4+'Forum Mall'!J4+'Lake Town'!J4+'Quest Mall'!J4+'Rosedale Plaza'!J4+'Mani Square Mall'!J4+'Forum Rangoli'!J4+CSC!J4+Jameslong!J4+Technopolis!J4+Santoshpur!J4+'Chinar Park'!J4+'Lake Road'!J4+Kalikapur!J4+'Event Sales'!J4+'Sector 1'!J4</f>
        <v>0</v>
      </c>
      <c r="L4" s="11">
        <f>'Ideal Plaza'!K4+'Salt Lake JC -21'!K4+'Forum Mall'!K4+'Lake Town'!K4+'Quest Mall'!K4+'Rosedale Plaza'!K4+'Mani Square Mall'!K4+'Forum Rangoli'!K4+CSC!K4+Jameslong!K4+Technopolis!K4+Santoshpur!K4+'Chinar Park'!K4+'Lake Road'!K4+Kalikapur!K4+'Event Sales'!K4+'Sector 1'!K4</f>
        <v>0</v>
      </c>
      <c r="M4" s="11">
        <f>'Ideal Plaza'!L4+'Salt Lake JC -21'!L4+'Forum Mall'!L4+'Lake Town'!L4+'Quest Mall'!L4+'Rosedale Plaza'!L4+'Mani Square Mall'!L4+'Forum Rangoli'!L4+CSC!L4+Jameslong!L4+Technopolis!L4+Santoshpur!L4+'Chinar Park'!L4+'Lake Road'!L4+Kalikapur!L4+'Event Sales'!L4+'Sector 1'!L4</f>
        <v>0</v>
      </c>
      <c r="N4" s="11">
        <f>'Ideal Plaza'!M4+'Salt Lake JC -21'!M4+'Forum Mall'!M4+'Lake Town'!M4+'Quest Mall'!M4+'Rosedale Plaza'!M4+'Mani Square Mall'!M4+'Forum Rangoli'!M4+CSC!M4+Jameslong!M4+Technopolis!M4+Santoshpur!M4+'Chinar Park'!M4+'Lake Road'!M4+Kalikapur!M4+'Event Sales'!M4+'Sector 1'!M4</f>
        <v>0</v>
      </c>
      <c r="O4" s="14">
        <f t="shared" ref="O4:O7" si="1">sum(C4:N4)</f>
        <v>36887193.59</v>
      </c>
      <c r="P4" s="31"/>
      <c r="Q4" s="49"/>
      <c r="R4" s="50">
        <f>G4-R3</f>
        <v>-0.290000001</v>
      </c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10" t="s">
        <v>10</v>
      </c>
      <c r="B5" s="11" t="s">
        <v>8</v>
      </c>
      <c r="C5" s="11">
        <f>'Ideal Plaza'!B5+'Salt Lake JC -21'!B5+'Forum Mall'!B5+'Lake Town'!B5+'Quest Mall'!B5+'Rosedale Plaza'!B5+'Mani Square Mall'!B5+'Forum Rangoli'!B5+CSC!B5+Jameslong!B5+Technopolis!B5+Santoshpur!B5+'Chinar Park'!B5+'Lake Road'!B5+Kalikapur!B5+'Event Sales'!B5+'Sector 1'!B5</f>
        <v>13904.56</v>
      </c>
      <c r="D5" s="11">
        <f>'Ideal Plaza'!C5+'Salt Lake JC -21'!C5+'Forum Mall'!C5+'Lake Town'!C5+'Quest Mall'!C5+'Rosedale Plaza'!C5+'Mani Square Mall'!C5+'Forum Rangoli'!C5+CSC!C5+Jameslong!C5+Technopolis!C5+Santoshpur!C5+'Chinar Park'!C5+'Lake Road'!C5+Kalikapur!C5+'Event Sales'!C5+'Sector 1'!C5</f>
        <v>12778.38</v>
      </c>
      <c r="E5" s="11">
        <f>'Ideal Plaza'!D5+'Salt Lake JC -21'!D5+'Forum Mall'!D5+'Lake Town'!D5+'Quest Mall'!D5+'Rosedale Plaza'!D5+'Mani Square Mall'!D5+'Forum Rangoli'!D5+CSC!D5+Jameslong!D5+Technopolis!D5+Santoshpur!D5+'Chinar Park'!D5+'Lake Road'!D5+Kalikapur!D5+'Event Sales'!D5+'Sector 1'!D5</f>
        <v>7693.46</v>
      </c>
      <c r="F5" s="11">
        <f>'Ideal Plaza'!E5+'Salt Lake JC -21'!E5+'Forum Mall'!E5+'Lake Town'!E5+'Quest Mall'!E5+'Rosedale Plaza'!E5+'Mani Square Mall'!E5+'Forum Rangoli'!E5+CSC!E5+Jameslong!E5+Technopolis!E5+Santoshpur!E5+'Chinar Park'!E5+'Lake Road'!E5+Kalikapur!E5+'Event Sales'!E5+'Sector 1'!E5</f>
        <v>13696.73</v>
      </c>
      <c r="G5" s="11">
        <f>'Ideal Plaza'!F5+'Salt Lake JC -21'!F5+'Forum Mall'!F5+'Lake Town'!F5+'Quest Mall'!F5+'Rosedale Plaza'!F5+'Mani Square Mall'!F5+'Forum Rangoli'!F5+CSC!F5+Jameslong!F5+Technopolis!F5+Santoshpur!F5+'Chinar Park'!F5+'Lake Road'!F5+Kalikapur!F5+'Event Sales'!F5+'Sector 1'!F5</f>
        <v>12730.2</v>
      </c>
      <c r="H5" s="11">
        <f>'Ideal Plaza'!G5+'Salt Lake JC -21'!G5+'Forum Mall'!G5+'Lake Town'!G5+'Quest Mall'!G5+'Rosedale Plaza'!G5+'Mani Square Mall'!G5+'Forum Rangoli'!G5+CSC!G5+Jameslong!G5+Technopolis!G5+Santoshpur!G5+'Chinar Park'!G5+'Lake Road'!G5+Kalikapur!G5+'Event Sales'!G5+'Sector 1'!G5</f>
        <v>18574.71</v>
      </c>
      <c r="I5" s="11">
        <f>'Ideal Plaza'!H5+'Salt Lake JC -21'!H5+'Forum Mall'!H5+'Lake Town'!H5+'Quest Mall'!H5+'Rosedale Plaza'!H5+'Mani Square Mall'!H5+'Forum Rangoli'!H5+CSC!H5+Jameslong!H5+Technopolis!H5+Santoshpur!H5+'Chinar Park'!H5+'Lake Road'!H5+Kalikapur!H5+'Event Sales'!H5+'Sector 1'!H5</f>
        <v>0</v>
      </c>
      <c r="J5" s="11">
        <f>'Ideal Plaza'!I5+'Salt Lake JC -21'!I5+'Forum Mall'!I5+'Lake Town'!I5+'Quest Mall'!I5+'Rosedale Plaza'!I5+'Mani Square Mall'!I5+'Forum Rangoli'!I5+CSC!I5+Jameslong!I5+Technopolis!I5+Santoshpur!I5+'Chinar Park'!I5+'Lake Road'!I5+Kalikapur!I5+'Event Sales'!I5+'Sector 1'!I5</f>
        <v>0</v>
      </c>
      <c r="K5" s="11">
        <f>'Ideal Plaza'!J5+'Salt Lake JC -21'!J5+'Forum Mall'!J5+'Lake Town'!J5+'Quest Mall'!J5+'Rosedale Plaza'!J5+'Mani Square Mall'!J5+'Forum Rangoli'!J5+CSC!J5+Jameslong!J5+Technopolis!J5+Santoshpur!J5+'Chinar Park'!J5+'Lake Road'!J5+Kalikapur!J5+'Event Sales'!J5+'Sector 1'!J5</f>
        <v>0</v>
      </c>
      <c r="L5" s="11">
        <f>'Ideal Plaza'!K5+'Salt Lake JC -21'!K5+'Forum Mall'!K5+'Lake Town'!K5+'Quest Mall'!K5+'Rosedale Plaza'!K5+'Mani Square Mall'!K5+'Forum Rangoli'!K5+CSC!K5+Jameslong!K5+Technopolis!K5+Santoshpur!K5+'Chinar Park'!K5+'Lake Road'!K5+Kalikapur!K5+'Event Sales'!K5+'Sector 1'!K5</f>
        <v>0</v>
      </c>
      <c r="M5" s="11">
        <f>'Ideal Plaza'!L5+'Salt Lake JC -21'!L5+'Forum Mall'!L5+'Lake Town'!L5+'Quest Mall'!L5+'Rosedale Plaza'!L5+'Mani Square Mall'!L5+'Forum Rangoli'!L5+CSC!L5+Jameslong!L5+Technopolis!L5+Santoshpur!L5+'Chinar Park'!L5+'Lake Road'!L5+Kalikapur!L5+'Event Sales'!L5+'Sector 1'!L5</f>
        <v>0</v>
      </c>
      <c r="N5" s="11">
        <f>'Ideal Plaza'!M5+'Salt Lake JC -21'!M5+'Forum Mall'!M5+'Lake Town'!M5+'Quest Mall'!M5+'Rosedale Plaza'!M5+'Mani Square Mall'!M5+'Forum Rangoli'!M5+CSC!M5+Jameslong!M5+Technopolis!M5+Santoshpur!M5+'Chinar Park'!M5+'Lake Road'!M5+Kalikapur!M5+'Event Sales'!M5+'Sector 1'!M5</f>
        <v>0</v>
      </c>
      <c r="O5" s="14">
        <f t="shared" si="1"/>
        <v>79378.04</v>
      </c>
      <c r="P5" s="31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10" t="s">
        <v>11</v>
      </c>
      <c r="B6" s="11" t="s">
        <v>8</v>
      </c>
      <c r="C6" s="11">
        <f>'Ideal Plaza'!B6+'Salt Lake JC -21'!B6+'Forum Mall'!B6+'Lake Town'!B6+'Quest Mall'!B6+'Rosedale Plaza'!B6+'Mani Square Mall'!B6+'Forum Rangoli'!B6+CSC!B6+Jameslong!B6+Technopolis!B6+Santoshpur!B6+'Chinar Park'!B6+'Lake Road'!B6+Kalikapur!B6+'Event Sales'!B6+'Sector 1'!B6</f>
        <v>190296.11</v>
      </c>
      <c r="D6" s="11">
        <f>'Ideal Plaza'!C6+'Salt Lake JC -21'!C6+'Forum Mall'!C6+'Lake Town'!C6+'Quest Mall'!C6+'Rosedale Plaza'!C6+'Mani Square Mall'!C6+'Forum Rangoli'!C6+CSC!C6+Jameslong!C6+Technopolis!C6+Santoshpur!C6+'Chinar Park'!C6+'Lake Road'!C6+Kalikapur!C6+'Event Sales'!C6+'Sector 1'!C6</f>
        <v>204666.46</v>
      </c>
      <c r="E6" s="11">
        <f>'Ideal Plaza'!D6+'Salt Lake JC -21'!D6+'Forum Mall'!D6+'Lake Town'!D6+'Quest Mall'!D6+'Rosedale Plaza'!D6+'Mani Square Mall'!D6+'Forum Rangoli'!D6+CSC!D6+Jameslong!D6+Technopolis!D6+Santoshpur!D6+'Chinar Park'!D6+'Lake Road'!D6+Kalikapur!D6+'Event Sales'!D6+'Sector 1'!D6</f>
        <v>205928.27</v>
      </c>
      <c r="F6" s="11">
        <f>'Ideal Plaza'!E6+'Salt Lake JC -21'!E6+'Forum Mall'!E6+'Lake Town'!E6+'Quest Mall'!E6+'Rosedale Plaza'!E6+'Mani Square Mall'!E6+'Forum Rangoli'!E6+CSC!E6+Jameslong!E6+Technopolis!E6+Santoshpur!E6+'Chinar Park'!E6+'Lake Road'!E6+Kalikapur!E6+'Event Sales'!E6+'Sector 1'!E6</f>
        <v>220814.31</v>
      </c>
      <c r="G6" s="11">
        <f>'Ideal Plaza'!F6+'Salt Lake JC -21'!F6+'Forum Mall'!F6+'Lake Town'!F6+'Quest Mall'!F6+'Rosedale Plaza'!F6+'Mani Square Mall'!F6+'Forum Rangoli'!F6+CSC!F6+Jameslong!F6+Technopolis!F6+Santoshpur!F6+'Chinar Park'!F6+'Lake Road'!F6+Kalikapur!F6+'Event Sales'!F6+'Sector 1'!F6</f>
        <v>281646.38</v>
      </c>
      <c r="H6" s="11">
        <f>'Ideal Plaza'!G6+'Salt Lake JC -21'!G6+'Forum Mall'!G6+'Lake Town'!G6+'Quest Mall'!G6+'Rosedale Plaza'!G6+'Mani Square Mall'!G6+'Forum Rangoli'!G6+CSC!G6+Jameslong!G6+Technopolis!G6+Santoshpur!G6+'Chinar Park'!G6+'Lake Road'!G6+Kalikapur!G6+'Event Sales'!G6+'Sector 1'!G6</f>
        <v>301691.69</v>
      </c>
      <c r="I6" s="11">
        <f>'Ideal Plaza'!H6+'Salt Lake JC -21'!H6+'Forum Mall'!H6+'Lake Town'!H6+'Quest Mall'!H6+'Rosedale Plaza'!H6+'Mani Square Mall'!H6+'Forum Rangoli'!H6+CSC!H6+Jameslong!H6+Technopolis!H6+Santoshpur!H6+'Chinar Park'!H6+'Lake Road'!H6+Kalikapur!H6+'Event Sales'!H6+'Sector 1'!H6</f>
        <v>0</v>
      </c>
      <c r="J6" s="11">
        <f>'Ideal Plaza'!I6+'Salt Lake JC -21'!I6+'Forum Mall'!I6+'Lake Town'!I6+'Quest Mall'!I6+'Rosedale Plaza'!I6+'Mani Square Mall'!I6+'Forum Rangoli'!I6+CSC!I6+Jameslong!I6+Technopolis!I6+Santoshpur!I6+'Chinar Park'!I6+'Lake Road'!I6+Kalikapur!I6+'Event Sales'!I6+'Sector 1'!I6</f>
        <v>0</v>
      </c>
      <c r="K6" s="11">
        <f>'Ideal Plaza'!J6+'Salt Lake JC -21'!J6+'Forum Mall'!J6+'Lake Town'!J6+'Quest Mall'!J6+'Rosedale Plaza'!J6+'Mani Square Mall'!J6+'Forum Rangoli'!J6+CSC!J6+Jameslong!J6+Technopolis!J6+Santoshpur!J6+'Chinar Park'!J6+'Lake Road'!J6+Kalikapur!J6+'Event Sales'!J6+'Sector 1'!J6</f>
        <v>0</v>
      </c>
      <c r="L6" s="11">
        <f>'Ideal Plaza'!K6+'Salt Lake JC -21'!K6+'Forum Mall'!K6+'Lake Town'!K6+'Quest Mall'!K6+'Rosedale Plaza'!K6+'Mani Square Mall'!K6+'Forum Rangoli'!K6+CSC!K6+Jameslong!K6+Technopolis!K6+Santoshpur!K6+'Chinar Park'!K6+'Lake Road'!K6+Kalikapur!K6+'Event Sales'!K6+'Sector 1'!K6</f>
        <v>0</v>
      </c>
      <c r="M6" s="11">
        <f>'Ideal Plaza'!L6+'Salt Lake JC -21'!L6+'Forum Mall'!L6+'Lake Town'!L6+'Quest Mall'!L6+'Rosedale Plaza'!L6+'Mani Square Mall'!L6+'Forum Rangoli'!L6+CSC!L6+Jameslong!L6+Technopolis!L6+Santoshpur!L6+'Chinar Park'!L6+'Lake Road'!L6+Kalikapur!L6+'Event Sales'!L6+'Sector 1'!L6</f>
        <v>0</v>
      </c>
      <c r="N6" s="11">
        <f>'Ideal Plaza'!M6+'Salt Lake JC -21'!M6+'Forum Mall'!M6+'Lake Town'!M6+'Quest Mall'!M6+'Rosedale Plaza'!M6+'Mani Square Mall'!M6+'Forum Rangoli'!M6+CSC!M6+Jameslong!M6+Technopolis!M6+Santoshpur!M6+'Chinar Park'!M6+'Lake Road'!M6+Kalikapur!M6+'Event Sales'!M6+'Sector 1'!M6</f>
        <v>0</v>
      </c>
      <c r="O6" s="14">
        <f t="shared" si="1"/>
        <v>1405043.22</v>
      </c>
      <c r="P6" s="31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10" t="s">
        <v>12</v>
      </c>
      <c r="B7" s="11" t="s">
        <v>8</v>
      </c>
      <c r="C7" s="11">
        <f>'Ideal Plaza'!B7+'Salt Lake JC -21'!B7+'Forum Mall'!B7+'Lake Town'!B7+'Quest Mall'!B7+'Rosedale Plaza'!B7+'Mani Square Mall'!B7+'Forum Rangoli'!B7+CSC!B7+Jameslong!B7+Technopolis!B7+Santoshpur!B7+'Chinar Park'!B7+'Lake Road'!B7+Kalikapur!B7+'Event Sales'!B7+'Sector 1'!B7</f>
        <v>526715.46</v>
      </c>
      <c r="D7" s="11">
        <f>'Ideal Plaza'!C7+'Salt Lake JC -21'!C7+'Forum Mall'!C7+'Lake Town'!C7+'Quest Mall'!C7+'Rosedale Plaza'!C7+'Mani Square Mall'!C7+'Forum Rangoli'!C7+CSC!C7+Jameslong!C7+Technopolis!C7+Santoshpur!C7+'Chinar Park'!C7+'Lake Road'!C7+Kalikapur!C7+'Event Sales'!C7+'Sector 1'!C7</f>
        <v>493813.25</v>
      </c>
      <c r="E7" s="11">
        <f>'Ideal Plaza'!D7+'Salt Lake JC -21'!D7+'Forum Mall'!D7+'Lake Town'!D7+'Quest Mall'!D7+'Rosedale Plaza'!D7+'Mani Square Mall'!D7+'Forum Rangoli'!D7+CSC!D7+Jameslong!D7+Technopolis!D7+Santoshpur!D7+'Chinar Park'!D7+'Lake Road'!D7+Kalikapur!D7+'Event Sales'!D7+'Sector 1'!D7</f>
        <v>508615.44</v>
      </c>
      <c r="F7" s="11">
        <f>'Ideal Plaza'!E7+'Salt Lake JC -21'!E7+'Forum Mall'!E7+'Lake Town'!E7+'Quest Mall'!E7+'Rosedale Plaza'!E7+'Mani Square Mall'!E7+'Forum Rangoli'!E7+CSC!E7+Jameslong!E7+Technopolis!E7+Santoshpur!E7+'Chinar Park'!E7+'Lake Road'!E7+Kalikapur!E7+'Event Sales'!E7+'Sector 1'!E7</f>
        <v>427633.73</v>
      </c>
      <c r="G7" s="11">
        <f>'Ideal Plaza'!F7+'Salt Lake JC -21'!F7+'Forum Mall'!F7+'Lake Town'!F7+'Quest Mall'!F7+'Rosedale Plaza'!F7+'Mani Square Mall'!F7+'Forum Rangoli'!F7+CSC!F7+Jameslong!F7+Technopolis!F7+Santoshpur!F7+'Chinar Park'!F7+'Lake Road'!F7+Kalikapur!F7+'Event Sales'!F7+'Sector 1'!F7</f>
        <v>445238.45</v>
      </c>
      <c r="H7" s="11">
        <f>'Ideal Plaza'!G7+'Salt Lake JC -21'!G7+'Forum Mall'!G7+'Lake Town'!G7+'Quest Mall'!G7+'Rosedale Plaza'!G7+'Mani Square Mall'!G7+'Forum Rangoli'!G7+CSC!G7+Jameslong!G7+Technopolis!G7+Santoshpur!G7+'Chinar Park'!G7+'Lake Road'!G7+Kalikapur!G7+'Event Sales'!G7+'Sector 1'!G7</f>
        <v>450578.72</v>
      </c>
      <c r="I7" s="11">
        <f>'Ideal Plaza'!H7+'Salt Lake JC -21'!H7+'Forum Mall'!H7+'Lake Town'!H7+'Quest Mall'!H7+'Rosedale Plaza'!H7+'Mani Square Mall'!H7+'Forum Rangoli'!H7+CSC!H7+Jameslong!H7+Technopolis!H7+Santoshpur!H7+'Chinar Park'!H7+'Lake Road'!H7+Kalikapur!H7+'Event Sales'!H7+'Sector 1'!H7</f>
        <v>0</v>
      </c>
      <c r="J7" s="11">
        <f>'Ideal Plaza'!I7+'Salt Lake JC -21'!I7+'Forum Mall'!I7+'Lake Town'!I7+'Quest Mall'!I7+'Rosedale Plaza'!I7+'Mani Square Mall'!I7+'Forum Rangoli'!I7+CSC!I7+Jameslong!I7+Technopolis!I7+Santoshpur!I7+'Chinar Park'!I7+'Lake Road'!I7+Kalikapur!I7+'Event Sales'!I7+'Sector 1'!I7</f>
        <v>0</v>
      </c>
      <c r="K7" s="11">
        <f>'Ideal Plaza'!J7+'Salt Lake JC -21'!J7+'Forum Mall'!J7+'Lake Town'!J7+'Quest Mall'!J7+'Rosedale Plaza'!J7+'Mani Square Mall'!J7+'Forum Rangoli'!J7+CSC!J7+Jameslong!J7+Technopolis!J7+Santoshpur!J7+'Chinar Park'!J7+'Lake Road'!J7+Kalikapur!J7+'Event Sales'!J7+'Sector 1'!J7</f>
        <v>0</v>
      </c>
      <c r="L7" s="11">
        <f>'Ideal Plaza'!K7+'Salt Lake JC -21'!K7+'Forum Mall'!K7+'Lake Town'!K7+'Quest Mall'!K7+'Rosedale Plaza'!K7+'Mani Square Mall'!K7+'Forum Rangoli'!K7+CSC!K7+Jameslong!K7+Technopolis!K7+Santoshpur!K7+'Chinar Park'!K7+'Lake Road'!K7+Kalikapur!K7+'Event Sales'!K7+'Sector 1'!K7</f>
        <v>0</v>
      </c>
      <c r="M7" s="11">
        <f>'Ideal Plaza'!L7+'Salt Lake JC -21'!L7+'Forum Mall'!L7+'Lake Town'!L7+'Quest Mall'!L7+'Rosedale Plaza'!L7+'Mani Square Mall'!L7+'Forum Rangoli'!L7+CSC!L7+Jameslong!L7+Technopolis!L7+Santoshpur!L7+'Chinar Park'!L7+'Lake Road'!L7+Kalikapur!L7+'Event Sales'!L7+'Sector 1'!L7</f>
        <v>0</v>
      </c>
      <c r="N7" s="11">
        <f>'Ideal Plaza'!M7+'Salt Lake JC -21'!M7+'Forum Mall'!M7+'Lake Town'!M7+'Quest Mall'!M7+'Rosedale Plaza'!M7+'Mani Square Mall'!M7+'Forum Rangoli'!M7+CSC!M7+Jameslong!M7+Technopolis!M7+Santoshpur!M7+'Chinar Park'!M7+'Lake Road'!M7+Kalikapur!M7+'Event Sales'!M7+'Sector 1'!M7</f>
        <v>0</v>
      </c>
      <c r="O7" s="14">
        <f t="shared" si="1"/>
        <v>2852595.05</v>
      </c>
      <c r="P7" s="31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8"/>
      <c r="B8" s="8"/>
      <c r="C8" s="8"/>
      <c r="D8" s="8"/>
      <c r="E8" s="8"/>
      <c r="F8" s="8"/>
      <c r="G8" s="9"/>
      <c r="H8" s="8"/>
      <c r="I8" s="8"/>
      <c r="J8" s="8"/>
      <c r="K8" s="8"/>
      <c r="L8" s="8"/>
      <c r="M8" s="8"/>
      <c r="N8" s="8"/>
      <c r="O8" s="8"/>
      <c r="P8" s="8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18" t="s">
        <v>13</v>
      </c>
      <c r="B9" s="11" t="s">
        <v>40</v>
      </c>
      <c r="C9" s="11">
        <f>'Ideal Plaza'!B9+'Salt Lake JC -21'!B9+'Forum Mall'!B9+'Lake Town'!B9+'Quest Mall'!B9+'Rosedale Plaza'!B9+'Mani Square Mall'!B9+'Forum Rangoli'!B9+CSC!B9+Jameslong!B9+Technopolis!B9+Santoshpur!B9+'Chinar Park'!B9+'Lake Road'!B9+Kalikapur!B9+'Event Sales'!B9+'Sector 1'!B9</f>
        <v>23538283.29</v>
      </c>
      <c r="D9" s="11">
        <f>'Ideal Plaza'!C9+'Salt Lake JC -21'!C9+'Forum Mall'!C9+'Lake Town'!C9+'Quest Mall'!C9+'Rosedale Plaza'!C9+'Mani Square Mall'!C9+'Forum Rangoli'!C9+CSC!C9+Jameslong!C9+Technopolis!C9+Santoshpur!C9+'Chinar Park'!C9+'Lake Road'!C9+Kalikapur!C9+'Event Sales'!C9+'Sector 1'!C9</f>
        <v>26036500.96</v>
      </c>
      <c r="E9" s="11">
        <f>'Ideal Plaza'!D9+'Salt Lake JC -21'!D9+'Forum Mall'!D9+'Lake Town'!D9+'Quest Mall'!D9+'Rosedale Plaza'!D9+'Mani Square Mall'!D9+'Forum Rangoli'!D9+CSC!D9+Jameslong!D9+Technopolis!D9+Santoshpur!D9+'Chinar Park'!D9+'Lake Road'!D9+Kalikapur!D9+'Event Sales'!D9+'Sector 1'!D9</f>
        <v>24955323.81</v>
      </c>
      <c r="F9" s="11">
        <f>'Ideal Plaza'!E9+'Salt Lake JC -21'!E9+'Forum Mall'!E9+'Lake Town'!E9+'Quest Mall'!E9+'Rosedale Plaza'!E9+'Mani Square Mall'!E9+'Forum Rangoli'!E9+CSC!E9+Jameslong!E9+Technopolis!E9+Santoshpur!E9+'Chinar Park'!E9+'Lake Road'!E9+Kalikapur!E9+'Event Sales'!E9+'Sector 1'!E9</f>
        <v>25713134.84</v>
      </c>
      <c r="G9" s="11">
        <f>'Ideal Plaza'!F9+'Salt Lake JC -21'!F9+'Forum Mall'!F9+'Lake Town'!F9+'Quest Mall'!F9+'Rosedale Plaza'!F9+'Mani Square Mall'!F9+'Forum Rangoli'!F9+CSC!F9+Jameslong!F9+Technopolis!F9+Santoshpur!F9+'Chinar Park'!F9+'Lake Road'!F9+Kalikapur!F9+'Event Sales'!F9+'Sector 1'!F9</f>
        <v>27975795.46</v>
      </c>
      <c r="H9" s="11">
        <f>'Ideal Plaza'!G9+'Salt Lake JC -21'!G9+'Forum Mall'!G9+'Lake Town'!G9+'Quest Mall'!G9+'Rosedale Plaza'!G9+'Mani Square Mall'!G9+'Forum Rangoli'!G9+CSC!G9+Jameslong!G9+Technopolis!G9+Santoshpur!G9+'Chinar Park'!G9+'Lake Road'!G9+Kalikapur!G9+'Event Sales'!G9+'Sector 1'!G9</f>
        <v>25745713.12</v>
      </c>
      <c r="I9" s="11">
        <f>'Ideal Plaza'!H9+'Salt Lake JC -21'!H9+'Forum Mall'!H9+'Lake Town'!H9+'Quest Mall'!H9+'Rosedale Plaza'!H9+'Mani Square Mall'!H9+'Forum Rangoli'!H9+CSC!H9+Jameslong!H9+Technopolis!H9+Santoshpur!H9+'Chinar Park'!H9+'Lake Road'!H9+Kalikapur!H9+'Event Sales'!H9+'Sector 1'!H9</f>
        <v>0</v>
      </c>
      <c r="J9" s="11">
        <f>'Ideal Plaza'!I9+'Salt Lake JC -21'!I9+'Forum Mall'!I9+'Lake Town'!I9+'Quest Mall'!I9+'Rosedale Plaza'!I9+'Mani Square Mall'!I9+'Forum Rangoli'!I9+CSC!I9+Jameslong!I9+Technopolis!I9+Santoshpur!I9+'Chinar Park'!I9+'Lake Road'!I9+Kalikapur!I9+'Event Sales'!I9+'Sector 1'!I9</f>
        <v>0</v>
      </c>
      <c r="K9" s="11">
        <f>'Ideal Plaza'!J9+'Salt Lake JC -21'!J9+'Forum Mall'!J9+'Lake Town'!J9+'Quest Mall'!J9+'Rosedale Plaza'!J9+'Mani Square Mall'!J9+'Forum Rangoli'!J9+CSC!J9+Jameslong!J9+Technopolis!J9+Santoshpur!J9+'Chinar Park'!J9+'Lake Road'!J9+Kalikapur!J9+'Event Sales'!J9+'Sector 1'!J9</f>
        <v>0</v>
      </c>
      <c r="L9" s="11">
        <f>'Ideal Plaza'!K9+'Salt Lake JC -21'!K9+'Forum Mall'!K9+'Lake Town'!K9+'Quest Mall'!K9+'Rosedale Plaza'!K9+'Mani Square Mall'!K9+'Forum Rangoli'!K9+CSC!K9+Jameslong!K9+Technopolis!K9+Santoshpur!K9+'Chinar Park'!K9+'Lake Road'!K9+Kalikapur!K9+'Event Sales'!K9+'Sector 1'!K9</f>
        <v>0</v>
      </c>
      <c r="M9" s="11">
        <f>'Ideal Plaza'!L9+'Salt Lake JC -21'!L9+'Forum Mall'!L9+'Lake Town'!L9+'Quest Mall'!L9+'Rosedale Plaza'!L9+'Mani Square Mall'!L9+'Forum Rangoli'!L9+CSC!L9+Jameslong!L9+Technopolis!L9+Santoshpur!L9+'Chinar Park'!L9+'Lake Road'!L9+Kalikapur!L9+'Event Sales'!L9+'Sector 1'!L9</f>
        <v>0</v>
      </c>
      <c r="N9" s="11">
        <f>'Ideal Plaza'!M9+'Salt Lake JC -21'!M9+'Forum Mall'!M9+'Lake Town'!M9+'Quest Mall'!M9+'Rosedale Plaza'!M9+'Mani Square Mall'!M9+'Forum Rangoli'!M9+CSC!M9+Jameslong!M9+Technopolis!M9+Santoshpur!M9+'Chinar Park'!M9+'Lake Road'!M9+Kalikapur!M9+'Event Sales'!M9+'Sector 1'!M9</f>
        <v>0</v>
      </c>
      <c r="O9" s="14">
        <f t="shared" ref="O9:O12" si="2">+SUM(C9:N9)</f>
        <v>153964751.5</v>
      </c>
      <c r="P9" s="31"/>
      <c r="Q9" s="65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18" t="s">
        <v>14</v>
      </c>
      <c r="B10" s="11" t="s">
        <v>40</v>
      </c>
      <c r="C10" s="11">
        <f>'Ideal Plaza'!B10+'Salt Lake JC -21'!B10+'Forum Mall'!B10+'Lake Town'!B10+'Quest Mall'!B10+'Rosedale Plaza'!B10+'Mani Square Mall'!B10+'Forum Rangoli'!B10+CSC!B10+Jameslong!B10+Technopolis!B10+Santoshpur!B10+'Chinar Park'!B10+'Lake Road'!B10+Kalikapur!B10+'Event Sales'!B10+'Sector 1'!B10</f>
        <v>0</v>
      </c>
      <c r="D10" s="11">
        <f>'Ideal Plaza'!C10+'Salt Lake JC -21'!C10+'Forum Mall'!C10+'Lake Town'!C10+'Quest Mall'!C10+'Rosedale Plaza'!C10+'Mani Square Mall'!C10+'Forum Rangoli'!C10+CSC!C10+Jameslong!C10+Technopolis!C10+Santoshpur!C10+'Chinar Park'!C10+'Lake Road'!C10+Kalikapur!C10+'Event Sales'!C10+'Sector 1'!C10</f>
        <v>0</v>
      </c>
      <c r="E10" s="11">
        <f>'Ideal Plaza'!D10+'Salt Lake JC -21'!D10+'Forum Mall'!D10+'Lake Town'!D10+'Quest Mall'!D10+'Rosedale Plaza'!D10+'Mani Square Mall'!D10+'Forum Rangoli'!D10+CSC!D10+Jameslong!D10+Technopolis!D10+Santoshpur!D10+'Chinar Park'!D10+'Lake Road'!D10+Kalikapur!D10+'Event Sales'!D10+'Sector 1'!D10</f>
        <v>0</v>
      </c>
      <c r="F10" s="11">
        <f>'Ideal Plaza'!E10+'Salt Lake JC -21'!E10+'Forum Mall'!E10+'Lake Town'!E10+'Quest Mall'!E10+'Rosedale Plaza'!E10+'Mani Square Mall'!E10+'Forum Rangoli'!E10+CSC!E10+Jameslong!E10+Technopolis!E10+Santoshpur!E10+'Chinar Park'!E10+'Lake Road'!E10+Kalikapur!E10+'Event Sales'!E10+'Sector 1'!E10</f>
        <v>0</v>
      </c>
      <c r="G10" s="11">
        <f>'Ideal Plaza'!F10+'Salt Lake JC -21'!F10+'Forum Mall'!F10+'Lake Town'!F10+'Quest Mall'!F10+'Rosedale Plaza'!F10+'Mani Square Mall'!F10+'Forum Rangoli'!F10+CSC!F10+Jameslong!F10+Technopolis!F10+Santoshpur!F10+'Chinar Park'!F10+'Lake Road'!F10+Kalikapur!F10+'Event Sales'!F10+'Sector 1'!F10</f>
        <v>0</v>
      </c>
      <c r="H10" s="11">
        <f>'Ideal Plaza'!G10+'Salt Lake JC -21'!G10+'Forum Mall'!G10+'Lake Town'!G10+'Quest Mall'!G10+'Rosedale Plaza'!G10+'Mani Square Mall'!G10+'Forum Rangoli'!G10+CSC!G10+Jameslong!G10+Technopolis!G10+Santoshpur!G10+'Chinar Park'!G10+'Lake Road'!G10+Kalikapur!G10+'Event Sales'!G10+'Sector 1'!G10</f>
        <v>0</v>
      </c>
      <c r="I10" s="11">
        <f>'Ideal Plaza'!H10+'Salt Lake JC -21'!H10+'Forum Mall'!H10+'Lake Town'!H10+'Quest Mall'!H10+'Rosedale Plaza'!H10+'Mani Square Mall'!H10+'Forum Rangoli'!H10+CSC!H10+Jameslong!H10+Technopolis!H10+Santoshpur!H10+'Chinar Park'!H10+'Lake Road'!H10+Kalikapur!H10+'Event Sales'!H10+'Sector 1'!H10</f>
        <v>0</v>
      </c>
      <c r="J10" s="11">
        <f>'Ideal Plaza'!I10+'Salt Lake JC -21'!I10+'Forum Mall'!I10+'Lake Town'!I10+'Quest Mall'!I10+'Rosedale Plaza'!I10+'Mani Square Mall'!I10+'Forum Rangoli'!I10+CSC!I10+Jameslong!I10+Technopolis!I10+Santoshpur!I10+'Chinar Park'!I10+'Lake Road'!I10+Kalikapur!I10+'Event Sales'!I10+'Sector 1'!I10</f>
        <v>0</v>
      </c>
      <c r="K10" s="11">
        <f>'Ideal Plaza'!J10+'Salt Lake JC -21'!J10+'Forum Mall'!J10+'Lake Town'!J10+'Quest Mall'!J10+'Rosedale Plaza'!J10+'Mani Square Mall'!J10+'Forum Rangoli'!J10+CSC!J10+Jameslong!J10+Technopolis!J10+Santoshpur!J10+'Chinar Park'!J10+'Lake Road'!J10+Kalikapur!J10+'Event Sales'!J10+'Sector 1'!J10</f>
        <v>0</v>
      </c>
      <c r="L10" s="11">
        <f>'Ideal Plaza'!K10+'Salt Lake JC -21'!K10+'Forum Mall'!K10+'Lake Town'!K10+'Quest Mall'!K10+'Rosedale Plaza'!K10+'Mani Square Mall'!K10+'Forum Rangoli'!K10+CSC!K10+Jameslong!K10+Technopolis!K10+Santoshpur!K10+'Chinar Park'!K10+'Lake Road'!K10+Kalikapur!K10+'Event Sales'!K10+'Sector 1'!K10</f>
        <v>0</v>
      </c>
      <c r="M10" s="11">
        <f>'Ideal Plaza'!L10+'Salt Lake JC -21'!L10+'Forum Mall'!L10+'Lake Town'!L10+'Quest Mall'!L10+'Rosedale Plaza'!L10+'Mani Square Mall'!L10+'Forum Rangoli'!L10+CSC!L10+Jameslong!L10+Technopolis!L10+Santoshpur!L10+'Chinar Park'!L10+'Lake Road'!L10+Kalikapur!L10+'Event Sales'!L10+'Sector 1'!L10</f>
        <v>0</v>
      </c>
      <c r="N10" s="11">
        <f>'Ideal Plaza'!M10+'Salt Lake JC -21'!M10+'Forum Mall'!M10+'Lake Town'!M10+'Quest Mall'!M10+'Rosedale Plaza'!M10+'Mani Square Mall'!M10+'Forum Rangoli'!M10+CSC!M10+Jameslong!M10+Technopolis!M10+Santoshpur!M10+'Chinar Park'!M10+'Lake Road'!M10+Kalikapur!M10+'Event Sales'!M10+'Sector 1'!M10</f>
        <v>0</v>
      </c>
      <c r="O10" s="14">
        <f t="shared" si="2"/>
        <v>0</v>
      </c>
      <c r="P10" s="31"/>
      <c r="Q10" s="52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18" t="s">
        <v>15</v>
      </c>
      <c r="B11" s="11" t="s">
        <v>40</v>
      </c>
      <c r="C11" s="11">
        <f>'Ideal Plaza'!B11+'Salt Lake JC -21'!B11+'Forum Mall'!B11+'Lake Town'!B11+'Quest Mall'!B11+'Rosedale Plaza'!B11+'Mani Square Mall'!B11+'Forum Rangoli'!B11+CSC!B11+Jameslong!B11+Technopolis!B11+Santoshpur!B11+'Chinar Park'!B11+'Lake Road'!B11+Kalikapur!B11+'Event Sales'!B11+'Sector 1'!B11</f>
        <v>1120870.633</v>
      </c>
      <c r="D11" s="11">
        <f>'Ideal Plaza'!C11+'Salt Lake JC -21'!C11+'Forum Mall'!C11+'Lake Town'!C11+'Quest Mall'!C11+'Rosedale Plaza'!C11+'Mani Square Mall'!C11+'Forum Rangoli'!C11+CSC!C11+Jameslong!C11+Technopolis!C11+Santoshpur!C11+'Chinar Park'!C11+'Lake Road'!C11+Kalikapur!C11+'Event Sales'!C11+'Sector 1'!C11</f>
        <v>1239833.379</v>
      </c>
      <c r="E11" s="11">
        <f>'Ideal Plaza'!D11+'Salt Lake JC -21'!D11+'Forum Mall'!D11+'Lake Town'!D11+'Quest Mall'!D11+'Rosedale Plaza'!D11+'Mani Square Mall'!D11+'Forum Rangoli'!D11+CSC!D11+Jameslong!D11+Technopolis!D11+Santoshpur!D11+'Chinar Park'!D11+'Lake Road'!D11+Kalikapur!D11+'Event Sales'!D11+'Sector 1'!D11</f>
        <v>1188348.753</v>
      </c>
      <c r="F11" s="11">
        <f>'Ideal Plaza'!E11+'Salt Lake JC -21'!E11+'Forum Mall'!E11+'Lake Town'!E11+'Quest Mall'!E11+'Rosedale Plaza'!E11+'Mani Square Mall'!E11+'Forum Rangoli'!E11+CSC!E11+Jameslong!E11+Technopolis!E11+Santoshpur!E11+'Chinar Park'!E11+'Lake Road'!E11+Kalikapur!E11+'Event Sales'!E11+'Sector 1'!E11</f>
        <v>1224434.993</v>
      </c>
      <c r="G11" s="11">
        <f>'Ideal Plaza'!F11+'Salt Lake JC -21'!F11+'Forum Mall'!F11+'Lake Town'!F11+'Quest Mall'!F11+'Rosedale Plaza'!F11+'Mani Square Mall'!F11+'Forum Rangoli'!F11+CSC!F11+Jameslong!F11+Technopolis!F11+Santoshpur!F11+'Chinar Park'!F11+'Lake Road'!F11+Kalikapur!F11+'Event Sales'!F11+'Sector 1'!F11</f>
        <v>1332180.736</v>
      </c>
      <c r="H11" s="11">
        <f>'Ideal Plaza'!G11+'Salt Lake JC -21'!G11+'Forum Mall'!G11+'Lake Town'!G11+'Quest Mall'!G11+'Rosedale Plaza'!G11+'Mani Square Mall'!G11+'Forum Rangoli'!G11+CSC!G11+Jameslong!G11+Technopolis!G11+Santoshpur!G11+'Chinar Park'!G11+'Lake Road'!G11+Kalikapur!G11+'Event Sales'!G11+'Sector 1'!G11</f>
        <v>1225986.339</v>
      </c>
      <c r="I11" s="11">
        <f>'Ideal Plaza'!H11+'Salt Lake JC -21'!H11+'Forum Mall'!H11+'Lake Town'!H11+'Quest Mall'!H11+'Rosedale Plaza'!H11+'Mani Square Mall'!H11+'Forum Rangoli'!H11+CSC!H11+Jameslong!H11+Technopolis!H11+Santoshpur!H11+'Chinar Park'!H11+'Lake Road'!H11+Kalikapur!H11+'Event Sales'!H11+'Sector 1'!H11</f>
        <v>0</v>
      </c>
      <c r="J11" s="11">
        <f>'Ideal Plaza'!I11+'Salt Lake JC -21'!I11+'Forum Mall'!I11+'Lake Town'!I11+'Quest Mall'!I11+'Rosedale Plaza'!I11+'Mani Square Mall'!I11+'Forum Rangoli'!I11+CSC!I11+Jameslong!I11+Technopolis!I11+Santoshpur!I11+'Chinar Park'!I11+'Lake Road'!I11+Kalikapur!I11+'Event Sales'!I11+'Sector 1'!I11</f>
        <v>0</v>
      </c>
      <c r="K11" s="11">
        <f>'Ideal Plaza'!J11+'Salt Lake JC -21'!J11+'Forum Mall'!J11+'Lake Town'!J11+'Quest Mall'!J11+'Rosedale Plaza'!J11+'Mani Square Mall'!J11+'Forum Rangoli'!J11+CSC!J11+Jameslong!J11+Technopolis!J11+Santoshpur!J11+'Chinar Park'!J11+'Lake Road'!J11+Kalikapur!J11+'Event Sales'!J11+'Sector 1'!J11</f>
        <v>0</v>
      </c>
      <c r="L11" s="11">
        <f>'Ideal Plaza'!K11+'Salt Lake JC -21'!K11+'Forum Mall'!K11+'Lake Town'!K11+'Quest Mall'!K11+'Rosedale Plaza'!K11+'Mani Square Mall'!K11+'Forum Rangoli'!K11+CSC!K11+Jameslong!K11+Technopolis!K11+Santoshpur!K11+'Chinar Park'!K11+'Lake Road'!K11+Kalikapur!K11+'Event Sales'!K11+'Sector 1'!K11</f>
        <v>0</v>
      </c>
      <c r="M11" s="11">
        <f>'Ideal Plaza'!L11+'Salt Lake JC -21'!L11+'Forum Mall'!L11+'Lake Town'!L11+'Quest Mall'!L11+'Rosedale Plaza'!L11+'Mani Square Mall'!L11+'Forum Rangoli'!L11+CSC!L11+Jameslong!L11+Technopolis!L11+Santoshpur!L11+'Chinar Park'!L11+'Lake Road'!L11+Kalikapur!L11+'Event Sales'!L11+'Sector 1'!L11</f>
        <v>0</v>
      </c>
      <c r="N11" s="11">
        <f>'Ideal Plaza'!M11+'Salt Lake JC -21'!M11+'Forum Mall'!M11+'Lake Town'!M11+'Quest Mall'!M11+'Rosedale Plaza'!M11+'Mani Square Mall'!M11+'Forum Rangoli'!M11+CSC!M11+Jameslong!M11+Technopolis!M11+Santoshpur!M11+'Chinar Park'!M11+'Lake Road'!M11+Kalikapur!M11+'Event Sales'!M11+'Sector 1'!M11</f>
        <v>0</v>
      </c>
      <c r="O11" s="14">
        <f t="shared" si="2"/>
        <v>7331654.833</v>
      </c>
      <c r="P11" s="31"/>
      <c r="Q11" s="52"/>
      <c r="R11" s="46"/>
      <c r="S11" s="4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18" t="s">
        <v>16</v>
      </c>
      <c r="B12" s="11" t="s">
        <v>40</v>
      </c>
      <c r="C12" s="11">
        <f>'Ideal Plaza'!B12+'Salt Lake JC -21'!B12+'Forum Mall'!B12+'Lake Town'!B12+'Quest Mall'!B12+'Rosedale Plaza'!B12+'Mani Square Mall'!B12+'Forum Rangoli'!B12+CSC!B12+Jameslong!B12+Technopolis!B12+Santoshpur!B12+'Chinar Park'!B12+'Lake Road'!B12+Kalikapur!B12+'Event Sales'!B12+'Sector 1'!B12</f>
        <v>2078483.943</v>
      </c>
      <c r="D12" s="11">
        <f>'Ideal Plaza'!C12+'Salt Lake JC -21'!C12+'Forum Mall'!C12+'Lake Town'!C12+'Quest Mall'!C12+'Rosedale Plaza'!C12+'Mani Square Mall'!C12+'Forum Rangoli'!C12+CSC!C12+Jameslong!C12+Technopolis!C12+Santoshpur!C12+'Chinar Park'!C12+'Lake Road'!C12+Kalikapur!C12+'Event Sales'!C12+'Sector 1'!C12</f>
        <v>2248672.211</v>
      </c>
      <c r="E12" s="11">
        <f>'Ideal Plaza'!D12+'Salt Lake JC -21'!D12+'Forum Mall'!D12+'Lake Town'!D12+'Quest Mall'!D12+'Rosedale Plaza'!D12+'Mani Square Mall'!D12+'Forum Rangoli'!D12+CSC!D12+Jameslong!D12+Technopolis!D12+Santoshpur!D12+'Chinar Park'!D12+'Lake Road'!D12+Kalikapur!D12+'Event Sales'!D12+'Sector 1'!D12</f>
        <v>2098372.885</v>
      </c>
      <c r="F12" s="11">
        <f>'Ideal Plaza'!E12+'Salt Lake JC -21'!E12+'Forum Mall'!E12+'Lake Town'!E12+'Quest Mall'!E12+'Rosedale Plaza'!E12+'Mani Square Mall'!E12+'Forum Rangoli'!E12+CSC!E12+Jameslong!E12+Technopolis!E12+Santoshpur!E12+'Chinar Park'!E12+'Lake Road'!E12+Kalikapur!E12+'Event Sales'!E12+'Sector 1'!E12</f>
        <v>2312388.156</v>
      </c>
      <c r="G12" s="11">
        <f>'Ideal Plaza'!F12+'Salt Lake JC -21'!F12+'Forum Mall'!F12+'Lake Town'!F12+'Quest Mall'!F12+'Rosedale Plaza'!F12+'Mani Square Mall'!F12+'Forum Rangoli'!F12+CSC!F12+Jameslong!F12+Technopolis!F12+Santoshpur!F12+'Chinar Park'!F12+'Lake Road'!F12+Kalikapur!F12+'Event Sales'!F12+'Sector 1'!F12</f>
        <v>2501415.967</v>
      </c>
      <c r="H12" s="11">
        <f>'Ideal Plaza'!G12+'Salt Lake JC -21'!G12+'Forum Mall'!G12+'Lake Town'!G12+'Quest Mall'!G12+'Rosedale Plaza'!G12+'Mani Square Mall'!G12+'Forum Rangoli'!G12+CSC!G12+Jameslong!G12+Technopolis!G12+Santoshpur!G12+'Chinar Park'!G12+'Lake Road'!G12+Kalikapur!G12+'Event Sales'!G12+'Sector 1'!G12</f>
        <v>2325503.845</v>
      </c>
      <c r="I12" s="11">
        <f>'Ideal Plaza'!H12+'Salt Lake JC -21'!H12+'Forum Mall'!H12+'Lake Town'!H12+'Quest Mall'!H12+'Rosedale Plaza'!H12+'Mani Square Mall'!H12+'Forum Rangoli'!H12+CSC!H12+Jameslong!H12+Technopolis!H12+Santoshpur!H12+'Chinar Park'!H12+'Lake Road'!H12+Kalikapur!H12+'Event Sales'!H12+'Sector 1'!H12</f>
        <v>0</v>
      </c>
      <c r="J12" s="11">
        <f>'Ideal Plaza'!I12+'Salt Lake JC -21'!I12+'Forum Mall'!I12+'Lake Town'!I12+'Quest Mall'!I12+'Rosedale Plaza'!I12+'Mani Square Mall'!I12+'Forum Rangoli'!I12+CSC!I12+Jameslong!I12+Technopolis!I12+Santoshpur!I12+'Chinar Park'!I12+'Lake Road'!I12+Kalikapur!I12+'Event Sales'!I12+'Sector 1'!I12</f>
        <v>0</v>
      </c>
      <c r="K12" s="11">
        <f>'Ideal Plaza'!J12+'Salt Lake JC -21'!J12+'Forum Mall'!J12+'Lake Town'!J12+'Quest Mall'!J12+'Rosedale Plaza'!J12+'Mani Square Mall'!J12+'Forum Rangoli'!J12+CSC!J12+Jameslong!J12+Technopolis!J12+Santoshpur!J12+'Chinar Park'!J12+'Lake Road'!J12+Kalikapur!J12+'Event Sales'!J12+'Sector 1'!J12</f>
        <v>0</v>
      </c>
      <c r="L12" s="11">
        <f>'Ideal Plaza'!K12+'Salt Lake JC -21'!K12+'Forum Mall'!K12+'Lake Town'!K12+'Quest Mall'!K12+'Rosedale Plaza'!K12+'Mani Square Mall'!K12+'Forum Rangoli'!K12+CSC!K12+Jameslong!K12+Technopolis!K12+Santoshpur!K12+'Chinar Park'!K12+'Lake Road'!K12+Kalikapur!K12+'Event Sales'!K12+'Sector 1'!K12</f>
        <v>0</v>
      </c>
      <c r="M12" s="11">
        <f>'Ideal Plaza'!L12+'Salt Lake JC -21'!L12+'Forum Mall'!L12+'Lake Town'!L12+'Quest Mall'!L12+'Rosedale Plaza'!L12+'Mani Square Mall'!L12+'Forum Rangoli'!L12+CSC!L12+Jameslong!L12+Technopolis!L12+Santoshpur!L12+'Chinar Park'!L12+'Lake Road'!L12+Kalikapur!L12+'Event Sales'!L12+'Sector 1'!L12</f>
        <v>0</v>
      </c>
      <c r="N12" s="11">
        <f>'Ideal Plaza'!M12+'Salt Lake JC -21'!M12+'Forum Mall'!M12+'Lake Town'!M12+'Quest Mall'!M12+'Rosedale Plaza'!M12+'Mani Square Mall'!M12+'Forum Rangoli'!M12+CSC!M12+Jameslong!M12+Technopolis!M12+Santoshpur!M12+'Chinar Park'!M12+'Lake Road'!M12+Kalikapur!M12+'Event Sales'!M12+'Sector 1'!M12</f>
        <v>0</v>
      </c>
      <c r="O12" s="14">
        <f t="shared" si="2"/>
        <v>13564837.01</v>
      </c>
      <c r="P12" s="31"/>
      <c r="Q12" s="74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75" t="s">
        <v>47</v>
      </c>
      <c r="B13" s="14"/>
      <c r="C13" s="25">
        <f t="shared" ref="C13:N13" si="3">C12/C9</f>
        <v>0.08830227408</v>
      </c>
      <c r="D13" s="25">
        <f t="shared" si="3"/>
        <v>0.08636614477</v>
      </c>
      <c r="E13" s="25">
        <f t="shared" si="3"/>
        <v>0.08408517962</v>
      </c>
      <c r="F13" s="25">
        <f t="shared" si="3"/>
        <v>0.08993023101</v>
      </c>
      <c r="G13" s="25">
        <f t="shared" si="3"/>
        <v>0.08941357793</v>
      </c>
      <c r="H13" s="25">
        <f t="shared" si="3"/>
        <v>0.09032586642</v>
      </c>
      <c r="I13" s="25" t="str">
        <f t="shared" si="3"/>
        <v>#DIV/0!</v>
      </c>
      <c r="J13" s="25" t="str">
        <f t="shared" si="3"/>
        <v>#DIV/0!</v>
      </c>
      <c r="K13" s="25" t="str">
        <f t="shared" si="3"/>
        <v>#DIV/0!</v>
      </c>
      <c r="L13" s="25" t="str">
        <f t="shared" si="3"/>
        <v>#DIV/0!</v>
      </c>
      <c r="M13" s="25" t="str">
        <f t="shared" si="3"/>
        <v>#DIV/0!</v>
      </c>
      <c r="N13" s="25" t="str">
        <f t="shared" si="3"/>
        <v>#DIV/0!</v>
      </c>
      <c r="O13" s="14"/>
      <c r="P13" s="77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</row>
    <row r="14">
      <c r="A14" s="19" t="s">
        <v>17</v>
      </c>
      <c r="B14" s="8"/>
      <c r="C14" s="21">
        <f t="shared" ref="C14:N14" si="4">C9+C10-C11-C12</f>
        <v>20338928.72</v>
      </c>
      <c r="D14" s="21">
        <f t="shared" si="4"/>
        <v>22547995.37</v>
      </c>
      <c r="E14" s="21">
        <f t="shared" si="4"/>
        <v>21668602.17</v>
      </c>
      <c r="F14" s="22">
        <f t="shared" si="4"/>
        <v>22176311.69</v>
      </c>
      <c r="G14" s="22">
        <f t="shared" si="4"/>
        <v>24142198.75</v>
      </c>
      <c r="H14" s="22">
        <f t="shared" si="4"/>
        <v>22194222.94</v>
      </c>
      <c r="I14" s="21">
        <f t="shared" si="4"/>
        <v>0</v>
      </c>
      <c r="J14" s="21">
        <f t="shared" si="4"/>
        <v>0</v>
      </c>
      <c r="K14" s="21">
        <f t="shared" si="4"/>
        <v>0</v>
      </c>
      <c r="L14" s="21">
        <f t="shared" si="4"/>
        <v>0</v>
      </c>
      <c r="M14" s="21">
        <f t="shared" si="4"/>
        <v>0</v>
      </c>
      <c r="N14" s="21">
        <f t="shared" si="4"/>
        <v>0</v>
      </c>
      <c r="O14" s="21">
        <f t="shared" ref="O14:O31" si="6">sum(C14:N14)</f>
        <v>133068259.6</v>
      </c>
      <c r="P14" s="23">
        <f t="shared" ref="P14:P31" si="7">O14/$O$14</f>
        <v>1</v>
      </c>
      <c r="Q14" s="74"/>
      <c r="R14" s="4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18" t="s">
        <v>20</v>
      </c>
      <c r="B15" s="79" t="s">
        <v>40</v>
      </c>
      <c r="C15" s="11">
        <f t="shared" ref="C15:N15" si="5">C3+C4-C5-C7</f>
        <v>5471494.28</v>
      </c>
      <c r="D15" s="11">
        <f t="shared" si="5"/>
        <v>6129288.26</v>
      </c>
      <c r="E15" s="11">
        <f t="shared" si="5"/>
        <v>6033596.22</v>
      </c>
      <c r="F15" s="11">
        <f t="shared" si="5"/>
        <v>6181392.86</v>
      </c>
      <c r="G15" s="11">
        <f t="shared" si="5"/>
        <v>6876972.79</v>
      </c>
      <c r="H15" s="11">
        <f t="shared" si="5"/>
        <v>6111821.42</v>
      </c>
      <c r="I15" s="11">
        <f t="shared" si="5"/>
        <v>450578.72</v>
      </c>
      <c r="J15" s="11">
        <f t="shared" si="5"/>
        <v>0</v>
      </c>
      <c r="K15" s="11">
        <f t="shared" si="5"/>
        <v>0</v>
      </c>
      <c r="L15" s="11">
        <f t="shared" si="5"/>
        <v>0</v>
      </c>
      <c r="M15" s="11">
        <f t="shared" si="5"/>
        <v>0</v>
      </c>
      <c r="N15" s="11">
        <f t="shared" si="5"/>
        <v>0</v>
      </c>
      <c r="O15" s="14">
        <f t="shared" si="6"/>
        <v>37255144.55</v>
      </c>
      <c r="P15" s="77">
        <f t="shared" si="7"/>
        <v>0.2799701796</v>
      </c>
      <c r="Q15" s="50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18" t="s">
        <v>21</v>
      </c>
      <c r="B16" s="79" t="s">
        <v>40</v>
      </c>
      <c r="C16" s="11">
        <f>'Ideal Plaza'!B15+'Salt Lake JC -21'!B15+'Forum Mall'!B15+'Lake Town'!B15+'Quest Mall'!B15+'Rosedale Plaza'!B15+'Mani Square Mall'!B15+'Forum Rangoli'!B15+CSC!B17+Jameslong!B15+Technopolis!B15+Santoshpur!B15+'Chinar Park'!B15+'Lake Road'!B15+Kalikapur!B15+'Event Sales'!B15+'Sector 1'!B15</f>
        <v>885727.04</v>
      </c>
      <c r="D16" s="11">
        <f>'Ideal Plaza'!C15+'Salt Lake JC -21'!C15+'Forum Mall'!C15+'Lake Town'!C15+'Quest Mall'!C15+'Rosedale Plaza'!C15+'Mani Square Mall'!C15+'Forum Rangoli'!C15+CSC!C15+Jameslong!C15+Technopolis!C15+Santoshpur!C15+'Chinar Park'!C15+'Lake Road'!C15+Kalikapur!C15+'Event Sales'!C15+'Sector 1'!C15</f>
        <v>959247.54</v>
      </c>
      <c r="E16" s="11">
        <f>'Ideal Plaza'!D15+'Salt Lake JC -21'!D15+'Forum Mall'!D15+'Lake Town'!D15+'Quest Mall'!D15+'Rosedale Plaza'!D15+'Mani Square Mall'!D15+'Forum Rangoli'!D15+CSC!D15+Jameslong!D15+Technopolis!D15+Santoshpur!D15+'Chinar Park'!D15+'Lake Road'!D15+Kalikapur!D15+'Event Sales'!D15+'Sector 1'!D15</f>
        <v>925105.63</v>
      </c>
      <c r="F16" s="11">
        <f>'Ideal Plaza'!E15+'Salt Lake JC -21'!E15+'Forum Mall'!E15+'Lake Town'!E15+'Quest Mall'!E15+'Rosedale Plaza'!E15+'Mani Square Mall'!E15+'Forum Rangoli'!E15+CSC!E15+Jameslong!E15+Technopolis!E15+Santoshpur!E15+'Chinar Park'!E15+'Lake Road'!E15+Kalikapur!E15+'Event Sales'!E15+'Sector 1'!E15</f>
        <v>909978.12</v>
      </c>
      <c r="G16" s="11">
        <f>'Ideal Plaza'!F15+'Salt Lake JC -21'!F15+'Forum Mall'!F15+'Lake Town'!F15+'Quest Mall'!F15+'Rosedale Plaza'!F15+'Mani Square Mall'!F15+'Forum Rangoli'!F15+CSC!F15+Jameslong!F15+Technopolis!F15+Santoshpur!F15+'Chinar Park'!F15+'Lake Road'!F15+Kalikapur!F15+'Event Sales'!F15+'Sector 1'!F15</f>
        <v>920092.26</v>
      </c>
      <c r="H16" s="11">
        <f>'Ideal Plaza'!G15+'Salt Lake JC -21'!G15+'Forum Mall'!G15+'Lake Town'!G15+'Quest Mall'!G15+'Rosedale Plaza'!G15+'Mani Square Mall'!G15+'Forum Rangoli'!G15+CSC!G15+Jameslong!G15+Technopolis!G15+Santoshpur!G15+'Chinar Park'!G15+'Lake Road'!G15+Kalikapur!G15+'Event Sales'!G15+'Sector 1'!G15</f>
        <v>895687.64</v>
      </c>
      <c r="I16" s="11">
        <f>'Ideal Plaza'!H15+'Salt Lake JC -21'!H15+'Forum Mall'!H15+'Lake Town'!H15+'Quest Mall'!H15+'Rosedale Plaza'!H15+'Mani Square Mall'!H15+'Forum Rangoli'!H15+CSC!H15+Jameslong!H15+Technopolis!H15+Santoshpur!H15+'Chinar Park'!H15+'Lake Road'!H15+Kalikapur!H15+'Event Sales'!H15+'Sector 1'!H15</f>
        <v>0</v>
      </c>
      <c r="J16" s="11">
        <f>'Ideal Plaza'!I15+'Salt Lake JC -21'!I15+'Forum Mall'!I15+'Lake Town'!I15+'Quest Mall'!I15+'Rosedale Plaza'!I15+'Mani Square Mall'!I15+'Forum Rangoli'!I15+CSC!I15+Jameslong!I15+Technopolis!I15+Santoshpur!I15+'Chinar Park'!I15+'Lake Road'!I15+Kalikapur!I15+'Event Sales'!I15+'Sector 1'!I15</f>
        <v>0</v>
      </c>
      <c r="K16" s="11">
        <f>'Ideal Plaza'!J15+'Salt Lake JC -21'!J15+'Forum Mall'!J15+'Lake Town'!J15+'Quest Mall'!J15+'Rosedale Plaza'!J15+'Mani Square Mall'!J15+'Forum Rangoli'!J15+CSC!J15+Jameslong!J15+Technopolis!J15+Santoshpur!J15+'Chinar Park'!J15+'Lake Road'!J15+Kalikapur!J15+'Event Sales'!J15+'Sector 1'!J15</f>
        <v>0</v>
      </c>
      <c r="L16" s="11">
        <f>'Ideal Plaza'!K15+'Salt Lake JC -21'!K15+'Forum Mall'!K15+'Lake Town'!K15+'Quest Mall'!K15+'Rosedale Plaza'!K15+'Mani Square Mall'!K15+'Forum Rangoli'!K15+CSC!K15+Jameslong!K15+Technopolis!K15+Santoshpur!K15+'Chinar Park'!K15+'Lake Road'!K15+Kalikapur!K15+'Event Sales'!K15+'Sector 1'!K15</f>
        <v>0</v>
      </c>
      <c r="M16" s="11">
        <f>'Ideal Plaza'!L15+'Salt Lake JC -21'!L15+'Forum Mall'!L15+'Lake Town'!L15+'Quest Mall'!L15+'Rosedale Plaza'!L15+'Mani Square Mall'!L15+'Forum Rangoli'!L15+CSC!L15+Jameslong!L15+Technopolis!L15+Santoshpur!L15+'Chinar Park'!L15+'Lake Road'!L15+Kalikapur!L15+'Event Sales'!L15+'Sector 1'!L15</f>
        <v>0</v>
      </c>
      <c r="N16" s="11">
        <f>'Ideal Plaza'!M15+'Salt Lake JC -21'!M15+'Forum Mall'!M15+'Lake Town'!M15+'Quest Mall'!M15+'Rosedale Plaza'!M15+'Mani Square Mall'!M15+'Forum Rangoli'!M15+CSC!M15+Jameslong!M15+Technopolis!M15+Santoshpur!M15+'Chinar Park'!M15+'Lake Road'!M15+Kalikapur!M15+'Event Sales'!M15+'Sector 1'!M15</f>
        <v>0</v>
      </c>
      <c r="O16" s="14">
        <f t="shared" si="6"/>
        <v>5495838.23</v>
      </c>
      <c r="P16" s="77">
        <f t="shared" si="7"/>
        <v>0.04130089508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18" t="s">
        <v>22</v>
      </c>
      <c r="B17" s="79" t="s">
        <v>40</v>
      </c>
      <c r="C17" s="11">
        <f>'Ideal Plaza'!B16+'Salt Lake JC -21'!B16+'Forum Mall'!B16+'Lake Town'!B16+'Quest Mall'!B16+'Rosedale Plaza'!B16+'Mani Square Mall'!B16+'Forum Rangoli'!B16+CSC!B16+Jameslong!B16+Technopolis!B16+Santoshpur!B16+'Chinar Park'!B16+'Lake Road'!B16+Kalikapur!B16+'Event Sales'!B16+'Sector 1'!B16</f>
        <v>13456.93</v>
      </c>
      <c r="D17" s="11">
        <f>'Ideal Plaza'!C16+'Salt Lake JC -21'!C16+'Forum Mall'!C16+'Lake Town'!C16+'Quest Mall'!C16+'Rosedale Plaza'!C16+'Mani Square Mall'!C16+'Forum Rangoli'!C16+CSC!C16+Jameslong!C16+Technopolis!C16+Santoshpur!C16+'Chinar Park'!C16+'Lake Road'!C16+Kalikapur!C16+'Event Sales'!C16+'Sector 1'!C16</f>
        <v>13956.93</v>
      </c>
      <c r="E17" s="11">
        <f>'Ideal Plaza'!D16+'Salt Lake JC -21'!D16+'Forum Mall'!D16+'Lake Town'!D16+'Quest Mall'!D16+'Rosedale Plaza'!D16+'Mani Square Mall'!D16+'Forum Rangoli'!D16+CSC!D16+Jameslong!D16+Technopolis!D16+Santoshpur!D16+'Chinar Park'!D16+'Lake Road'!D16+Kalikapur!D16+'Event Sales'!D16+'Sector 1'!D16</f>
        <v>13956.93</v>
      </c>
      <c r="F17" s="11">
        <f>'Ideal Plaza'!E16+'Salt Lake JC -21'!E16+'Forum Mall'!E16+'Lake Town'!E16+'Quest Mall'!E16+'Rosedale Plaza'!E16+'Mani Square Mall'!E16+'Forum Rangoli'!E16+CSC!E16+Jameslong!E16+Technopolis!E16+Santoshpur!E16+'Chinar Park'!E16+'Lake Road'!E16+Kalikapur!E16+'Event Sales'!E16+'Sector 1'!E16</f>
        <v>14315.26333</v>
      </c>
      <c r="G17" s="11">
        <f>'Ideal Plaza'!F16+'Salt Lake JC -21'!F16+'Forum Mall'!F16+'Lake Town'!F16+'Quest Mall'!F16+'Rosedale Plaza'!F16+'Mani Square Mall'!F16+'Forum Rangoli'!F16+CSC!F16+Jameslong!F16+Technopolis!F16+Santoshpur!F16+'Chinar Park'!F16+'Lake Road'!F16+Kalikapur!F16+'Event Sales'!F16+'Sector 1'!F16</f>
        <v>12052.44333</v>
      </c>
      <c r="H17" s="11">
        <f>'Ideal Plaza'!G16+'Salt Lake JC -21'!G16+'Forum Mall'!G16+'Lake Town'!G16+'Quest Mall'!G16+'Rosedale Plaza'!G16+'Mani Square Mall'!G16+'Forum Rangoli'!G16+CSC!G16+Jameslong!G16+Technopolis!G16+Santoshpur!G16+'Chinar Park'!G16+'Lake Road'!G16+Kalikapur!G16+'Event Sales'!G16+'Sector 1'!G16</f>
        <v>11849.44333</v>
      </c>
      <c r="I17" s="11">
        <f>'Ideal Plaza'!H16+'Salt Lake JC -21'!H16+'Forum Mall'!H16+'Lake Town'!H16+'Quest Mall'!H16+'Rosedale Plaza'!H16+'Mani Square Mall'!H16+'Forum Rangoli'!H16+CSC!H16+Jameslong!H16+Technopolis!H16+Santoshpur!H16+'Chinar Park'!H16+'Lake Road'!H16+Kalikapur!H16+'Event Sales'!H16+'Sector 1'!H16</f>
        <v>948.3333333</v>
      </c>
      <c r="J17" s="11">
        <f>'Ideal Plaza'!I16+'Salt Lake JC -21'!I16+'Forum Mall'!I16+'Lake Town'!I16+'Quest Mall'!I16+'Rosedale Plaza'!I16+'Mani Square Mall'!I16+'Forum Rangoli'!I16+CSC!I16+Jameslong!I16+Technopolis!I16+Santoshpur!I16+'Chinar Park'!H16+'Lake Road'!I16+Kalikapur!I16+'Event Sales'!I16+'Sector 1'!I16</f>
        <v>948.3333333</v>
      </c>
      <c r="K17" s="11">
        <f>'Ideal Plaza'!J16+'Salt Lake JC -21'!J16+'Forum Mall'!J16+'Lake Town'!J16+'Quest Mall'!J16+'Rosedale Plaza'!J16+'Mani Square Mall'!J16+'Forum Rangoli'!J16+CSC!J16+Jameslong!J16+Technopolis!J16+Santoshpur!J16+'Chinar Park'!J16+'Lake Road'!J16+Kalikapur!J16+'Event Sales'!J16+'Sector 1'!J16</f>
        <v>948.3333333</v>
      </c>
      <c r="L17" s="11">
        <f>'Ideal Plaza'!K16+'Salt Lake JC -21'!K16+'Forum Mall'!K16+'Lake Town'!K16+'Quest Mall'!K16+'Rosedale Plaza'!K16+'Mani Square Mall'!K16+'Forum Rangoli'!K16+CSC!K16+Jameslong!K16+Technopolis!K16+Santoshpur!K16+'Chinar Park'!K16+'Lake Road'!K16+Kalikapur!K16+'Event Sales'!K16+'Sector 1'!K16</f>
        <v>948.3333333</v>
      </c>
      <c r="M17" s="11">
        <f>'Ideal Plaza'!L16+'Salt Lake JC -21'!L16+'Forum Mall'!L16+'Lake Town'!L16+'Quest Mall'!L16+'Rosedale Plaza'!L16+'Mani Square Mall'!L16+'Forum Rangoli'!L16+CSC!L16+Jameslong!L16+Technopolis!L16+Santoshpur!L16+'Chinar Park'!L16+'Lake Road'!L16+Kalikapur!L16+'Event Sales'!L16+'Sector 1'!L16</f>
        <v>948.3333333</v>
      </c>
      <c r="N17" s="11">
        <f>'Ideal Plaza'!M16+'Salt Lake JC -21'!M16+'Forum Mall'!M16+'Lake Town'!M16+'Quest Mall'!M16+'Rosedale Plaza'!M16+'Mani Square Mall'!M16+'Forum Rangoli'!M16+CSC!M16+Jameslong!M16+Technopolis!M16+Santoshpur!M16+'Chinar Park'!M16+'Lake Road'!M16+Kalikapur!M16+'Event Sales'!M16+'Sector 1'!M16</f>
        <v>948.3333333</v>
      </c>
      <c r="O17" s="14">
        <f t="shared" si="6"/>
        <v>85277.94</v>
      </c>
      <c r="P17" s="77">
        <f t="shared" si="7"/>
        <v>0.0006408586107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18" t="s">
        <v>23</v>
      </c>
      <c r="B18" s="79" t="s">
        <v>40</v>
      </c>
      <c r="C18" s="11">
        <f>'Ideal Plaza'!B17+'Salt Lake JC -21'!B17+'Forum Mall'!B17+'Lake Town'!B17+'Quest Mall'!B17+'Rosedale Plaza'!B17+'Mani Square Mall'!B17+'Forum Rangoli'!B17+CSC!B17+Jameslong!B17+Technopolis!B17+Santoshpur!B17+'Chinar Park'!B17+'Lake Road'!B17+Kalikapur!B17+'Event Sales'!B17+'Sector 1'!B17</f>
        <v>238567</v>
      </c>
      <c r="D18" s="11">
        <f>'Ideal Plaza'!C17+'Salt Lake JC -21'!C17+'Forum Mall'!C17+'Lake Town'!C17+'Quest Mall'!C17+'Rosedale Plaza'!C17+'Mani Square Mall'!C17+'Forum Rangoli'!C17+CSC!C17+Jameslong!C17+Technopolis!C17+Santoshpur!C17+'Chinar Park'!C17+'Lake Road'!C17+Kalikapur!C17+'Event Sales'!C17+'Sector 1'!C17</f>
        <v>654017.84</v>
      </c>
      <c r="E18" s="11">
        <f>'Ideal Plaza'!D17+'Salt Lake JC -21'!D17+'Forum Mall'!D17+'Lake Town'!D17+'Quest Mall'!D17+'Rosedale Plaza'!D17+'Mani Square Mall'!D17+'Forum Rangoli'!D17+CSC!D17+Jameslong!D17+Technopolis!D17+Santoshpur!D17+'Chinar Park'!D17+'Lake Road'!D17+Kalikapur!D17+'Event Sales'!D17+'Sector 1'!D17</f>
        <v>643074.78</v>
      </c>
      <c r="F18" s="11">
        <f>'Ideal Plaza'!E17+'Salt Lake JC -21'!E17+'Forum Mall'!E17+'Lake Town'!E17+'Quest Mall'!E17+'Rosedale Plaza'!E17+'Mani Square Mall'!E17+'Forum Rangoli'!E17+CSC!E17+Jameslong!E17+Technopolis!E17+Santoshpur!E17+'Chinar Park'!E17+'Lake Road'!E17+Kalikapur!E17+'Event Sales'!E17+'Sector 1'!E17</f>
        <v>676849</v>
      </c>
      <c r="G18" s="11">
        <f>'Ideal Plaza'!F17+'Salt Lake JC -21'!F17+'Forum Mall'!F17+'Lake Town'!F17+'Quest Mall'!F17+'Rosedale Plaza'!F17+'Mani Square Mall'!F17+'Forum Rangoli'!F17+CSC!F17+Jameslong!F17+Technopolis!F17+Santoshpur!F17+'Chinar Park'!F17+'Lake Road'!F17+Kalikapur!F17+'Event Sales'!F17+'Sector 1'!F17</f>
        <v>603302.5</v>
      </c>
      <c r="H18" s="11">
        <f>'Ideal Plaza'!G17+'Salt Lake JC -21'!G17+'Forum Mall'!G17+'Lake Town'!G17+'Quest Mall'!G17+'Rosedale Plaza'!G17+'Mani Square Mall'!G17+'Forum Rangoli'!G17+CSC!G17+Jameslong!G17+Technopolis!G17+Santoshpur!G17+'Chinar Park'!G17+'Lake Road'!G17+Kalikapur!G17+'Event Sales'!G17+'Sector 1'!G17</f>
        <v>588948</v>
      </c>
      <c r="I18" s="11">
        <f>'Ideal Plaza'!H17+'Salt Lake JC -21'!H17+'Forum Mall'!H17+'Lake Town'!H17+'Quest Mall'!H17+'Rosedale Plaza'!H17+'Mani Square Mall'!H17+'Forum Rangoli'!H17+CSC!H17+Jameslong!H17+Technopolis!H17+Santoshpur!H17+'Chinar Park'!H17+'Lake Road'!H17+Kalikapur!H17+'Event Sales'!H17+'Sector 1'!H17</f>
        <v>0</v>
      </c>
      <c r="J18" s="11">
        <f>'Ideal Plaza'!I17+'Salt Lake JC -21'!I17+'Forum Mall'!I17+'Lake Town'!I17+'Quest Mall'!I17+'Rosedale Plaza'!I17+'Mani Square Mall'!I17+'Forum Rangoli'!I17+CSC!I17+Jameslong!I17+Technopolis!I17+Santoshpur!I17+'Chinar Park'!I17+'Lake Road'!I17+Kalikapur!I17+'Event Sales'!I17+'Sector 1'!I17</f>
        <v>0</v>
      </c>
      <c r="K18" s="11">
        <f>'Ideal Plaza'!J17+'Salt Lake JC -21'!J17+'Forum Mall'!J17+'Lake Town'!J17+'Quest Mall'!J17+'Rosedale Plaza'!J17+'Mani Square Mall'!J17+'Forum Rangoli'!J17+CSC!J17+Jameslong!J17+Technopolis!J17+Santoshpur!J17+'Chinar Park'!J17+'Lake Road'!J17+Kalikapur!J17+'Event Sales'!J17+'Sector 1'!J17</f>
        <v>0</v>
      </c>
      <c r="L18" s="11">
        <f>'Ideal Plaza'!K17+'Salt Lake JC -21'!K17+'Forum Mall'!K17+'Lake Town'!K17+'Quest Mall'!K17+'Rosedale Plaza'!K17+'Mani Square Mall'!K17+'Forum Rangoli'!K17+CSC!K17+Jameslong!K17+Technopolis!K17+Santoshpur!K17+'Chinar Park'!K17+'Lake Road'!K17+Kalikapur!K17+'Event Sales'!K17+'Sector 1'!K17</f>
        <v>0</v>
      </c>
      <c r="M18" s="11">
        <f>'Ideal Plaza'!L17+'Salt Lake JC -21'!L17+'Forum Mall'!L17+'Lake Town'!L17+'Quest Mall'!L17+'Rosedale Plaza'!L17+'Mani Square Mall'!L17+'Forum Rangoli'!L17+CSC!L17+Jameslong!L17+Technopolis!L17+Santoshpur!L17+'Chinar Park'!L17+'Lake Road'!L17+Kalikapur!L17+'Event Sales'!L17+'Sector 1'!L17</f>
        <v>0</v>
      </c>
      <c r="N18" s="11">
        <f>'Ideal Plaza'!M17+'Salt Lake JC -21'!M17+'Forum Mall'!M17+'Lake Town'!M17+'Quest Mall'!M17+'Rosedale Plaza'!M17+'Mani Square Mall'!M17+'Forum Rangoli'!M17+CSC!M17+Jameslong!M17+Technopolis!M17+Santoshpur!M17+'Chinar Park'!M17+'Lake Road'!M17+Kalikapur!M17+'Event Sales'!M17+'Sector 1'!M17</f>
        <v>0</v>
      </c>
      <c r="O18" s="14">
        <f t="shared" si="6"/>
        <v>3404759.12</v>
      </c>
      <c r="P18" s="77">
        <f t="shared" si="7"/>
        <v>0.02558656083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8" t="s">
        <v>24</v>
      </c>
      <c r="B19" s="79" t="s">
        <v>50</v>
      </c>
      <c r="C19" s="11">
        <f>'Ideal Plaza'!B18+'Salt Lake JC -21'!B18+'Forum Mall'!B18+'Lake Town'!B18+'Quest Mall'!B18+'Rosedale Plaza'!B18+'Mani Square Mall'!B18+'Forum Rangoli'!B18+CSC!B18+Jameslong!B18+Technopolis!B18+Santoshpur!B18+'Chinar Park'!B18+'Lake Road'!B18+Kalikapur!B18+'Event Sales'!B18+'Sector 1'!B18</f>
        <v>2187486.778</v>
      </c>
      <c r="D19" s="11">
        <f>'Ideal Plaza'!C18+'Salt Lake JC -21'!C18+'Forum Mall'!C18+'Lake Town'!C18+'Quest Mall'!C18+'Rosedale Plaza'!C18+'Mani Square Mall'!C18+'Forum Rangoli'!C18+CSC!C18+Jameslong!C18+Technopolis!C18+Santoshpur!C18+'Chinar Park'!C18+'Lake Road'!C18+Kalikapur!C18+'Event Sales'!C18+'Sector 1'!C18</f>
        <v>2326525.062</v>
      </c>
      <c r="E19" s="11">
        <f>'Ideal Plaza'!D18+'Salt Lake JC -21'!D18+'Forum Mall'!D18+'Lake Town'!D18+'Quest Mall'!D18+'Rosedale Plaza'!D18+'Mani Square Mall'!D18+'Forum Rangoli'!D18+CSC!D18+Jameslong!D18+Technopolis!D18+Santoshpur!D18+'Chinar Park'!D18+'Lake Road'!D18+Kalikapur!D18+'Event Sales'!D18+'Sector 1'!D18</f>
        <v>2320904.027</v>
      </c>
      <c r="F19" s="11">
        <f>'Ideal Plaza'!E18+'Salt Lake JC -21'!E18+'Forum Mall'!E18+'Lake Town'!E18+'Quest Mall'!E18+'Rosedale Plaza'!E18+'Mani Square Mall'!E18+'Forum Rangoli'!E18+CSC!E18+Jameslong!E18+Technopolis!E18+Santoshpur!E18+'Chinar Park'!E18+'Lake Road'!E18+Kalikapur!E18+'Event Sales'!E18+'Sector 1'!E18</f>
        <v>2364561.037</v>
      </c>
      <c r="G19" s="11">
        <f>'Ideal Plaza'!F18+'Salt Lake JC -21'!F18+'Forum Mall'!F18+'Lake Town'!F18+'Quest Mall'!F18+'Rosedale Plaza'!F18+'Mani Square Mall'!F18+'Forum Rangoli'!F18+CSC!F18+Jameslong!F18+Technopolis!F18+Santoshpur!F18+'Chinar Park'!F18+'Lake Road'!F18+Kalikapur!F18+'Event Sales'!F18+'Sector 1'!F18</f>
        <v>2473572.001</v>
      </c>
      <c r="H19" s="11">
        <f>'Ideal Plaza'!G18+'Salt Lake JC -21'!G18+'Forum Mall'!G18+'Lake Town'!G18+'Quest Mall'!G18+'Rosedale Plaza'!G18+'Mani Square Mall'!G18+'Forum Rangoli'!G18+CSC!G18+Jameslong!G18+Technopolis!G18+Santoshpur!G18+'Chinar Park'!G18+'Lake Road'!G18+Kalikapur!G18+'Event Sales'!G18+'Sector 1'!G18</f>
        <v>2367592.957</v>
      </c>
      <c r="I19" s="11">
        <f>'Ideal Plaza'!H18+'Salt Lake JC -21'!H18+'Forum Mall'!H18+'Lake Town'!H18+'Quest Mall'!H18+'Rosedale Plaza'!H18+'Mani Square Mall'!H18+'Forum Rangoli'!H18+CSC!H18+Jameslong!H18+Technopolis!H18+Santoshpur!H18+'Chinar Park'!H18+'Lake Road'!H18+Kalikapur!H18+'Event Sales'!H18+'Sector 1'!H18</f>
        <v>0</v>
      </c>
      <c r="J19" s="11">
        <f>'Ideal Plaza'!I18+'Salt Lake JC -21'!I18+'Forum Mall'!I18+'Lake Town'!I18+'Quest Mall'!I18+'Rosedale Plaza'!I18+'Mani Square Mall'!I18+'Forum Rangoli'!I18+CSC!I18+Jameslong!I18+Technopolis!I18+Santoshpur!I18+'Chinar Park'!I18+'Lake Road'!I18+Kalikapur!I18+'Event Sales'!I18+'Sector 1'!I18</f>
        <v>0</v>
      </c>
      <c r="K19" s="11">
        <f>'Ideal Plaza'!J18+'Salt Lake JC -21'!J18+'Forum Mall'!J18+'Lake Town'!J18+'Quest Mall'!J18+'Rosedale Plaza'!J18+'Mani Square Mall'!J18+'Forum Rangoli'!J18+CSC!J18+Jameslong!J18+Technopolis!J18+Santoshpur!J18+'Chinar Park'!J18+'Lake Road'!J18+Kalikapur!J18+'Event Sales'!J18+'Sector 1'!J18</f>
        <v>0</v>
      </c>
      <c r="L19" s="11">
        <f>'Ideal Plaza'!K18+'Salt Lake JC -21'!K18+'Forum Mall'!K18+'Lake Town'!K18+'Quest Mall'!K18+'Rosedale Plaza'!K18+'Mani Square Mall'!K18+'Forum Rangoli'!K18+CSC!K18+Jameslong!K18+Technopolis!K18+Santoshpur!K18+'Chinar Park'!K18+'Lake Road'!K18+Kalikapur!K18+'Event Sales'!K18+'Sector 1'!K18</f>
        <v>0</v>
      </c>
      <c r="M19" s="11">
        <f>'Ideal Plaza'!L18+'Salt Lake JC -21'!L18+'Forum Mall'!L18+'Lake Town'!L18+'Quest Mall'!L18+'Rosedale Plaza'!L18+'Mani Square Mall'!L18+'Forum Rangoli'!L18+CSC!L18+Jameslong!L18+Technopolis!L18+Santoshpur!L18+'Chinar Park'!L18+'Lake Road'!L18+Kalikapur!L18+'Event Sales'!L18+'Sector 1'!L18</f>
        <v>0</v>
      </c>
      <c r="N19" s="11">
        <f>'Ideal Plaza'!M18+'Salt Lake JC -21'!M18+'Forum Mall'!M18+'Lake Town'!M18+'Quest Mall'!M18+'Rosedale Plaza'!M18+'Mani Square Mall'!M18+'Forum Rangoli'!M18+CSC!M18+Jameslong!M18+Technopolis!M18+Santoshpur!M18+'Chinar Park'!M18+'Lake Road'!M18+Kalikapur!M18+'Event Sales'!M18+'Sector 1'!M18</f>
        <v>0</v>
      </c>
      <c r="O19" s="14">
        <f t="shared" si="6"/>
        <v>14040641.86</v>
      </c>
      <c r="P19" s="77">
        <f t="shared" si="7"/>
        <v>0.1055145825</v>
      </c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18" t="s">
        <v>25</v>
      </c>
      <c r="B20" s="79" t="s">
        <v>40</v>
      </c>
      <c r="C20" s="11">
        <f>'Ideal Plaza'!B19+'Salt Lake JC -21'!B19+'Forum Mall'!B19+'Lake Town'!B19+'Quest Mall'!B19+'Rosedale Plaza'!B19+'Mani Square Mall'!B19+'Forum Rangoli'!B19+CSC!B19+Jameslong!B19+Technopolis!B19+Santoshpur!B19+'Chinar Park'!B19+'Lake Road'!B19+Kalikapur!B19+'Event Sales'!B19+'Sector 1'!B19</f>
        <v>72993.57</v>
      </c>
      <c r="D20" s="11">
        <f>'Ideal Plaza'!C19+'Salt Lake JC -21'!C19+'Forum Mall'!C19+'Lake Town'!C19+'Quest Mall'!C19+'Rosedale Plaza'!C19+'Mani Square Mall'!C19+'Forum Rangoli'!C19+CSC!C19+Jameslong!C19+Technopolis!C19+Santoshpur!C19+'Chinar Park'!C19+'Lake Road'!C19+Kalikapur!C19+'Event Sales'!C19+'Sector 1'!C19</f>
        <v>72993.57</v>
      </c>
      <c r="E20" s="11">
        <f>'Ideal Plaza'!D19+'Salt Lake JC -21'!D19+'Forum Mall'!D19+'Lake Town'!D19+'Quest Mall'!D19+'Rosedale Plaza'!D19+'Mani Square Mall'!D19+'Forum Rangoli'!D19+CSC!D19+Jameslong!D19+Technopolis!D19+Santoshpur!D19+'Chinar Park'!D19+'Lake Road'!D19+Kalikapur!D19+'Event Sales'!D19+'Sector 1'!D19</f>
        <v>72993.57</v>
      </c>
      <c r="F20" s="11">
        <f>'Ideal Plaza'!E19+'Salt Lake JC -21'!E19+'Forum Mall'!E19+'Lake Town'!E19+'Quest Mall'!E19+'Rosedale Plaza'!E19+'Mani Square Mall'!E19+'Forum Rangoli'!E19+CSC!E19+Jameslong!E19+Technopolis!E19+Santoshpur!E19+'Chinar Park'!E19+'Lake Road'!E19+Kalikapur!E19+'Event Sales'!E19+'Sector 1'!E19</f>
        <v>72993.57</v>
      </c>
      <c r="G20" s="11">
        <f>'Ideal Plaza'!F19+'Salt Lake JC -21'!F19+'Forum Mall'!F19+'Lake Town'!F19+'Quest Mall'!F19+'Rosedale Plaza'!F19+'Mani Square Mall'!F19+'Forum Rangoli'!F19+CSC!F19+Jameslong!F19+Technopolis!F19+Santoshpur!F19+'Chinar Park'!F19+'Lake Road'!F19+Kalikapur!F19+'Event Sales'!F19+'Sector 1'!F19</f>
        <v>73035.07</v>
      </c>
      <c r="H20" s="11">
        <f>'Ideal Plaza'!G19+'Salt Lake JC -21'!G19+'Forum Mall'!G19+'Lake Town'!G19+'Quest Mall'!G19+'Rosedale Plaza'!G19+'Mani Square Mall'!G19+'Forum Rangoli'!G19+CSC!G19+Jameslong!G19+Technopolis!G19+Santoshpur!G19+'Chinar Park'!G19+'Lake Road'!G19+Kalikapur!G19+'Event Sales'!G19+'Sector 1'!G19</f>
        <v>73035.07</v>
      </c>
      <c r="I20" s="11">
        <f>'Ideal Plaza'!H19+'Salt Lake JC -21'!H19+'Forum Mall'!H19+'Lake Town'!H19+'Quest Mall'!H19+'Rosedale Plaza'!H19+'Mani Square Mall'!H19+'Forum Rangoli'!H19+CSC!H19+Jameslong!H19+Technopolis!H19+Santoshpur!H19+'Chinar Park'!H19+'Lake Road'!H19+Kalikapur!H19+'Event Sales'!H19+'Sector 1'!H19</f>
        <v>11534.5</v>
      </c>
      <c r="J20" s="11">
        <f>'Ideal Plaza'!I19+'Salt Lake JC -21'!I19+'Forum Mall'!I19+'Lake Town'!I19+'Quest Mall'!I19+'Rosedale Plaza'!I19+'Mani Square Mall'!I19+'Forum Rangoli'!I19+CSC!I19+Jameslong!I19+Technopolis!I19+Santoshpur!I19+'Chinar Park'!I19+'Lake Road'!I19+Kalikapur!I19+'Event Sales'!I19+'Sector 1'!I19</f>
        <v>11534.5</v>
      </c>
      <c r="K20" s="11">
        <f>'Ideal Plaza'!J19+'Salt Lake JC -21'!J19+'Forum Mall'!J19+'Lake Town'!J19+'Quest Mall'!J19+'Rosedale Plaza'!J19+'Mani Square Mall'!J19+'Forum Rangoli'!J19+CSC!J19+Jameslong!J19+Technopolis!J19+Santoshpur!J19+'Chinar Park'!J19+'Lake Road'!J19+Kalikapur!J19+'Event Sales'!J19+'Sector 1'!J19</f>
        <v>11534.5</v>
      </c>
      <c r="L20" s="11">
        <f>'Ideal Plaza'!K19+'Salt Lake JC -21'!K19+'Forum Mall'!K19+'Lake Town'!K19+'Quest Mall'!K19+'Rosedale Plaza'!K19+'Mani Square Mall'!K19+'Forum Rangoli'!K19+CSC!K19+Jameslong!K19+Technopolis!K19+Santoshpur!K19+'Chinar Park'!K19+'Lake Road'!K19+Kalikapur!K19+'Event Sales'!K19+'Sector 1'!K19</f>
        <v>11534.5</v>
      </c>
      <c r="M20" s="11">
        <f>'Ideal Plaza'!L19+'Salt Lake JC -21'!L19+'Forum Mall'!L19+'Lake Town'!L19+'Quest Mall'!L19+'Rosedale Plaza'!L19+'Mani Square Mall'!L19+'Forum Rangoli'!L19+CSC!L19+Jameslong!L19+Technopolis!L19+Santoshpur!L19+'Chinar Park'!L19+'Lake Road'!L19+Kalikapur!L19+'Event Sales'!L19+'Sector 1'!L19</f>
        <v>11534.5</v>
      </c>
      <c r="N20" s="11">
        <f>'Ideal Plaza'!M19+'Salt Lake JC -21'!M19+'Forum Mall'!M19+'Lake Town'!M19+'Quest Mall'!M19+'Rosedale Plaza'!M19+'Mani Square Mall'!M19+'Forum Rangoli'!M19+CSC!M19+Jameslong!M19+Technopolis!M19+Santoshpur!M19+'Chinar Park'!M19+'Lake Road'!M19+Kalikapur!M19+'Event Sales'!M19+'Sector 1'!M19</f>
        <v>11534.5</v>
      </c>
      <c r="O20" s="14">
        <f t="shared" si="6"/>
        <v>507251.42</v>
      </c>
      <c r="P20" s="77">
        <f t="shared" si="7"/>
        <v>0.003811964035</v>
      </c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18" t="s">
        <v>45</v>
      </c>
      <c r="B21" s="79" t="s">
        <v>53</v>
      </c>
      <c r="C21" s="11">
        <f>'Ideal Plaza'!B20+'Salt Lake JC -21'!B20+'Forum Mall'!B20+'Lake Town'!B20+'Quest Mall'!B20+'Rosedale Plaza'!B20+'Mani Square Mall'!B20+'Forum Rangoli'!B20+CSC!B20+Jameslong!B20+Technopolis!B20+Santoshpur!B20+'Chinar Park'!B20+'Lake Road'!B20+Kalikapur!B20+'Event Sales'!B20+'Sector 1'!B20</f>
        <v>3298909</v>
      </c>
      <c r="D21" s="11">
        <f>'Ideal Plaza'!C20+'Salt Lake JC -21'!C20+'Forum Mall'!C20+'Lake Town'!C20+'Quest Mall'!C20+'Rosedale Plaza'!C20+'Mani Square Mall'!C20+'Forum Rangoli'!C20+CSC!C20+Jameslong!C20+Technopolis!C20+Santoshpur!C20+'Chinar Park'!C20+'Lake Road'!C20+Kalikapur!C20+'Event Sales'!C20+'Sector 1'!C20</f>
        <v>3578266</v>
      </c>
      <c r="E21" s="11">
        <f>'Ideal Plaza'!D20+'Salt Lake JC -21'!D20+'Forum Mall'!D20+'Lake Town'!D20+'Quest Mall'!D20+'Rosedale Plaza'!D20+'Mani Square Mall'!D20+'Forum Rangoli'!D20+CSC!D20+Jameslong!D20+Technopolis!D20+Santoshpur!D20+'Chinar Park'!D20+'Lake Road'!D20+Kalikapur!D20+'Event Sales'!D20+'Sector 1'!D20</f>
        <v>3621953.36</v>
      </c>
      <c r="F21" s="11">
        <f>'Ideal Plaza'!E20+'Salt Lake JC -21'!E20+'Forum Mall'!E20+'Lake Town'!E20+'Quest Mall'!E20+'Rosedale Plaza'!E20+'Mani Square Mall'!E20+'Forum Rangoli'!E20+CSC!E20+Jameslong!E20+Technopolis!E20+Santoshpur!E20+'Chinar Park'!E20+'Lake Road'!E20+Kalikapur!E20+'Event Sales'!E20+'Sector 1'!E20</f>
        <v>3670111.91</v>
      </c>
      <c r="G21" s="11">
        <f>'Ideal Plaza'!F20+'Salt Lake JC -21'!F20+'Forum Mall'!F20+'Lake Town'!F20+'Quest Mall'!F20+'Rosedale Plaza'!F20+'Mani Square Mall'!F20+'Forum Rangoli'!F20+CSC!F20+Jameslong!F20+Technopolis!F20+Santoshpur!F20+'Chinar Park'!F20+'Lake Road'!F20+Kalikapur!F20+'Event Sales'!F20+'Sector 1'!F20</f>
        <v>3488719.05</v>
      </c>
      <c r="H21" s="11">
        <f>'Ideal Plaza'!G20+'Salt Lake JC -21'!G20+'Forum Mall'!G20+'Lake Town'!G20+'Quest Mall'!G20+'Rosedale Plaza'!G20+'Mani Square Mall'!G20+'Forum Rangoli'!G20+CSC!G20+Jameslong!G20+Technopolis!G20+Santoshpur!G20+'Chinar Park'!G20+'Lake Road'!G20+Kalikapur!G20+'Event Sales'!G20+'Sector 1'!G20</f>
        <v>3541701</v>
      </c>
      <c r="I21" s="11">
        <f>'Ideal Plaza'!H20+'Salt Lake JC -21'!H20+'Forum Mall'!H20+'Lake Town'!H20+'Quest Mall'!H20+'Rosedale Plaza'!H20+'Mani Square Mall'!H20+'Forum Rangoli'!H20+CSC!H20+Jameslong!H20+Technopolis!H20+Santoshpur!H20+'Chinar Park'!H20+'Lake Road'!H20+Kalikapur!H20+'Event Sales'!H20+'Sector 1'!H20</f>
        <v>0</v>
      </c>
      <c r="J21" s="11">
        <f>'Ideal Plaza'!I20+'Salt Lake JC -21'!I20+'Forum Mall'!I20+'Lake Town'!I20+'Quest Mall'!I20+'Rosedale Plaza'!I20+'Mani Square Mall'!I20+'Forum Rangoli'!I20+CSC!I20+Jameslong!I20+Technopolis!I20+Santoshpur!I20+'Chinar Park'!I20+'Lake Road'!I20+Kalikapur!I20+'Event Sales'!I20+'Sector 1'!I20</f>
        <v>0</v>
      </c>
      <c r="K21" s="11">
        <f>'Ideal Plaza'!J20+'Salt Lake JC -21'!J20+'Forum Mall'!J20+'Lake Town'!J20+'Quest Mall'!J20+'Rosedale Plaza'!J20+'Mani Square Mall'!J20+'Forum Rangoli'!J20+CSC!J20+Jameslong!J20+Technopolis!J20+Santoshpur!J20+'Chinar Park'!J20+'Lake Road'!J20+Kalikapur!J20+'Event Sales'!J20+'Sector 1'!J20</f>
        <v>0</v>
      </c>
      <c r="L21" s="11">
        <f>'Ideal Plaza'!K20+'Salt Lake JC -21'!K20+'Forum Mall'!K20+'Lake Town'!K20+'Quest Mall'!K20+'Rosedale Plaza'!K20+'Mani Square Mall'!K20+'Forum Rangoli'!K20+CSC!K20+Jameslong!K20+Technopolis!K20+Santoshpur!K20+'Chinar Park'!K20+'Lake Road'!K20+Kalikapur!K20+'Event Sales'!K20+'Sector 1'!K20</f>
        <v>0</v>
      </c>
      <c r="M21" s="11">
        <f>'Ideal Plaza'!L20+'Salt Lake JC -21'!L20+'Forum Mall'!L20+'Lake Town'!L20+'Quest Mall'!L20+'Rosedale Plaza'!L20+'Mani Square Mall'!L20+'Forum Rangoli'!L20+CSC!L20+Jameslong!L20+Technopolis!L20+Santoshpur!L20+'Chinar Park'!L20+'Lake Road'!L20+Kalikapur!L20+'Event Sales'!L20+'Sector 1'!L20</f>
        <v>0</v>
      </c>
      <c r="N21" s="11">
        <f>'Ideal Plaza'!M20+'Salt Lake JC -21'!M20+'Forum Mall'!M20+'Lake Town'!M20+'Quest Mall'!M20+'Rosedale Plaza'!M20+'Mani Square Mall'!M20+'Forum Rangoli'!M20+CSC!M20+Jameslong!M20+Technopolis!M20+Santoshpur!M20+'Chinar Park'!M20+'Lake Road'!M20+Kalikapur!M20+'Event Sales'!M20+'Sector 1'!M20</f>
        <v>0</v>
      </c>
      <c r="O21" s="14">
        <f t="shared" si="6"/>
        <v>21199660.32</v>
      </c>
      <c r="P21" s="77">
        <f t="shared" si="7"/>
        <v>0.1593141774</v>
      </c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10" t="s">
        <v>27</v>
      </c>
      <c r="B22" s="79" t="s">
        <v>40</v>
      </c>
      <c r="C22" s="11">
        <f>'Ideal Plaza'!B21+'Salt Lake JC -21'!B21+'Forum Mall'!B21+'Lake Town'!B21+'Quest Mall'!B21+'Rosedale Plaza'!B21+'Mani Square Mall'!B21+'Forum Rangoli'!B21+CSC!B21+Jameslong!B21+Technopolis!B21+Santoshpur!B21+'Chinar Park'!B21+'Lake Road'!B21+Kalikapur!B21+'Event Sales'!B21+'Sector 1'!B21</f>
        <v>125462</v>
      </c>
      <c r="D22" s="11">
        <f>'Ideal Plaza'!C21+'Salt Lake JC -21'!C21+'Forum Mall'!C21+'Lake Town'!C21+'Quest Mall'!C21+'Rosedale Plaza'!C21+'Mani Square Mall'!C21+'Forum Rangoli'!C21+CSC!C21+Jameslong!C21+Technopolis!C21+Santoshpur!C21+'Chinar Park'!C21+'Lake Road'!C21+Kalikapur!C21+'Event Sales'!C21+'Sector 1'!C21</f>
        <v>136575</v>
      </c>
      <c r="E22" s="11">
        <f>'Ideal Plaza'!D21+'Salt Lake JC -21'!D21+'Forum Mall'!D21+'Lake Town'!D21+'Quest Mall'!D21+'Rosedale Plaza'!D21+'Mani Square Mall'!D21+'Forum Rangoli'!D21+CSC!D21+Jameslong!D21+Technopolis!D21+Santoshpur!D21+'Chinar Park'!D21+'Lake Road'!D21+Kalikapur!D21+'Event Sales'!D21+'Sector 1'!D21</f>
        <v>128253</v>
      </c>
      <c r="F22" s="11">
        <f>'Ideal Plaza'!E21+'Salt Lake JC -21'!E21+'Forum Mall'!E21+'Lake Town'!E21+'Quest Mall'!E21+'Rosedale Plaza'!E21+'Mani Square Mall'!E21+'Forum Rangoli'!E21+CSC!E21+Jameslong!E21+Technopolis!E21+Santoshpur!E21+'Chinar Park'!E21+'Lake Road'!E21+Kalikapur!E21+'Event Sales'!E21+'Sector 1'!E21</f>
        <v>124135</v>
      </c>
      <c r="G22" s="11">
        <f>'Ideal Plaza'!F21+'Salt Lake JC -21'!F21+'Forum Mall'!F21+'Lake Town'!F21+'Quest Mall'!F21+'Rosedale Plaza'!F21+'Mani Square Mall'!F21+'Forum Rangoli'!F21+CSC!F21+Jameslong!F21+Technopolis!F21+Santoshpur!F21+'Chinar Park'!F21+'Lake Road'!F21+Kalikapur!F21+'Event Sales'!F21+'Sector 1'!F21</f>
        <v>130632</v>
      </c>
      <c r="H22" s="11">
        <f>'Ideal Plaza'!G21+'Salt Lake JC -21'!G21+'Forum Mall'!G21+'Lake Town'!G21+'Quest Mall'!G21+'Rosedale Plaza'!G21+'Mani Square Mall'!G21+'Forum Rangoli'!G21+CSC!G21+Jameslong!G21+Technopolis!G21+Santoshpur!G21+'Chinar Park'!G21+'Lake Road'!G21+Kalikapur!G21+'Event Sales'!G21+'Sector 1'!G21</f>
        <v>130632</v>
      </c>
      <c r="I22" s="11">
        <f>'Ideal Plaza'!H21+'Salt Lake JC -21'!H21+'Forum Mall'!H21+'Lake Town'!H21+'Quest Mall'!H21+'Rosedale Plaza'!H21+'Mani Square Mall'!H21+'Forum Rangoli'!H21+CSC!H21+Jameslong!H21+Technopolis!H21+Santoshpur!H21+'Chinar Park'!H21+'Lake Road'!H21+Kalikapur!H21+'Event Sales'!H21+'Sector 1'!H21</f>
        <v>0</v>
      </c>
      <c r="J22" s="11">
        <f>'Ideal Plaza'!I21+'Salt Lake JC -21'!I21+'Forum Mall'!I21+'Lake Town'!I21+'Quest Mall'!I21+'Rosedale Plaza'!I21+'Mani Square Mall'!I21+'Forum Rangoli'!I21+CSC!I21+Jameslong!I21+Technopolis!I21+Santoshpur!I21+'Chinar Park'!I21+'Lake Road'!I21+Kalikapur!I21+'Event Sales'!I21+'Sector 1'!I21</f>
        <v>0</v>
      </c>
      <c r="K22" s="11">
        <f>'Ideal Plaza'!J21+'Salt Lake JC -21'!J21+'Forum Mall'!J21+'Lake Town'!J21+'Quest Mall'!J21+'Rosedale Plaza'!J21+'Mani Square Mall'!J21+'Forum Rangoli'!J21+CSC!J21+Jameslong!J21+Technopolis!J21+Santoshpur!J21+'Chinar Park'!J21+'Lake Road'!J21+Kalikapur!J21+'Event Sales'!J21+'Sector 1'!J21</f>
        <v>0</v>
      </c>
      <c r="L22" s="11">
        <f>'Ideal Plaza'!K21+'Salt Lake JC -21'!K21+'Forum Mall'!K21+'Lake Town'!K21+'Quest Mall'!K21+'Rosedale Plaza'!K21+'Mani Square Mall'!K21+'Forum Rangoli'!K21+CSC!K21+Jameslong!K21+Technopolis!K21+Santoshpur!K21+'Chinar Park'!K21+'Lake Road'!K21+Kalikapur!K21+'Event Sales'!K21+'Sector 1'!K21</f>
        <v>0</v>
      </c>
      <c r="M22" s="11">
        <f>'Ideal Plaza'!L21+'Salt Lake JC -21'!L21+'Forum Mall'!L21+'Lake Town'!L21+'Quest Mall'!L21+'Rosedale Plaza'!L21+'Mani Square Mall'!L21+'Forum Rangoli'!L21+CSC!L21+Jameslong!L21+Technopolis!L21+Santoshpur!L21+'Chinar Park'!L21+'Lake Road'!L21+Kalikapur!L21+'Event Sales'!L21+'Sector 1'!L21</f>
        <v>0</v>
      </c>
      <c r="N22" s="11">
        <f>'Ideal Plaza'!M21+'Salt Lake JC -21'!M21+'Forum Mall'!M21+'Lake Town'!M21+'Quest Mall'!M21+'Rosedale Plaza'!M21+'Mani Square Mall'!M21+'Forum Rangoli'!M21+CSC!M21+Jameslong!M21+Technopolis!M21+Santoshpur!M21+'Chinar Park'!M21+'Lake Road'!M21+Kalikapur!M21+'Event Sales'!M21+'Sector 1'!M21</f>
        <v>0</v>
      </c>
      <c r="O22" s="14">
        <f t="shared" si="6"/>
        <v>775689</v>
      </c>
      <c r="P22" s="77">
        <f t="shared" si="7"/>
        <v>0.005829256369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30" t="s">
        <v>28</v>
      </c>
      <c r="B23" s="79" t="s">
        <v>40</v>
      </c>
      <c r="C23" s="11">
        <f>'Ideal Plaza'!B22+'Salt Lake JC -21'!B22+'Forum Mall'!B22+'Lake Town'!B22+'Quest Mall'!B22+'Rosedale Plaza'!B22+'Mani Square Mall'!B22+'Forum Rangoli'!B22+CSC!B22+Jameslong!B22+Technopolis!B22+Santoshpur!B22+'Chinar Park'!B22+'Lake Road'!B22+Kalikapur!B22+'Event Sales'!B22+'Sector 1'!B22</f>
        <v>50296.36</v>
      </c>
      <c r="D23" s="11">
        <f>'Ideal Plaza'!C22+'Salt Lake JC -21'!C22+'Forum Mall'!C22+'Lake Town'!C22+'Quest Mall'!C22+'Rosedale Plaza'!C22+'Mani Square Mall'!C22+'Forum Rangoli'!C22+CSC!C22+Jameslong!C22+Technopolis!C22+Santoshpur!C22+'Chinar Park'!C22+'Lake Road'!C22+Kalikapur!C22+'Event Sales'!C22+'Sector 1'!C22</f>
        <v>50296.36</v>
      </c>
      <c r="E23" s="11">
        <f>'Ideal Plaza'!D22+'Salt Lake JC -21'!D22+'Forum Mall'!D22+'Lake Town'!D22+'Quest Mall'!D22+'Rosedale Plaza'!D22+'Mani Square Mall'!D22+'Forum Rangoli'!D22+CSC!D22+Jameslong!D22+Technopolis!D22+Santoshpur!D22+'Chinar Park'!D22+'Lake Road'!D22+Kalikapur!D22+'Event Sales'!D22+'Sector 1'!D22</f>
        <v>50296.36</v>
      </c>
      <c r="F23" s="11">
        <f>'Ideal Plaza'!E22+'Salt Lake JC -21'!E22+'Forum Mall'!E22+'Lake Town'!E22+'Quest Mall'!E22+'Rosedale Plaza'!E22+'Mani Square Mall'!E22+'Forum Rangoli'!E22+CSC!E22+Jameslong!E22+Technopolis!E22+Santoshpur!E22+'Chinar Park'!E22+'Lake Road'!E22+Kalikapur!E22+'Event Sales'!E22+'Sector 1'!E22</f>
        <v>50296.36</v>
      </c>
      <c r="G23" s="11">
        <f>'Ideal Plaza'!F22+'Salt Lake JC -21'!F22+'Forum Mall'!F22+'Lake Town'!F22+'Quest Mall'!F22+'Rosedale Plaza'!F22+'Mani Square Mall'!F22+'Forum Rangoli'!F22+CSC!F22+Jameslong!F22+Technopolis!F22+Santoshpur!F22+'Chinar Park'!F22+'Lake Road'!F22+Kalikapur!F22+'Event Sales'!F22+'Sector 1'!F22</f>
        <v>50296.36</v>
      </c>
      <c r="H23" s="11">
        <f>'Ideal Plaza'!G22+'Salt Lake JC -21'!G22+'Forum Mall'!G22+'Lake Town'!G22+'Quest Mall'!G22+'Rosedale Plaza'!G22+'Mani Square Mall'!G22+'Forum Rangoli'!G22+CSC!G22+Jameslong!G22+Technopolis!G22+Santoshpur!G22+'Chinar Park'!G22+'Lake Road'!G22+Kalikapur!G22+'Event Sales'!G22+'Sector 1'!G22</f>
        <v>50296.36</v>
      </c>
      <c r="I23" s="11">
        <f>'Ideal Plaza'!H22+'Salt Lake JC -21'!H22+'Forum Mall'!H22+'Lake Town'!H22+'Quest Mall'!H22+'Rosedale Plaza'!H22+'Mani Square Mall'!H22+'Forum Rangoli'!H22+CSC!H22+Jameslong!H22+Technopolis!H22+Santoshpur!H22+'Chinar Park'!H22+'Lake Road'!H22+Kalikapur!H22+'Event Sales'!H22+'Sector 1'!H22</f>
        <v>18919.16</v>
      </c>
      <c r="J23" s="11">
        <f>'Ideal Plaza'!I22+'Salt Lake JC -21'!I22+'Forum Mall'!I22+'Lake Town'!I22+'Quest Mall'!I22+'Rosedale Plaza'!I22+'Mani Square Mall'!I22+'Forum Rangoli'!I22+CSC!I22+Jameslong!I22+Technopolis!I22+Santoshpur!I22+'Chinar Park'!I22+'Lake Road'!I22+Kalikapur!I22+'Event Sales'!I22+'Sector 1'!I22</f>
        <v>17490.44</v>
      </c>
      <c r="K23" s="11">
        <f>'Ideal Plaza'!J22+'Salt Lake JC -21'!J22+'Forum Mall'!J22+'Lake Town'!J22+'Quest Mall'!J22+'Rosedale Plaza'!J22+'Mani Square Mall'!J22+'Forum Rangoli'!J22+CSC!J22+Jameslong!J22+Technopolis!J22+Santoshpur!J22+'Chinar Park'!J22+'Lake Road'!J22+Kalikapur!J22+'Event Sales'!J22+'Sector 1'!J22</f>
        <v>17490.44</v>
      </c>
      <c r="L23" s="11">
        <f>'Ideal Plaza'!K22+'Salt Lake JC -21'!K22+'Forum Mall'!K22+'Lake Town'!K22+'Quest Mall'!K22+'Rosedale Plaza'!K22+'Mani Square Mall'!K22+'Forum Rangoli'!K22+CSC!K22+Jameslong!K22+Technopolis!K22+Santoshpur!K22+'Chinar Park'!K22+'Lake Road'!K22+Kalikapur!K22+'Event Sales'!K22+'Sector 1'!K22</f>
        <v>17490.44</v>
      </c>
      <c r="M23" s="11">
        <f>'Ideal Plaza'!L22+'Salt Lake JC -21'!L22+'Forum Mall'!L22+'Lake Town'!L22+'Quest Mall'!L22+'Rosedale Plaza'!L22+'Mani Square Mall'!L22+'Forum Rangoli'!L22+CSC!L22+Jameslong!L22+Technopolis!L22+Santoshpur!L22+'Chinar Park'!L22+'Lake Road'!L22+Kalikapur!L22+'Event Sales'!L22+'Sector 1'!L22</f>
        <v>17490.44</v>
      </c>
      <c r="N23" s="11">
        <f>'Ideal Plaza'!M22+'Salt Lake JC -21'!M22+'Forum Mall'!M22+'Lake Town'!M22+'Quest Mall'!M22+'Rosedale Plaza'!M22+'Mani Square Mall'!M22+'Forum Rangoli'!M22+CSC!M22+Jameslong!M22+Technopolis!M22+Santoshpur!M22+'Chinar Park'!M22+'Lake Road'!M22+Kalikapur!M22+'Event Sales'!M22+'Sector 1'!M22</f>
        <v>17490.44</v>
      </c>
      <c r="O23" s="14">
        <f t="shared" si="6"/>
        <v>408149.52</v>
      </c>
      <c r="P23" s="77">
        <f t="shared" si="7"/>
        <v>0.003067219193</v>
      </c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20" t="s">
        <v>58</v>
      </c>
      <c r="B24" s="91" t="s">
        <v>59</v>
      </c>
      <c r="C24" s="11">
        <f>'Ideal Plaza'!B23+'Salt Lake JC -21'!B23+'Forum Mall'!B23+'Lake Town'!B23+'Quest Mall'!B23+'Rosedale Plaza'!B23+'Mani Square Mall'!B23+'Forum Rangoli'!B23+CSC!B23+Jameslong!B23+Technopolis!B23+Santoshpur!B23+'Chinar Park'!B23+'Lake Road'!B23+Kalikapur!B23+'Event Sales'!B23+'Sector 1'!B23</f>
        <v>14966.18833</v>
      </c>
      <c r="D24" s="11">
        <f>'Ideal Plaza'!C23+'Salt Lake JC -21'!C23+'Forum Mall'!C23+'Lake Town'!C23+'Quest Mall'!C23+'Rosedale Plaza'!C23+'Mani Square Mall'!C23+'Forum Rangoli'!C23+CSC!C23+Jameslong!C23+Technopolis!C23+Santoshpur!C23+'Chinar Park'!C23+'Lake Road'!C23+Kalikapur!C23+'Event Sales'!C23+'Sector 1'!C23</f>
        <v>25502.65833</v>
      </c>
      <c r="E24" s="11">
        <f>'Ideal Plaza'!D23+'Salt Lake JC -21'!D23+'Forum Mall'!D23+'Lake Town'!D23+'Quest Mall'!D23+'Rosedale Plaza'!D23+'Mani Square Mall'!D23+'Forum Rangoli'!D23+CSC!D23+Jameslong!D23+Technopolis!D23+Santoshpur!D23+'Chinar Park'!D23+'Lake Road'!D23+Kalikapur!D23+'Event Sales'!D23+'Sector 1'!D23</f>
        <v>25502.65833</v>
      </c>
      <c r="F24" s="11">
        <f>'Ideal Plaza'!E23+'Salt Lake JC -21'!E23+'Forum Mall'!E23+'Lake Town'!E23+'Quest Mall'!E23+'Rosedale Plaza'!E23+'Mani Square Mall'!E23+'Forum Rangoli'!E23+CSC!E23+Jameslong!E23+Technopolis!E23+Santoshpur!E23+'Chinar Park'!E23+'Lake Road'!E23+Kalikapur!E23+'Event Sales'!E23+'Sector 1'!E23</f>
        <v>25502.65833</v>
      </c>
      <c r="G24" s="11">
        <f>'Ideal Plaza'!F23+'Salt Lake JC -21'!F23+'Forum Mall'!F23+'Lake Town'!F23+'Quest Mall'!F23+'Rosedale Plaza'!F23+'Mani Square Mall'!F23+'Forum Rangoli'!F23+CSC!F23+Jameslong!F23+Technopolis!F23+Santoshpur!F23+'Chinar Park'!F23+'Lake Road'!F23+Kalikapur!F23+'Event Sales'!F23+'Sector 1'!F23</f>
        <v>25502.65833</v>
      </c>
      <c r="H24" s="11">
        <f>'Ideal Plaza'!G23+'Salt Lake JC -21'!G23+'Forum Mall'!G23+'Lake Town'!G23+'Quest Mall'!G23+'Rosedale Plaza'!G23+'Mani Square Mall'!G23+'Forum Rangoli'!G23+CSC!G23+Jameslong!G23+Technopolis!G23+Santoshpur!G23+'Chinar Park'!G23+'Lake Road'!G23+Kalikapur!G23+'Event Sales'!G23+'Sector 1'!G23</f>
        <v>25502.65833</v>
      </c>
      <c r="I24" s="11">
        <f>'Ideal Plaza'!H23+'Salt Lake JC -21'!H23+'Forum Mall'!H23+'Lake Town'!H23+'Quest Mall'!H23+'Rosedale Plaza'!H23+'Mani Square Mall'!H23+'Forum Rangoli'!H23+CSC!H23+Jameslong!H23+Technopolis!H23+Santoshpur!H23+'Chinar Park'!H23+'Lake Road'!H23+Kalikapur!H23+'Event Sales'!H23+'Sector 1'!H23</f>
        <v>25502.65833</v>
      </c>
      <c r="J24" s="11">
        <f>'Ideal Plaza'!I23+'Salt Lake JC -21'!I23+'Forum Mall'!I23+'Lake Town'!I23+'Quest Mall'!I23+'Rosedale Plaza'!I23+'Mani Square Mall'!I23+'Forum Rangoli'!I23+CSC!I23+Jameslong!I23+Technopolis!I23+Santoshpur!I23+'Chinar Park'!I23+'Lake Road'!I23+Kalikapur!I23+'Event Sales'!I23+'Sector 1'!I23</f>
        <v>25502.65833</v>
      </c>
      <c r="K24" s="11">
        <f>'Ideal Plaza'!J23+'Salt Lake JC -21'!J23+'Forum Mall'!J23+'Lake Town'!J23+'Quest Mall'!J23+'Rosedale Plaza'!J23+'Mani Square Mall'!J23+'Forum Rangoli'!J23+CSC!J23+Jameslong!J23+Technopolis!J23+Santoshpur!J23+'Chinar Park'!J23+'Lake Road'!J23+Kalikapur!J23+'Event Sales'!J23+'Sector 1'!J23</f>
        <v>25502.65833</v>
      </c>
      <c r="L24" s="11">
        <f>'Ideal Plaza'!K23+'Salt Lake JC -21'!K23+'Forum Mall'!K23+'Lake Town'!K23+'Quest Mall'!K23+'Rosedale Plaza'!K23+'Mani Square Mall'!K23+'Forum Rangoli'!K23+CSC!K23+Jameslong!K23+Technopolis!K23+Santoshpur!K23+'Chinar Park'!K23+'Lake Road'!K23+Kalikapur!K23+'Event Sales'!K23+'Sector 1'!K23</f>
        <v>25502.65833</v>
      </c>
      <c r="M24" s="11">
        <f>'Ideal Plaza'!L23+'Salt Lake JC -21'!L23+'Forum Mall'!L23+'Lake Town'!L23+'Quest Mall'!L23+'Rosedale Plaza'!L23+'Mani Square Mall'!L23+'Forum Rangoli'!L23+CSC!L23+Jameslong!L23+Technopolis!L23+Santoshpur!L23+'Chinar Park'!L23+'Lake Road'!L23+Kalikapur!L23+'Event Sales'!L23+'Sector 1'!L23</f>
        <v>25502.65833</v>
      </c>
      <c r="N24" s="11">
        <f>'Ideal Plaza'!M23+'Salt Lake JC -21'!M23+'Forum Mall'!M23+'Lake Town'!M23+'Quest Mall'!M23+'Rosedale Plaza'!M23+'Mani Square Mall'!M23+'Forum Rangoli'!M23+CSC!M23+Jameslong!M23+Technopolis!M23+Santoshpur!M23+'Chinar Park'!M23+'Lake Road'!M23+Kalikapur!M23+'Event Sales'!M23+'Sector 1'!M23</f>
        <v>25502.65833</v>
      </c>
      <c r="O24" s="14">
        <f t="shared" si="6"/>
        <v>295495.43</v>
      </c>
      <c r="P24" s="77">
        <f t="shared" si="7"/>
        <v>0.002220630455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18" t="s">
        <v>30</v>
      </c>
      <c r="B25" s="79" t="s">
        <v>40</v>
      </c>
      <c r="C25" s="11">
        <f>'Ideal Plaza'!B24+'Salt Lake JC -21'!B24+'Forum Mall'!B24+'Lake Town'!B24+'Quest Mall'!B24+'Rosedale Plaza'!B24+'Mani Square Mall'!B24+'Forum Rangoli'!B24+CSC!B24+Jameslong!B24+Technopolis!B24+Santoshpur!B24+'Chinar Park'!B24+'Lake Road'!B24+Kalikapur!B24+'Event Sales'!B24+'Sector 1'!B24</f>
        <v>58719.22</v>
      </c>
      <c r="D25" s="11">
        <f>'Ideal Plaza'!C24+'Salt Lake JC -21'!C24+'Forum Mall'!C24+'Lake Town'!C24+'Quest Mall'!C24+'Rosedale Plaza'!C24+'Mani Square Mall'!C24+'Forum Rangoli'!C24+CSC!C24+Jameslong!C24+Technopolis!C24+Santoshpur!C24+'Chinar Park'!C24+'Lake Road'!C24+Kalikapur!C24+'Event Sales'!C24+'Sector 1'!C24</f>
        <v>53248</v>
      </c>
      <c r="E25" s="11">
        <f>'Ideal Plaza'!D24+'Salt Lake JC -21'!D24+'Forum Mall'!D24+'Lake Town'!D24+'Quest Mall'!D24+'Rosedale Plaza'!D24+'Mani Square Mall'!D24+'Forum Rangoli'!D24+CSC!D24+Jameslong!D24+Technopolis!D24+Santoshpur!D24+'Chinar Park'!D24+'Lake Road'!D24+Kalikapur!D24+'Event Sales'!D24+'Sector 1'!D24</f>
        <v>228298</v>
      </c>
      <c r="F25" s="11">
        <f>'Ideal Plaza'!E24+'Salt Lake JC -21'!E24+'Forum Mall'!E24+'Lake Town'!E24+'Quest Mall'!E24+'Rosedale Plaza'!E24+'Mani Square Mall'!E24+'Forum Rangoli'!E24+CSC!E24+Jameslong!E24+Technopolis!E24+Santoshpur!E24+'Chinar Park'!E24+'Lake Road'!E24+Kalikapur!E24+'Event Sales'!E24+'Sector 1'!E24</f>
        <v>140553</v>
      </c>
      <c r="G25" s="11">
        <f>'Ideal Plaza'!F24+'Salt Lake JC -21'!F24+'Forum Mall'!F24+'Lake Town'!F24+'Quest Mall'!F24+'Rosedale Plaza'!F24+'Mani Square Mall'!F24+'Forum Rangoli'!F24+CSC!F24+Jameslong!F24+Technopolis!F24+Santoshpur!F24+'Chinar Park'!F24+'Lake Road'!F24+Kalikapur!F24+'Event Sales'!F24+'Sector 1'!F24</f>
        <v>542734</v>
      </c>
      <c r="H25" s="11">
        <f>'Ideal Plaza'!G24+'Salt Lake JC -21'!G24+'Forum Mall'!G24+'Lake Town'!G24+'Quest Mall'!G24+'Rosedale Plaza'!G24+'Mani Square Mall'!G24+'Forum Rangoli'!G24+CSC!G24+Jameslong!G24+Technopolis!G24+Santoshpur!G24+'Chinar Park'!G24+'Lake Road'!G24+Kalikapur!G24+'Event Sales'!G24+'Sector 1'!G24</f>
        <v>89813</v>
      </c>
      <c r="I25" s="11">
        <f>'Ideal Plaza'!H24+'Salt Lake JC -21'!H24+'Forum Mall'!H24+'Lake Town'!H24+'Quest Mall'!H24+'Rosedale Plaza'!H24+'Mani Square Mall'!H24+'Forum Rangoli'!H24+CSC!H24+Jameslong!H24+Technopolis!H24+Santoshpur!H24+'Chinar Park'!H24+'Lake Road'!H24+Kalikapur!H24+'Event Sales'!H24+'Sector 1'!H24</f>
        <v>0</v>
      </c>
      <c r="J25" s="11">
        <f>'Ideal Plaza'!I24+'Salt Lake JC -21'!I24+'Forum Mall'!I24+'Lake Town'!I24+'Quest Mall'!I24+'Rosedale Plaza'!I24+'Mani Square Mall'!I24+'Forum Rangoli'!I24+CSC!I24+Jameslong!I24+Technopolis!I24+Santoshpur!I24+'Chinar Park'!I24+'Lake Road'!I24+Kalikapur!I24+'Event Sales'!I24+'Sector 1'!I24</f>
        <v>0</v>
      </c>
      <c r="K25" s="11">
        <f>'Ideal Plaza'!J24+'Salt Lake JC -21'!J24+'Forum Mall'!J24+'Lake Town'!J24+'Quest Mall'!J24+'Rosedale Plaza'!J24+'Mani Square Mall'!J24+'Forum Rangoli'!J24+CSC!J24+Jameslong!J24+Technopolis!J24+Santoshpur!J24+'Chinar Park'!J24+'Lake Road'!J24+Kalikapur!J24+'Event Sales'!J24+'Sector 1'!J24</f>
        <v>0</v>
      </c>
      <c r="L25" s="11">
        <f>'Ideal Plaza'!K24+'Salt Lake JC -21'!K24+'Forum Mall'!K24+'Lake Town'!K24+'Quest Mall'!K24+'Rosedale Plaza'!K24+'Mani Square Mall'!K24+'Forum Rangoli'!K24+CSC!K24+Jameslong!K24+Technopolis!K24+Santoshpur!K24+'Chinar Park'!K24+'Lake Road'!K24+Kalikapur!K24+'Event Sales'!K24+'Sector 1'!K24</f>
        <v>0</v>
      </c>
      <c r="M25" s="11">
        <f>'Ideal Plaza'!L24+'Salt Lake JC -21'!L24+'Forum Mall'!L24+'Lake Town'!L24+'Quest Mall'!L24+'Rosedale Plaza'!L24+'Mani Square Mall'!L24+'Forum Rangoli'!L24+CSC!L24+Jameslong!L24+Technopolis!L24+Santoshpur!L24+'Chinar Park'!L24+'Lake Road'!L24+Kalikapur!L24+'Event Sales'!L24+'Sector 1'!L24</f>
        <v>0</v>
      </c>
      <c r="N25" s="11">
        <f>'Ideal Plaza'!M24+'Salt Lake JC -21'!M24+'Forum Mall'!M24+'Lake Town'!M24+'Quest Mall'!M24+'Rosedale Plaza'!M24+'Mani Square Mall'!M24+'Forum Rangoli'!M24+CSC!M24+Jameslong!M24+Technopolis!M24+Santoshpur!M24+'Chinar Park'!M24+'Lake Road'!M24+Kalikapur!M24+'Event Sales'!M24+'Sector 1'!M24</f>
        <v>0</v>
      </c>
      <c r="O25" s="14">
        <f t="shared" si="6"/>
        <v>1113365.22</v>
      </c>
      <c r="P25" s="77">
        <f t="shared" si="7"/>
        <v>0.008366872934</v>
      </c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18" t="s">
        <v>31</v>
      </c>
      <c r="B26" s="79" t="s">
        <v>50</v>
      </c>
      <c r="C26" s="11">
        <f>'Ideal Plaza'!B25+'Salt Lake JC -21'!B25+'Forum Mall'!B25+'Lake Town'!B25+'Quest Mall'!B25+'Rosedale Plaza'!B25+'Mani Square Mall'!B25+'Forum Rangoli'!B25+CSC!B25+Jameslong!B25+Technopolis!B25+Santoshpur!B25+'Chinar Park'!B25+'Lake Road'!B25+Kalikapur!B25+'Event Sales'!B25+'Sector 1'!B25</f>
        <v>157014.6433</v>
      </c>
      <c r="D26" s="11">
        <f>'Ideal Plaza'!C25+'Salt Lake JC -21'!C25+'Forum Mall'!C25+'Lake Town'!C25+'Quest Mall'!C25+'Rosedale Plaza'!C25+'Mani Square Mall'!C25+'Forum Rangoli'!C25+CSC!C25+Jameslong!C25+Technopolis!C25+Santoshpur!C25+'Chinar Park'!C25+'Lake Road'!C25+Kalikapur!C25+'Event Sales'!C25+'Sector 1'!C25</f>
        <v>416061.4633</v>
      </c>
      <c r="E26" s="11">
        <f>'Ideal Plaza'!D25+'Salt Lake JC -21'!D25+'Forum Mall'!D25+'Lake Town'!D25+'Quest Mall'!D25+'Rosedale Plaza'!D25+'Mani Square Mall'!D25+'Forum Rangoli'!D25+CSC!D25+Jameslong!D25+Technopolis!D25+Santoshpur!D25+'Chinar Park'!D25+'Lake Road'!D25+Kalikapur!D25+'Event Sales'!D25+'Sector 1'!D25</f>
        <v>187253.3333</v>
      </c>
      <c r="F26" s="11">
        <f>'Ideal Plaza'!E25+'Salt Lake JC -21'!E25+'Forum Mall'!E25+'Lake Town'!E25+'Quest Mall'!E25+'Rosedale Plaza'!E25+'Mani Square Mall'!E25+'Forum Rangoli'!E25+CSC!E25+Jameslong!E25+Technopolis!E25+Santoshpur!E25+'Chinar Park'!E25+'Lake Road'!E25+Kalikapur!E25+'Event Sales'!E25+'Sector 1'!E25</f>
        <v>443123.5342</v>
      </c>
      <c r="G26" s="11">
        <f>'Ideal Plaza'!F25+'Salt Lake JC -21'!F25+'Forum Mall'!F25+'Lake Town'!F25+'Quest Mall'!F25+'Rosedale Plaza'!F25+'Mani Square Mall'!F25+'Forum Rangoli'!F25+CSC!F25+Jameslong!F25+Technopolis!F25+Santoshpur!F25+'Chinar Park'!F25+'Lake Road'!F25+Kalikapur!F25+'Event Sales'!F25+'Sector 1'!F25</f>
        <v>202752.6933</v>
      </c>
      <c r="H26" s="11">
        <f>'Ideal Plaza'!G25+'Salt Lake JC -21'!G25+'Forum Mall'!G25+'Lake Town'!G25+'Quest Mall'!G25+'Rosedale Plaza'!G25+'Mani Square Mall'!G25+'Forum Rangoli'!G25+CSC!G25+Jameslong!G25+Technopolis!G25+Santoshpur!G25+'Chinar Park'!G25+'Lake Road'!G25+Kalikapur!G25+'Event Sales'!G25+'Sector 1'!G25</f>
        <v>372301.1533</v>
      </c>
      <c r="I26" s="11">
        <f>'Ideal Plaza'!H25+'Salt Lake JC -21'!H25+'Forum Mall'!H25+'Lake Town'!H25+'Quest Mall'!H25+'Rosedale Plaza'!H25+'Mani Square Mall'!H25+'Forum Rangoli'!H25+CSC!H25+Jameslong!H25+Technopolis!H25+Santoshpur!H25+'Chinar Park'!H25+'Lake Road'!H25+Kalikapur!H25+'Event Sales'!H25+'Sector 1'!H25</f>
        <v>31375.08333</v>
      </c>
      <c r="J26" s="11">
        <f>'Ideal Plaza'!I25+'Salt Lake JC -21'!I25+'Forum Mall'!I25+'Lake Town'!I25+'Quest Mall'!I25+'Rosedale Plaza'!I25+'Mani Square Mall'!I25+'Forum Rangoli'!I25+CSC!I25+Jameslong!I25+Technopolis!I25+Santoshpur!I25+'Chinar Park'!I25+'Lake Road'!I25+Kalikapur!I25+'Event Sales'!I25+'Sector 1'!I25</f>
        <v>31375.08333</v>
      </c>
      <c r="K26" s="11">
        <f>'Ideal Plaza'!J25+'Salt Lake JC -21'!J25+'Forum Mall'!J25+'Lake Town'!J25+'Quest Mall'!J25+'Rosedale Plaza'!J25+'Mani Square Mall'!J25+'Forum Rangoli'!J25+CSC!J25+Jameslong!J25+Technopolis!J25+Santoshpur!J25+'Chinar Park'!J25+'Lake Road'!J25+Kalikapur!J25+'Event Sales'!J25+'Sector 1'!J25</f>
        <v>31375.08333</v>
      </c>
      <c r="L26" s="11">
        <f>'Ideal Plaza'!K25+'Salt Lake JC -21'!K25+'Forum Mall'!K25+'Lake Town'!K25+'Quest Mall'!K25+'Rosedale Plaza'!K25+'Mani Square Mall'!K25+'Forum Rangoli'!K25+CSC!K25+Jameslong!K25+Technopolis!K25+Santoshpur!K25+'Chinar Park'!K25+'Lake Road'!K25+Kalikapur!K25+'Event Sales'!K25+'Sector 1'!K25</f>
        <v>31375.08333</v>
      </c>
      <c r="M26" s="11">
        <f>'Ideal Plaza'!L25+'Salt Lake JC -21'!L25+'Forum Mall'!L25+'Lake Town'!L25+'Quest Mall'!L25+'Rosedale Plaza'!L25+'Mani Square Mall'!L25+'Forum Rangoli'!L25+CSC!L25+Jameslong!L25+Technopolis!L25+Santoshpur!L25+'Chinar Park'!L25+'Lake Road'!L25+Kalikapur!L25+'Event Sales'!L25+'Sector 1'!L25</f>
        <v>31375.08333</v>
      </c>
      <c r="N26" s="11">
        <f>'Ideal Plaza'!M25+'Salt Lake JC -21'!M25+'Forum Mall'!M25+'Lake Town'!M25+'Quest Mall'!M25+'Rosedale Plaza'!M25+'Mani Square Mall'!M25+'Forum Rangoli'!M25+CSC!M25+Jameslong!M25+Technopolis!M25+Santoshpur!M25+'Chinar Park'!M25+'Lake Road'!M25+Kalikapur!M25+'Event Sales'!M25+'Sector 1'!M25</f>
        <v>31375.08333</v>
      </c>
      <c r="O26" s="14">
        <f t="shared" si="6"/>
        <v>1966757.321</v>
      </c>
      <c r="P26" s="77">
        <f t="shared" si="7"/>
        <v>0.01478006345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18" t="s">
        <v>32</v>
      </c>
      <c r="B27" s="79" t="s">
        <v>50</v>
      </c>
      <c r="C27" s="11">
        <f>'Ideal Plaza'!B26+'Salt Lake JC -21'!B26+'Forum Mall'!B26+'Lake Town'!B26+'Quest Mall'!B26+'Rosedale Plaza'!B26+'Mani Square Mall'!B26+'Forum Rangoli'!B26+CSC!B26+Jameslong!B26+Technopolis!B26+Santoshpur!B26+'Chinar Park'!B26+'Lake Road'!B26+Kalikapur!B26+'Event Sales'!B26+'Sector 1'!B26</f>
        <v>380861.14</v>
      </c>
      <c r="D27" s="11">
        <f>'Ideal Plaza'!C26+'Salt Lake JC -21'!C26+'Forum Mall'!C26+'Lake Town'!C26+'Quest Mall'!C26+'Rosedale Plaza'!C26+'Mani Square Mall'!C26+'Forum Rangoli'!C26+CSC!C26+Jameslong!C26+Technopolis!C26+Santoshpur!C26+'Chinar Park'!C26+'Lake Road'!C26+Kalikapur!C26+'Event Sales'!C26+'Sector 1'!C26</f>
        <v>381213.14</v>
      </c>
      <c r="E27" s="11">
        <f>'Ideal Plaza'!D26+'Salt Lake JC -21'!D26+'Forum Mall'!D26+'Lake Town'!D26+'Quest Mall'!D26+'Rosedale Plaza'!D26+'Mani Square Mall'!D26+'Forum Rangoli'!D26+CSC!D26+Jameslong!D26+Technopolis!D26+Santoshpur!D26+'Chinar Park'!D26+'Lake Road'!D26+Kalikapur!D26+'Event Sales'!D26+'Sector 1'!D26</f>
        <v>382727.14</v>
      </c>
      <c r="F27" s="11">
        <f>'Ideal Plaza'!E26+'Salt Lake JC -21'!E26+'Forum Mall'!E26+'Lake Town'!E26+'Quest Mall'!E26+'Rosedale Plaza'!E26+'Mani Square Mall'!E26+'Forum Rangoli'!E26+CSC!E26+Jameslong!E26+Technopolis!E26+Santoshpur!E26+'Chinar Park'!E26+'Lake Road'!E26+Kalikapur!E26+'Event Sales'!E26+'Sector 1'!E26</f>
        <v>395255.14</v>
      </c>
      <c r="G27" s="11">
        <f>'Ideal Plaza'!F26+'Salt Lake JC -21'!F26+'Forum Mall'!F26+'Lake Town'!F26+'Quest Mall'!F26+'Rosedale Plaza'!F26+'Mani Square Mall'!F26+'Forum Rangoli'!F26+CSC!F26+Jameslong!F26+Technopolis!F26+Santoshpur!F26+'Chinar Park'!F26+'Lake Road'!F26+Kalikapur!F26+'Event Sales'!F26+'Sector 1'!F26</f>
        <v>395442.14</v>
      </c>
      <c r="H27" s="11">
        <f>'Ideal Plaza'!G26+'Salt Lake JC -21'!G26+'Forum Mall'!G26+'Lake Town'!G26+'Quest Mall'!G26+'Rosedale Plaza'!G26+'Mani Square Mall'!G26+'Forum Rangoli'!G26+CSC!G26+Jameslong!G26+Technopolis!G26+Santoshpur!G26+'Chinar Park'!G26+'Lake Road'!G26+Kalikapur!G26+'Event Sales'!G26+'Sector 1'!G26</f>
        <v>395166.14</v>
      </c>
      <c r="I27" s="11">
        <f>'Ideal Plaza'!H26+'Salt Lake JC -21'!H26+'Forum Mall'!H26+'Lake Town'!H26+'Quest Mall'!H26+'Rosedale Plaza'!H26+'Mani Square Mall'!H26+'Forum Rangoli'!H26+CSC!H26+Jameslong!H26+Technopolis!H26+Santoshpur!H26+'Chinar Park'!H26+'Lake Road'!H26+Kalikapur!H26+'Event Sales'!H26+'Sector 1'!H26</f>
        <v>0</v>
      </c>
      <c r="J27" s="11">
        <f>'Ideal Plaza'!I26+'Salt Lake JC -21'!I26+'Forum Mall'!I26+'Lake Town'!I26+'Quest Mall'!I26+'Rosedale Plaza'!I26+'Mani Square Mall'!I26+'Forum Rangoli'!I26+CSC!I26+Jameslong!I26+Technopolis!I26+Santoshpur!I26+'Chinar Park'!I26+'Lake Road'!I26+Kalikapur!I26+'Event Sales'!I26+'Sector 1'!I26</f>
        <v>0</v>
      </c>
      <c r="K27" s="11">
        <f>'Ideal Plaza'!J26+'Salt Lake JC -21'!J26+'Forum Mall'!J26+'Lake Town'!J26+'Quest Mall'!J26+'Rosedale Plaza'!J26+'Mani Square Mall'!J26+'Forum Rangoli'!J26+CSC!J26+Jameslong!J26+Technopolis!J26+Santoshpur!J26+'Chinar Park'!J26+'Lake Road'!J26+Kalikapur!J26+'Event Sales'!J26+'Sector 1'!J26</f>
        <v>0</v>
      </c>
      <c r="L27" s="11">
        <f>'Ideal Plaza'!K26+'Salt Lake JC -21'!K26+'Forum Mall'!K26+'Lake Town'!K26+'Quest Mall'!K26+'Rosedale Plaza'!K26+'Mani Square Mall'!K26+'Forum Rangoli'!K26+CSC!K26+Jameslong!K26+Technopolis!K26+Santoshpur!K26+'Chinar Park'!K26+'Lake Road'!K26+Kalikapur!K26+'Event Sales'!K26+'Sector 1'!K26</f>
        <v>0</v>
      </c>
      <c r="M27" s="11">
        <f>'Ideal Plaza'!L26+'Salt Lake JC -21'!L26+'Forum Mall'!L26+'Lake Town'!L26+'Quest Mall'!L26+'Rosedale Plaza'!L26+'Mani Square Mall'!L26+'Forum Rangoli'!L26+CSC!L26+Jameslong!L26+Technopolis!L26+Santoshpur!L26+'Chinar Park'!L26+'Lake Road'!L26+Kalikapur!L26+'Event Sales'!L26+'Sector 1'!L26</f>
        <v>0</v>
      </c>
      <c r="N27" s="11">
        <f>'Ideal Plaza'!M26+'Salt Lake JC -21'!M26+'Forum Mall'!M26+'Lake Town'!M26+'Quest Mall'!M26+'Rosedale Plaza'!M26+'Mani Square Mall'!M26+'Forum Rangoli'!M26+CSC!M26+Jameslong!M26+Technopolis!M26+Santoshpur!M26+'Chinar Park'!M26+'Lake Road'!M26+Kalikapur!M26+'Event Sales'!M26+'Sector 1'!M26</f>
        <v>0</v>
      </c>
      <c r="O27" s="14">
        <f t="shared" si="6"/>
        <v>2330664.84</v>
      </c>
      <c r="P27" s="77">
        <f t="shared" si="7"/>
        <v>0.01751480666</v>
      </c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20" t="s">
        <v>143</v>
      </c>
      <c r="B28" s="79" t="s">
        <v>50</v>
      </c>
      <c r="C28" s="11">
        <f>'Ads Account'!B17</f>
        <v>811748.2164</v>
      </c>
      <c r="D28" s="11">
        <f>'Ads Account'!C17</f>
        <v>907161.2</v>
      </c>
      <c r="E28" s="11">
        <f>'Ads Account'!D17</f>
        <v>470257.3947</v>
      </c>
      <c r="F28" s="11">
        <f>'Ads Account'!E17</f>
        <v>1156117.086</v>
      </c>
      <c r="G28" s="11">
        <f>'Ads Account'!F17</f>
        <v>727103.4684</v>
      </c>
      <c r="H28" s="11">
        <f>'Ads Account'!G17</f>
        <v>1066072.114</v>
      </c>
      <c r="I28" s="11">
        <f>'Ads Account'!H17</f>
        <v>0</v>
      </c>
      <c r="J28" s="11">
        <f>'Ads Account'!I17</f>
        <v>0</v>
      </c>
      <c r="K28" s="11">
        <f>'Ads Account'!J17</f>
        <v>0</v>
      </c>
      <c r="L28" s="11">
        <f>'Ads Account'!K17</f>
        <v>0</v>
      </c>
      <c r="M28" s="11">
        <f>'Ads Account'!L17</f>
        <v>0</v>
      </c>
      <c r="N28" s="11">
        <f>'Ads Account'!M17</f>
        <v>0</v>
      </c>
      <c r="O28" s="14">
        <f t="shared" si="6"/>
        <v>5138459.479</v>
      </c>
      <c r="P28" s="77">
        <f t="shared" si="7"/>
        <v>0.03861521517</v>
      </c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18" t="s">
        <v>33</v>
      </c>
      <c r="B29" s="79" t="s">
        <v>50</v>
      </c>
      <c r="C29" s="11">
        <f>'Ideal Plaza'!B27+'Salt Lake JC -21'!B27+'Forum Mall'!B27+'Lake Town'!B27+'Quest Mall'!B27+'Rosedale Plaza'!B27+'Mani Square Mall'!B27+'Forum Rangoli'!B27+CSC!B27+Jameslong!B27+Technopolis!B27+Santoshpur!B27+'Chinar Park'!B27+'Lake Road'!B27+Kalikapur!B27+'Event Sales'!B27+'Sector 1'!B27</f>
        <v>4515808.497</v>
      </c>
      <c r="D29" s="11">
        <f>'Ideal Plaza'!C27+'Salt Lake JC -21'!C27+'Forum Mall'!C27+'Lake Town'!C27+'Quest Mall'!C27+'Rosedale Plaza'!C27+'Mani Square Mall'!C27+'Forum Rangoli'!C27+CSC!C27+Jameslong!C27+Technopolis!C27+Santoshpur!C27+'Chinar Park'!C27+'Lake Road'!C27+Kalikapur!C27+'Event Sales'!C27+'Sector 1'!C27</f>
        <v>4737028.847</v>
      </c>
      <c r="E29" s="11">
        <f>'Ideal Plaza'!D27+'Salt Lake JC -21'!D27+'Forum Mall'!D27+'Lake Town'!D27+'Quest Mall'!D27+'Rosedale Plaza'!D27+'Mani Square Mall'!D27+'Forum Rangoli'!D27+CSC!D27+Jameslong!D27+Technopolis!D27+Santoshpur!D27+'Chinar Park'!D27+'Lake Road'!D27+Kalikapur!D27+'Event Sales'!D27+'Sector 1'!D27</f>
        <v>4747803.553</v>
      </c>
      <c r="F29" s="11">
        <f>'Ideal Plaza'!E27+'Salt Lake JC -21'!E27+'Forum Mall'!E27+'Lake Town'!E27+'Quest Mall'!E27+'Rosedale Plaza'!E27+'Mani Square Mall'!E27+'Forum Rangoli'!E27+CSC!E27+Jameslong!E27+Technopolis!E27+Santoshpur!E27+'Chinar Park'!E27+'Lake Road'!E27+Kalikapur!E27+'Event Sales'!E27+'Sector 1'!E27</f>
        <v>4850901.31</v>
      </c>
      <c r="G29" s="11">
        <f>'Ideal Plaza'!F27+'Salt Lake JC -21'!F27+'Forum Mall'!F27+'Lake Town'!F27+'Quest Mall'!F27+'Rosedale Plaza'!F27+'Mani Square Mall'!F27+'Forum Rangoli'!F27+CSC!F27+Jameslong!F27+Technopolis!F27+Santoshpur!F27+'Chinar Park'!F27+'Lake Road'!F27+Kalikapur!F27+'Event Sales'!F27+'Sector 1'!F27</f>
        <v>4793201.977</v>
      </c>
      <c r="H29" s="11">
        <f>'Ideal Plaza'!G27+'Salt Lake JC -21'!G27+'Forum Mall'!G27+'Lake Town'!G27+'Quest Mall'!G27+'Rosedale Plaza'!G27+'Mani Square Mall'!G27+'Forum Rangoli'!G27+CSC!G27+Jameslong!G27+Technopolis!G27+Santoshpur!G27+'Chinar Park'!G27+'Lake Road'!G27+Kalikapur!G27+'Event Sales'!G27+'Sector 1'!G27</f>
        <v>4972571.133</v>
      </c>
      <c r="I29" s="11" t="str">
        <f>'Ideal Plaza'!H27+'Salt Lake JC -21'!H27+'Forum Mall'!H27+'Lake Town'!H27+'Quest Mall'!H27+'Rosedale Plaza'!H27+'Mani Square Mall'!H27+'Forum Rangoli'!H27+CSC!H27+Jameslong!H27+Technopolis!H27+Santoshpur!H27+'Chinar Park'!H27+'Lake Road'!H27+Kalikapur!H27+'Event Sales'!H27+'Sector 1'!H27</f>
        <v>#DIV/0!</v>
      </c>
      <c r="J29" s="11" t="str">
        <f>'Ideal Plaza'!I27+'Salt Lake JC -21'!I27+'Forum Mall'!I27+'Lake Town'!I27+'Quest Mall'!I27+'Rosedale Plaza'!I27+'Mani Square Mall'!I27+'Forum Rangoli'!I27+CSC!I27+Jameslong!I27+Technopolis!I27+Santoshpur!I27+'Chinar Park'!I27+'Lake Road'!I27+Kalikapur!I27+'Event Sales'!I27+'Sector 1'!I27</f>
        <v>#DIV/0!</v>
      </c>
      <c r="K29" s="11" t="str">
        <f>'Ideal Plaza'!J27+'Salt Lake JC -21'!J27+'Forum Mall'!J27+'Lake Town'!J27+'Quest Mall'!J27+'Rosedale Plaza'!J27+'Mani Square Mall'!J27+'Forum Rangoli'!J27+CSC!J27+Jameslong!J27+Technopolis!J27+Santoshpur!J27+'Chinar Park'!J27+'Lake Road'!J27+Kalikapur!J27+'Event Sales'!J27+'Sector 1'!J27</f>
        <v>#DIV/0!</v>
      </c>
      <c r="L29" s="11" t="str">
        <f>'Ideal Plaza'!K27+'Salt Lake JC -21'!K27+'Forum Mall'!K27+'Lake Town'!K27+'Quest Mall'!K27+'Rosedale Plaza'!K27+'Mani Square Mall'!K27+'Forum Rangoli'!K27+CSC!K27+Jameslong!K27+Technopolis!K27+Santoshpur!K27+'Chinar Park'!K27+'Lake Road'!K27+Kalikapur!K27+'Event Sales'!K27+'Sector 1'!K27</f>
        <v>#DIV/0!</v>
      </c>
      <c r="M29" s="11" t="str">
        <f>'Ideal Plaza'!L27+'Salt Lake JC -21'!L27+'Forum Mall'!L27+'Lake Town'!L27+'Quest Mall'!L27+'Rosedale Plaza'!L27+'Mani Square Mall'!L27+'Forum Rangoli'!L27+CSC!L27+Jameslong!L27+Technopolis!L27+Santoshpur!L27+'Chinar Park'!L27+'Lake Road'!L27+Kalikapur!L27+'Event Sales'!L27+'Sector 1'!L27</f>
        <v>#DIV/0!</v>
      </c>
      <c r="N29" s="11" t="str">
        <f>'Ideal Plaza'!M27+'Salt Lake JC -21'!M27+'Forum Mall'!M27+'Lake Town'!M27+'Quest Mall'!M27+'Rosedale Plaza'!M27+'Mani Square Mall'!M27+'Forum Rangoli'!M27+CSC!M27+Jameslong!M27+Technopolis!M27+Santoshpur!M27+'Chinar Park'!M27+'Lake Road'!M27+Kalikapur!M27+'Event Sales'!M27+'Sector 1'!M27</f>
        <v>#DIV/0!</v>
      </c>
      <c r="O29" s="14" t="str">
        <f t="shared" si="6"/>
        <v>#DIV/0!</v>
      </c>
      <c r="P29" s="77" t="str">
        <f t="shared" si="7"/>
        <v>#DIV/0!</v>
      </c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35" t="s">
        <v>34</v>
      </c>
      <c r="B30" s="170"/>
      <c r="C30" s="36">
        <f t="shared" ref="C30:N30" si="8">+SUM(C15:C29)</f>
        <v>18283510.86</v>
      </c>
      <c r="D30" s="36">
        <f t="shared" si="8"/>
        <v>20441381.87</v>
      </c>
      <c r="E30" s="36">
        <f t="shared" si="8"/>
        <v>19851975.96</v>
      </c>
      <c r="F30" s="36">
        <f t="shared" si="8"/>
        <v>21076085.85</v>
      </c>
      <c r="G30" s="48">
        <f t="shared" si="8"/>
        <v>21315411.41</v>
      </c>
      <c r="H30" s="48">
        <f t="shared" si="8"/>
        <v>20692990.09</v>
      </c>
      <c r="I30" s="48" t="str">
        <f t="shared" si="8"/>
        <v>#DIV/0!</v>
      </c>
      <c r="J30" s="48" t="str">
        <f t="shared" si="8"/>
        <v>#DIV/0!</v>
      </c>
      <c r="K30" s="48" t="str">
        <f t="shared" si="8"/>
        <v>#DIV/0!</v>
      </c>
      <c r="L30" s="48" t="str">
        <f t="shared" si="8"/>
        <v>#DIV/0!</v>
      </c>
      <c r="M30" s="48" t="str">
        <f t="shared" si="8"/>
        <v>#DIV/0!</v>
      </c>
      <c r="N30" s="48" t="str">
        <f t="shared" si="8"/>
        <v>#DIV/0!</v>
      </c>
      <c r="O30" s="36" t="str">
        <f t="shared" si="6"/>
        <v>#DIV/0!</v>
      </c>
      <c r="P30" s="37" t="str">
        <f t="shared" si="7"/>
        <v>#DIV/0!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38" t="s">
        <v>35</v>
      </c>
      <c r="B31" s="171"/>
      <c r="C31" s="39">
        <f t="shared" ref="C31:N31" si="9">C14-C30</f>
        <v>2055417.854</v>
      </c>
      <c r="D31" s="39">
        <f t="shared" si="9"/>
        <v>2106613.498</v>
      </c>
      <c r="E31" s="39">
        <f t="shared" si="9"/>
        <v>1816626.218</v>
      </c>
      <c r="F31" s="39">
        <f t="shared" si="9"/>
        <v>1100225.845</v>
      </c>
      <c r="G31" s="39">
        <f t="shared" si="9"/>
        <v>2826787.342</v>
      </c>
      <c r="H31" s="39">
        <f t="shared" si="9"/>
        <v>1501232.851</v>
      </c>
      <c r="I31" s="39" t="str">
        <f t="shared" si="9"/>
        <v>#DIV/0!</v>
      </c>
      <c r="J31" s="39" t="str">
        <f t="shared" si="9"/>
        <v>#DIV/0!</v>
      </c>
      <c r="K31" s="39" t="str">
        <f t="shared" si="9"/>
        <v>#DIV/0!</v>
      </c>
      <c r="L31" s="39" t="str">
        <f t="shared" si="9"/>
        <v>#DIV/0!</v>
      </c>
      <c r="M31" s="39" t="str">
        <f t="shared" si="9"/>
        <v>#DIV/0!</v>
      </c>
      <c r="N31" s="39" t="str">
        <f t="shared" si="9"/>
        <v>#DIV/0!</v>
      </c>
      <c r="O31" s="39" t="str">
        <f t="shared" si="6"/>
        <v>#DIV/0!</v>
      </c>
      <c r="P31" s="40" t="str">
        <f t="shared" si="7"/>
        <v>#DIV/0!</v>
      </c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75" t="s">
        <v>186</v>
      </c>
      <c r="B32" s="16"/>
      <c r="C32" s="179">
        <f t="shared" ref="C32:N32" si="10">C31/C14</f>
        <v>0.1010583145</v>
      </c>
      <c r="D32" s="179">
        <f t="shared" si="10"/>
        <v>0.09342797281</v>
      </c>
      <c r="E32" s="179">
        <f t="shared" si="10"/>
        <v>0.08383679774</v>
      </c>
      <c r="F32" s="179">
        <f t="shared" si="10"/>
        <v>0.04961266147</v>
      </c>
      <c r="G32" s="179">
        <f t="shared" si="10"/>
        <v>0.1170890593</v>
      </c>
      <c r="H32" s="179">
        <f t="shared" si="10"/>
        <v>0.0676407034</v>
      </c>
      <c r="I32" s="179" t="str">
        <f t="shared" si="10"/>
        <v>#DIV/0!</v>
      </c>
      <c r="J32" s="179" t="str">
        <f t="shared" si="10"/>
        <v>#DIV/0!</v>
      </c>
      <c r="K32" s="179" t="str">
        <f t="shared" si="10"/>
        <v>#DIV/0!</v>
      </c>
      <c r="L32" s="179" t="str">
        <f t="shared" si="10"/>
        <v>#DIV/0!</v>
      </c>
      <c r="M32" s="179" t="str">
        <f t="shared" si="10"/>
        <v>#DIV/0!</v>
      </c>
      <c r="N32" s="179" t="str">
        <f t="shared" si="10"/>
        <v>#DIV/0!</v>
      </c>
      <c r="O32" s="16"/>
      <c r="P32" s="179" t="str">
        <f t="shared" ref="P32:P33" si="13">AVERAGE(C32:N32)</f>
        <v>#DIV/0!</v>
      </c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75" t="s">
        <v>36</v>
      </c>
      <c r="B33" s="14"/>
      <c r="C33" s="25">
        <f t="shared" ref="C33:E33" si="11">C15/C14</f>
        <v>0.2690158541</v>
      </c>
      <c r="D33" s="25">
        <f t="shared" si="11"/>
        <v>0.2718329572</v>
      </c>
      <c r="E33" s="25">
        <f t="shared" si="11"/>
        <v>0.2784487975</v>
      </c>
      <c r="F33" s="25">
        <f t="shared" ref="F33:N33" si="12">(F15/F14)</f>
        <v>0.2787385452</v>
      </c>
      <c r="G33" s="25">
        <f t="shared" si="12"/>
        <v>0.2848527949</v>
      </c>
      <c r="H33" s="25">
        <f t="shared" si="12"/>
        <v>0.2753789325</v>
      </c>
      <c r="I33" s="25" t="str">
        <f t="shared" si="12"/>
        <v>#DIV/0!</v>
      </c>
      <c r="J33" s="25" t="str">
        <f t="shared" si="12"/>
        <v>#DIV/0!</v>
      </c>
      <c r="K33" s="25" t="str">
        <f t="shared" si="12"/>
        <v>#DIV/0!</v>
      </c>
      <c r="L33" s="25" t="str">
        <f t="shared" si="12"/>
        <v>#DIV/0!</v>
      </c>
      <c r="M33" s="25" t="str">
        <f t="shared" si="12"/>
        <v>#DIV/0!</v>
      </c>
      <c r="N33" s="25" t="str">
        <f t="shared" si="12"/>
        <v>#DIV/0!</v>
      </c>
      <c r="O33" s="14"/>
      <c r="P33" s="25" t="str">
        <f t="shared" si="13"/>
        <v>#DIV/0!</v>
      </c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46"/>
      <c r="B35" s="46"/>
      <c r="C35" s="181"/>
      <c r="D35" s="183"/>
      <c r="E35" s="184"/>
      <c r="F35" s="184"/>
      <c r="G35" s="50"/>
      <c r="H35" s="184"/>
      <c r="I35" s="184"/>
      <c r="J35" s="46"/>
      <c r="K35" s="46"/>
      <c r="L35" s="6"/>
      <c r="M35" s="6"/>
      <c r="N35" s="6"/>
      <c r="O35" s="185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46"/>
      <c r="B36" s="46"/>
      <c r="C36" s="186"/>
      <c r="D36" s="186"/>
      <c r="E36" s="187"/>
      <c r="F36" s="187"/>
      <c r="G36" s="50"/>
      <c r="H36" s="184"/>
      <c r="I36" s="184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188"/>
      <c r="B37" s="46"/>
      <c r="C37" s="183"/>
      <c r="D37" s="183"/>
      <c r="E37" s="183"/>
      <c r="F37" s="183"/>
      <c r="G37" s="189"/>
      <c r="H37" s="183"/>
      <c r="I37" s="183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46"/>
      <c r="B38" s="46"/>
      <c r="C38" s="183"/>
      <c r="D38" s="190"/>
      <c r="E38" s="184"/>
      <c r="F38" s="184"/>
      <c r="G38" s="50"/>
      <c r="H38" s="184"/>
      <c r="I38" s="184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46"/>
      <c r="B39" s="46"/>
      <c r="C39" s="183"/>
      <c r="D39" s="190"/>
      <c r="E39" s="184"/>
      <c r="F39" s="184"/>
      <c r="G39" s="50"/>
      <c r="H39" s="184"/>
      <c r="I39" s="184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188"/>
      <c r="B40" s="46"/>
      <c r="C40" s="183"/>
      <c r="D40" s="183"/>
      <c r="E40" s="183"/>
      <c r="F40" s="183"/>
      <c r="G40" s="189"/>
      <c r="H40" s="183"/>
      <c r="I40" s="183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6"/>
      <c r="B41" s="6"/>
      <c r="C41" s="6"/>
      <c r="D41" s="46"/>
      <c r="E41" s="188"/>
      <c r="F41" s="186"/>
      <c r="G41" s="50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6"/>
      <c r="B42" s="6"/>
      <c r="C42" s="6"/>
      <c r="D42" s="6"/>
      <c r="E42" s="6"/>
      <c r="F42" s="6"/>
      <c r="G42" s="50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6"/>
      <c r="B43" s="6"/>
      <c r="C43" s="6"/>
      <c r="D43" s="6"/>
      <c r="E43" s="6"/>
      <c r="F43" s="6"/>
      <c r="G43" s="50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6"/>
      <c r="B44" s="6"/>
      <c r="C44" s="6"/>
      <c r="D44" s="6"/>
      <c r="E44" s="6"/>
      <c r="F44" s="6"/>
      <c r="G44" s="50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6"/>
      <c r="B45" s="6"/>
      <c r="C45" s="6"/>
      <c r="D45" s="6"/>
      <c r="E45" s="6"/>
      <c r="F45" s="6"/>
      <c r="G45" s="50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6"/>
      <c r="B46" s="6"/>
      <c r="C46" s="6"/>
      <c r="D46" s="6"/>
      <c r="E46" s="6"/>
      <c r="F46" s="6"/>
      <c r="G46" s="50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6"/>
      <c r="B47" s="6"/>
      <c r="C47" s="6"/>
      <c r="D47" s="6"/>
      <c r="E47" s="6"/>
      <c r="F47" s="6"/>
      <c r="G47" s="50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6"/>
      <c r="B48" s="6"/>
      <c r="C48" s="6"/>
      <c r="D48" s="6"/>
      <c r="E48" s="6"/>
      <c r="F48" s="6"/>
      <c r="G48" s="50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  <c r="AB994" s="51"/>
      <c r="AC994" s="51"/>
    </row>
    <row r="995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  <c r="AB995" s="51"/>
      <c r="AC995" s="51"/>
    </row>
    <row r="996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  <c r="AB996" s="51"/>
      <c r="AC996" s="51"/>
    </row>
    <row r="997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  <c r="AC997" s="51"/>
    </row>
  </sheetData>
  <mergeCells count="1">
    <mergeCell ref="O1:P1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15" max="15" width="9.75"/>
  </cols>
  <sheetData>
    <row r="1">
      <c r="A1" s="1" t="s">
        <v>0</v>
      </c>
      <c r="B1" s="3">
        <f>Summary!C1</f>
        <v>46113</v>
      </c>
      <c r="C1" s="3">
        <f>Summary!D1</f>
        <v>46143</v>
      </c>
      <c r="D1" s="3">
        <f>Summary!E1</f>
        <v>46174</v>
      </c>
      <c r="E1" s="3">
        <f>Summary!F1</f>
        <v>46204</v>
      </c>
      <c r="F1" s="3">
        <f>Summary!G1</f>
        <v>46235</v>
      </c>
      <c r="G1" s="3">
        <f>Summary!H1</f>
        <v>46266</v>
      </c>
      <c r="H1" s="3">
        <f>Summary!I1</f>
        <v>46296</v>
      </c>
      <c r="I1" s="3">
        <f>Summary!J1</f>
        <v>46327</v>
      </c>
      <c r="J1" s="3">
        <f>Summary!K1</f>
        <v>46357</v>
      </c>
      <c r="K1" s="3">
        <f>Summary!L1</f>
        <v>46388</v>
      </c>
      <c r="L1" s="3">
        <f>Summary!M1</f>
        <v>46419</v>
      </c>
      <c r="M1" s="3">
        <f>Summary!N1</f>
        <v>46447</v>
      </c>
      <c r="N1" s="4" t="s">
        <v>5</v>
      </c>
      <c r="O1" s="5"/>
    </row>
    <row r="2">
      <c r="A2" s="7" t="s">
        <v>6</v>
      </c>
      <c r="B2" s="8"/>
      <c r="C2" s="8"/>
      <c r="D2" s="8"/>
      <c r="E2" s="8"/>
      <c r="F2" s="9"/>
      <c r="G2" s="8"/>
      <c r="H2" s="8"/>
      <c r="I2" s="8"/>
      <c r="J2" s="8"/>
      <c r="K2" s="8"/>
      <c r="L2" s="8"/>
      <c r="M2" s="8"/>
      <c r="N2" s="8"/>
      <c r="O2" s="8"/>
    </row>
    <row r="3">
      <c r="A3" s="10" t="s">
        <v>7</v>
      </c>
      <c r="B3" s="12">
        <v>47397.0</v>
      </c>
      <c r="C3" s="13">
        <f t="shared" ref="C3:M3" si="1">B7</f>
        <v>58327.95</v>
      </c>
      <c r="D3" s="13">
        <f t="shared" si="1"/>
        <v>52335.8</v>
      </c>
      <c r="E3" s="13">
        <f t="shared" si="1"/>
        <v>53854</v>
      </c>
      <c r="F3" s="13">
        <f t="shared" si="1"/>
        <v>53640</v>
      </c>
      <c r="G3" s="13">
        <f t="shared" si="1"/>
        <v>45238.66</v>
      </c>
      <c r="H3" s="13">
        <f t="shared" si="1"/>
        <v>56345</v>
      </c>
      <c r="I3" s="13" t="str">
        <f t="shared" si="1"/>
        <v/>
      </c>
      <c r="J3" s="13" t="str">
        <f t="shared" si="1"/>
        <v/>
      </c>
      <c r="K3" s="13" t="str">
        <f t="shared" si="1"/>
        <v/>
      </c>
      <c r="L3" s="13" t="str">
        <f t="shared" si="1"/>
        <v/>
      </c>
      <c r="M3" s="13" t="str">
        <f t="shared" si="1"/>
        <v/>
      </c>
      <c r="N3" s="14">
        <f>+SUM(J3:L3)</f>
        <v>0</v>
      </c>
      <c r="O3" s="16"/>
    </row>
    <row r="4">
      <c r="A4" s="10" t="s">
        <v>9</v>
      </c>
      <c r="B4" s="15">
        <v>732427.58</v>
      </c>
      <c r="C4" s="15">
        <v>770769.34</v>
      </c>
      <c r="D4" s="15">
        <v>800355.47</v>
      </c>
      <c r="E4" s="15">
        <v>886262.0</v>
      </c>
      <c r="F4" s="15">
        <f>973696.34-488.9</f>
        <v>973207.44</v>
      </c>
      <c r="G4" s="15">
        <v>847800.0</v>
      </c>
      <c r="H4" s="15"/>
      <c r="I4" s="15"/>
      <c r="J4" s="15"/>
      <c r="K4" s="15"/>
      <c r="L4" s="15"/>
      <c r="M4" s="13"/>
      <c r="N4" s="14">
        <f>sum(B4:M4)</f>
        <v>5010821.83</v>
      </c>
      <c r="O4" s="16"/>
    </row>
    <row r="5">
      <c r="A5" s="10" t="s">
        <v>10</v>
      </c>
      <c r="B5" s="15">
        <v>2191.04</v>
      </c>
      <c r="C5" s="15">
        <f>2867.68-778.37</f>
        <v>2089.31</v>
      </c>
      <c r="D5" s="15">
        <v>1631.31</v>
      </c>
      <c r="E5" s="15">
        <v>2084.0</v>
      </c>
      <c r="F5" s="15">
        <v>1703.61</v>
      </c>
      <c r="G5" s="15">
        <v>712.87</v>
      </c>
      <c r="H5" s="15"/>
      <c r="I5" s="15"/>
      <c r="J5" s="15"/>
      <c r="K5" s="15"/>
      <c r="L5" s="15"/>
      <c r="M5" s="15"/>
      <c r="N5" s="14">
        <f t="shared" ref="N5:N6" si="2">+SUM(J5:L5)</f>
        <v>0</v>
      </c>
      <c r="O5" s="16"/>
    </row>
    <row r="6">
      <c r="A6" s="10" t="s">
        <v>11</v>
      </c>
      <c r="B6" s="15">
        <v>23024.37</v>
      </c>
      <c r="C6" s="15">
        <v>25314.0</v>
      </c>
      <c r="D6" s="15">
        <v>24302.51</v>
      </c>
      <c r="E6" s="15">
        <v>22763.0</v>
      </c>
      <c r="F6" s="15">
        <v>26718.18</v>
      </c>
      <c r="G6" s="15">
        <v>23545.76</v>
      </c>
      <c r="H6" s="15"/>
      <c r="I6" s="15"/>
      <c r="J6" s="15"/>
      <c r="K6" s="15"/>
      <c r="L6" s="15"/>
      <c r="M6" s="15"/>
      <c r="N6" s="14">
        <f t="shared" si="2"/>
        <v>0</v>
      </c>
      <c r="O6" s="16"/>
    </row>
    <row r="7">
      <c r="A7" s="10" t="s">
        <v>12</v>
      </c>
      <c r="B7" s="15">
        <v>58327.95</v>
      </c>
      <c r="C7" s="15">
        <v>52335.8</v>
      </c>
      <c r="D7" s="15">
        <v>53854.0</v>
      </c>
      <c r="E7" s="15">
        <v>53640.0</v>
      </c>
      <c r="F7" s="15">
        <v>45238.66</v>
      </c>
      <c r="G7" s="15">
        <v>56345.0</v>
      </c>
      <c r="H7" s="15"/>
      <c r="I7" s="15"/>
      <c r="J7" s="15"/>
      <c r="K7" s="15"/>
      <c r="L7" s="15"/>
      <c r="M7" s="15"/>
      <c r="N7" s="14">
        <f>sum(B7:M7)</f>
        <v>319741.41</v>
      </c>
      <c r="O7" s="16"/>
    </row>
    <row r="8">
      <c r="A8" s="8"/>
      <c r="B8" s="8"/>
      <c r="C8" s="8"/>
      <c r="D8" s="8"/>
      <c r="E8" s="8"/>
      <c r="F8" s="9"/>
      <c r="G8" s="8"/>
      <c r="H8" s="8"/>
      <c r="I8" s="8"/>
      <c r="J8" s="8"/>
      <c r="K8" s="8"/>
      <c r="L8" s="8"/>
      <c r="M8" s="8"/>
      <c r="N8" s="8"/>
      <c r="O8" s="8"/>
    </row>
    <row r="9">
      <c r="A9" s="18" t="s">
        <v>13</v>
      </c>
      <c r="B9" s="11">
        <f>2937485.15*1.05+74137.09*1.05</f>
        <v>3162203.352</v>
      </c>
      <c r="C9" s="11">
        <f>3392746.51*1.05+82143.75*1.05</f>
        <v>3648634.773</v>
      </c>
      <c r="D9" s="15">
        <f>3029420.51*1.05+73425.44*1.05</f>
        <v>3257988.248</v>
      </c>
      <c r="E9" s="11">
        <f>3285796.94*1.05+85414.34*1.05</f>
        <v>3539771.844</v>
      </c>
      <c r="F9" s="11">
        <f>3719187.2*1.05</f>
        <v>3905146.56</v>
      </c>
      <c r="G9" s="11">
        <f>3306302*1.05+90896.75*1.05</f>
        <v>3567058.688</v>
      </c>
      <c r="H9" s="11"/>
      <c r="I9" s="11"/>
      <c r="J9" s="11"/>
      <c r="K9" s="11"/>
      <c r="L9" s="11"/>
      <c r="M9" s="11"/>
      <c r="N9" s="14">
        <f t="shared" ref="N9:N12" si="3">+SUM(B9:M9)</f>
        <v>21080803.46</v>
      </c>
      <c r="O9" s="16"/>
    </row>
    <row r="10">
      <c r="A10" s="18" t="s">
        <v>14</v>
      </c>
      <c r="B10" s="17">
        <v>0.0</v>
      </c>
      <c r="C10" s="17">
        <v>0.0</v>
      </c>
      <c r="D10" s="17">
        <v>0.0</v>
      </c>
      <c r="E10" s="17">
        <v>0.0</v>
      </c>
      <c r="F10" s="17">
        <v>0.0</v>
      </c>
      <c r="G10" s="17">
        <v>0.0</v>
      </c>
      <c r="H10" s="17">
        <v>0.0</v>
      </c>
      <c r="I10" s="17">
        <v>0.0</v>
      </c>
      <c r="J10" s="17">
        <v>0.0</v>
      </c>
      <c r="K10" s="17">
        <v>0.0</v>
      </c>
      <c r="L10" s="17">
        <v>0.0</v>
      </c>
      <c r="M10" s="17">
        <v>0.0</v>
      </c>
      <c r="N10" s="14">
        <f t="shared" si="3"/>
        <v>0</v>
      </c>
      <c r="O10" s="16"/>
    </row>
    <row r="11">
      <c r="A11" s="20" t="s">
        <v>18</v>
      </c>
      <c r="B11" s="11">
        <f t="shared" ref="B11:M11" si="4">(B9+B10)/1.05*0.05</f>
        <v>150581.112</v>
      </c>
      <c r="C11" s="11">
        <f t="shared" si="4"/>
        <v>173744.513</v>
      </c>
      <c r="D11" s="11">
        <f t="shared" si="4"/>
        <v>155142.2975</v>
      </c>
      <c r="E11" s="11">
        <f t="shared" si="4"/>
        <v>168560.564</v>
      </c>
      <c r="F11" s="11">
        <f t="shared" si="4"/>
        <v>185959.36</v>
      </c>
      <c r="G11" s="11">
        <f t="shared" si="4"/>
        <v>169859.9375</v>
      </c>
      <c r="H11" s="11">
        <f t="shared" si="4"/>
        <v>0</v>
      </c>
      <c r="I11" s="11">
        <f t="shared" si="4"/>
        <v>0</v>
      </c>
      <c r="J11" s="11">
        <f t="shared" si="4"/>
        <v>0</v>
      </c>
      <c r="K11" s="11">
        <f t="shared" si="4"/>
        <v>0</v>
      </c>
      <c r="L11" s="11">
        <f t="shared" si="4"/>
        <v>0</v>
      </c>
      <c r="M11" s="11">
        <f t="shared" si="4"/>
        <v>0</v>
      </c>
      <c r="N11" s="14">
        <f t="shared" si="3"/>
        <v>1003847.784</v>
      </c>
      <c r="O11" s="16"/>
    </row>
    <row r="12">
      <c r="A12" s="20" t="s">
        <v>19</v>
      </c>
      <c r="B12" s="17">
        <f>172104.69*1.18+107023.36*1.18+20018.29*1.18+(3145.36-28.69)*1.18+190.72*1.18</f>
        <v>356895.4014</v>
      </c>
      <c r="C12" s="17">
        <f>190609.99*1.18+108477.94*1.18+270.75*1.18+4182.11*1.18+403.52+42158.73*1.18</f>
        <v>408328.9536</v>
      </c>
      <c r="D12" s="11">
        <f>1313.64*1.18+147914.73*1.05+1433.13*1.18+479.8*1.18+170161.13*1.18</f>
        <v>359907.9525</v>
      </c>
      <c r="E12" s="11">
        <f>198071.19*1.18+1262.08*1.18+174506.02*1.18</f>
        <v>441130.3622</v>
      </c>
      <c r="F12" s="11">
        <f>257084.05*1.18+160826.95*1.18+2131.47*1.18</f>
        <v>495650.1146</v>
      </c>
      <c r="G12" s="17">
        <f>211008.82*1.18+159441.1*1.18+1181.99*1.18+286.92*1.18</f>
        <v>438864.2194</v>
      </c>
      <c r="H12" s="11"/>
      <c r="I12" s="11"/>
      <c r="J12" s="17"/>
      <c r="K12" s="11"/>
      <c r="L12" s="11"/>
      <c r="M12" s="11"/>
      <c r="N12" s="14">
        <f t="shared" si="3"/>
        <v>2500777.004</v>
      </c>
      <c r="O12" s="16"/>
    </row>
    <row r="13">
      <c r="A13" s="19" t="s">
        <v>17</v>
      </c>
      <c r="B13" s="21">
        <f t="shared" ref="B13:M13" si="5">B9+B10-B11-B12</f>
        <v>2654726.839</v>
      </c>
      <c r="C13" s="21">
        <f t="shared" si="5"/>
        <v>3066561.306</v>
      </c>
      <c r="D13" s="21">
        <f t="shared" si="5"/>
        <v>2742937.998</v>
      </c>
      <c r="E13" s="21">
        <f t="shared" si="5"/>
        <v>2930080.918</v>
      </c>
      <c r="F13" s="22">
        <f t="shared" si="5"/>
        <v>3223537.085</v>
      </c>
      <c r="G13" s="22">
        <f t="shared" si="5"/>
        <v>2958334.531</v>
      </c>
      <c r="H13" s="21">
        <f t="shared" si="5"/>
        <v>0</v>
      </c>
      <c r="I13" s="21">
        <f t="shared" si="5"/>
        <v>0</v>
      </c>
      <c r="J13" s="21">
        <f t="shared" si="5"/>
        <v>0</v>
      </c>
      <c r="K13" s="21">
        <f t="shared" si="5"/>
        <v>0</v>
      </c>
      <c r="L13" s="21">
        <f t="shared" si="5"/>
        <v>0</v>
      </c>
      <c r="M13" s="21">
        <f t="shared" si="5"/>
        <v>0</v>
      </c>
      <c r="N13" s="21">
        <f t="shared" ref="N13:N29" si="7">sum(B13:M13)</f>
        <v>17576178.68</v>
      </c>
      <c r="O13" s="23"/>
    </row>
    <row r="14">
      <c r="A14" s="18" t="s">
        <v>20</v>
      </c>
      <c r="B14" s="17">
        <f t="shared" ref="B14:M14" si="6">+B3+B4-B5-B7</f>
        <v>719305.59</v>
      </c>
      <c r="C14" s="17">
        <f t="shared" si="6"/>
        <v>774672.18</v>
      </c>
      <c r="D14" s="17">
        <f t="shared" si="6"/>
        <v>797205.96</v>
      </c>
      <c r="E14" s="17">
        <f t="shared" si="6"/>
        <v>884392</v>
      </c>
      <c r="F14" s="17">
        <f t="shared" si="6"/>
        <v>979905.17</v>
      </c>
      <c r="G14" s="17">
        <f t="shared" si="6"/>
        <v>835980.79</v>
      </c>
      <c r="H14" s="17">
        <f t="shared" si="6"/>
        <v>56345</v>
      </c>
      <c r="I14" s="17">
        <f t="shared" si="6"/>
        <v>0</v>
      </c>
      <c r="J14" s="17">
        <f t="shared" si="6"/>
        <v>0</v>
      </c>
      <c r="K14" s="17">
        <f t="shared" si="6"/>
        <v>0</v>
      </c>
      <c r="L14" s="17">
        <f t="shared" si="6"/>
        <v>0</v>
      </c>
      <c r="M14" s="17">
        <f t="shared" si="6"/>
        <v>0</v>
      </c>
      <c r="N14" s="14">
        <f t="shared" si="7"/>
        <v>5047806.69</v>
      </c>
      <c r="O14" s="25">
        <f t="shared" ref="O14:O29" si="8">N14/$N$13</f>
        <v>0.2871959135</v>
      </c>
    </row>
    <row r="15">
      <c r="A15" s="18" t="s">
        <v>21</v>
      </c>
      <c r="B15" s="17">
        <f>136893</f>
        <v>136893</v>
      </c>
      <c r="C15" s="17">
        <f>146483</f>
        <v>146483</v>
      </c>
      <c r="D15" s="17">
        <v>143708.0</v>
      </c>
      <c r="E15" s="17">
        <v>143067.0</v>
      </c>
      <c r="F15" s="17">
        <v>146239.0</v>
      </c>
      <c r="G15" s="17">
        <v>131272.0</v>
      </c>
      <c r="H15" s="17"/>
      <c r="I15" s="17"/>
      <c r="J15" s="17"/>
      <c r="K15" s="17"/>
      <c r="L15" s="17"/>
      <c r="M15" s="17"/>
      <c r="N15" s="14">
        <f t="shared" si="7"/>
        <v>847662</v>
      </c>
      <c r="O15" s="25">
        <f t="shared" si="8"/>
        <v>0.04822788933</v>
      </c>
    </row>
    <row r="16">
      <c r="A16" s="18" t="s">
        <v>22</v>
      </c>
      <c r="B16" s="17">
        <v>2500.0</v>
      </c>
      <c r="C16" s="17">
        <v>2500.0</v>
      </c>
      <c r="D16" s="17">
        <v>2500.0</v>
      </c>
      <c r="E16" s="17">
        <v>2500.0</v>
      </c>
      <c r="F16" s="17">
        <f t="shared" ref="F16:M16" si="9">3540/12</f>
        <v>295</v>
      </c>
      <c r="G16" s="17">
        <f t="shared" si="9"/>
        <v>295</v>
      </c>
      <c r="H16" s="17">
        <f t="shared" si="9"/>
        <v>295</v>
      </c>
      <c r="I16" s="17">
        <f t="shared" si="9"/>
        <v>295</v>
      </c>
      <c r="J16" s="17">
        <f t="shared" si="9"/>
        <v>295</v>
      </c>
      <c r="K16" s="17">
        <f t="shared" si="9"/>
        <v>295</v>
      </c>
      <c r="L16" s="17">
        <f t="shared" si="9"/>
        <v>295</v>
      </c>
      <c r="M16" s="17">
        <f t="shared" si="9"/>
        <v>295</v>
      </c>
      <c r="N16" s="14">
        <f t="shared" si="7"/>
        <v>12360</v>
      </c>
      <c r="O16" s="25">
        <f t="shared" si="8"/>
        <v>0.0007032245306</v>
      </c>
    </row>
    <row r="17">
      <c r="A17" s="18" t="s">
        <v>23</v>
      </c>
      <c r="B17" s="17">
        <f>8832</f>
        <v>8832</v>
      </c>
      <c r="C17" s="17">
        <f>12808+12808+12808</f>
        <v>38424</v>
      </c>
      <c r="D17" s="17">
        <v>48832.0</v>
      </c>
      <c r="E17" s="17">
        <v>49304.0</v>
      </c>
      <c r="F17" s="17">
        <f>41963</f>
        <v>41963</v>
      </c>
      <c r="G17" s="17">
        <f>36517</f>
        <v>36517</v>
      </c>
      <c r="H17" s="17"/>
      <c r="I17" s="17"/>
      <c r="J17" s="17"/>
      <c r="K17" s="17"/>
      <c r="L17" s="17"/>
      <c r="M17" s="17"/>
      <c r="N17" s="14">
        <f t="shared" si="7"/>
        <v>223872</v>
      </c>
      <c r="O17" s="25">
        <f t="shared" si="8"/>
        <v>0.01273723965</v>
      </c>
    </row>
    <row r="18">
      <c r="A18" s="18" t="s">
        <v>24</v>
      </c>
      <c r="B18" s="17">
        <f t="shared" ref="B18:C18" si="10">185850</f>
        <v>185850</v>
      </c>
      <c r="C18" s="17">
        <f t="shared" si="10"/>
        <v>185850</v>
      </c>
      <c r="D18" s="17">
        <f t="shared" ref="D18:G18" si="11">195143</f>
        <v>195143</v>
      </c>
      <c r="E18" s="17">
        <f t="shared" si="11"/>
        <v>195143</v>
      </c>
      <c r="F18" s="17">
        <f t="shared" si="11"/>
        <v>195143</v>
      </c>
      <c r="G18" s="17">
        <f t="shared" si="11"/>
        <v>195143</v>
      </c>
      <c r="H18" s="17"/>
      <c r="I18" s="17"/>
      <c r="J18" s="17"/>
      <c r="K18" s="17"/>
      <c r="L18" s="17"/>
      <c r="M18" s="17"/>
      <c r="N18" s="14">
        <f t="shared" si="7"/>
        <v>1152272</v>
      </c>
      <c r="O18" s="25">
        <f t="shared" si="8"/>
        <v>0.06555873272</v>
      </c>
    </row>
    <row r="19">
      <c r="A19" s="18" t="s">
        <v>25</v>
      </c>
      <c r="B19" s="17">
        <v>3761.0</v>
      </c>
      <c r="C19" s="17">
        <v>3761.0</v>
      </c>
      <c r="D19" s="17">
        <v>3761.0</v>
      </c>
      <c r="E19" s="17">
        <v>3761.0</v>
      </c>
      <c r="F19" s="17">
        <v>3761.0</v>
      </c>
      <c r="G19" s="17">
        <v>3761.0</v>
      </c>
      <c r="H19" s="17"/>
      <c r="I19" s="17"/>
      <c r="J19" s="17"/>
      <c r="K19" s="17"/>
      <c r="L19" s="17"/>
      <c r="M19" s="17"/>
      <c r="N19" s="14">
        <f t="shared" si="7"/>
        <v>22566</v>
      </c>
      <c r="O19" s="25">
        <f t="shared" si="8"/>
        <v>0.001283896825</v>
      </c>
    </row>
    <row r="20">
      <c r="A20" s="20" t="s">
        <v>26</v>
      </c>
      <c r="B20" s="17">
        <f>25960+30483+15617+444894</f>
        <v>516954</v>
      </c>
      <c r="C20" s="17">
        <f>21240+25960+468921</f>
        <v>516121</v>
      </c>
      <c r="D20" s="17">
        <f>21240+5192+25960+431827+37480</f>
        <v>521699</v>
      </c>
      <c r="E20" s="17">
        <f>37480+25960+450879.73+6424+30077</f>
        <v>550820.73</v>
      </c>
      <c r="F20" s="17">
        <f>8746+444418+36902</f>
        <v>490066</v>
      </c>
      <c r="G20" s="17">
        <f>38261+449705</f>
        <v>487966</v>
      </c>
      <c r="H20" s="17"/>
      <c r="I20" s="17"/>
      <c r="J20" s="17"/>
      <c r="K20" s="17"/>
      <c r="L20" s="17"/>
      <c r="M20" s="17"/>
      <c r="N20" s="14">
        <f t="shared" si="7"/>
        <v>3083626.73</v>
      </c>
      <c r="O20" s="25">
        <f t="shared" si="8"/>
        <v>0.1754435243</v>
      </c>
    </row>
    <row r="21">
      <c r="A21" s="10" t="s">
        <v>27</v>
      </c>
      <c r="B21" s="17">
        <f t="shared" ref="B21:C21" si="12">1200+5145+2850+2974+2478</f>
        <v>14647</v>
      </c>
      <c r="C21" s="17">
        <f t="shared" si="12"/>
        <v>14647</v>
      </c>
      <c r="D21" s="17">
        <f>1200+1580+3271+2726+5145</f>
        <v>13922</v>
      </c>
      <c r="E21" s="17">
        <f>5145+3271+2726+1200</f>
        <v>12342</v>
      </c>
      <c r="F21" s="17">
        <f t="shared" ref="F21:G21" si="13">1200+3271+2726+5145</f>
        <v>12342</v>
      </c>
      <c r="G21" s="17">
        <f t="shared" si="13"/>
        <v>12342</v>
      </c>
      <c r="H21" s="17"/>
      <c r="I21" s="17"/>
      <c r="J21" s="17"/>
      <c r="K21" s="17"/>
      <c r="L21" s="17"/>
      <c r="M21" s="17"/>
      <c r="N21" s="14">
        <f t="shared" si="7"/>
        <v>80242</v>
      </c>
      <c r="O21" s="25">
        <f t="shared" si="8"/>
        <v>0.004565383721</v>
      </c>
    </row>
    <row r="22">
      <c r="A22" s="30" t="s">
        <v>28</v>
      </c>
      <c r="B22" s="17">
        <f t="shared" ref="B22:G22" si="14">2516.16/3+18000/3+9813/12+7080/12</f>
        <v>8246.47</v>
      </c>
      <c r="C22" s="17">
        <f t="shared" si="14"/>
        <v>8246.47</v>
      </c>
      <c r="D22" s="17">
        <f t="shared" si="14"/>
        <v>8246.47</v>
      </c>
      <c r="E22" s="17">
        <f t="shared" si="14"/>
        <v>8246.47</v>
      </c>
      <c r="F22" s="17">
        <f t="shared" si="14"/>
        <v>8246.47</v>
      </c>
      <c r="G22" s="17">
        <f t="shared" si="14"/>
        <v>8246.47</v>
      </c>
      <c r="H22" s="17">
        <f t="shared" ref="H22:M22" si="15">2516.16/3+18000/3+9813/12</f>
        <v>7656.47</v>
      </c>
      <c r="I22" s="17">
        <f t="shared" si="15"/>
        <v>7656.47</v>
      </c>
      <c r="J22" s="17">
        <f t="shared" si="15"/>
        <v>7656.47</v>
      </c>
      <c r="K22" s="17">
        <f t="shared" si="15"/>
        <v>7656.47</v>
      </c>
      <c r="L22" s="17">
        <f t="shared" si="15"/>
        <v>7656.47</v>
      </c>
      <c r="M22" s="17">
        <f t="shared" si="15"/>
        <v>7656.47</v>
      </c>
      <c r="N22" s="14">
        <f t="shared" si="7"/>
        <v>95417.64</v>
      </c>
      <c r="O22" s="25">
        <f t="shared" si="8"/>
        <v>0.00542880462</v>
      </c>
    </row>
    <row r="23">
      <c r="A23" s="20" t="s">
        <v>29</v>
      </c>
      <c r="B23" s="17">
        <v>1380.0</v>
      </c>
      <c r="C23" s="17">
        <f t="shared" ref="C23:M23" si="16">1698</f>
        <v>1698</v>
      </c>
      <c r="D23" s="17">
        <f t="shared" si="16"/>
        <v>1698</v>
      </c>
      <c r="E23" s="17">
        <f t="shared" si="16"/>
        <v>1698</v>
      </c>
      <c r="F23" s="17">
        <f t="shared" si="16"/>
        <v>1698</v>
      </c>
      <c r="G23" s="17">
        <f t="shared" si="16"/>
        <v>1698</v>
      </c>
      <c r="H23" s="17">
        <f t="shared" si="16"/>
        <v>1698</v>
      </c>
      <c r="I23" s="17">
        <f t="shared" si="16"/>
        <v>1698</v>
      </c>
      <c r="J23" s="17">
        <f t="shared" si="16"/>
        <v>1698</v>
      </c>
      <c r="K23" s="17">
        <f t="shared" si="16"/>
        <v>1698</v>
      </c>
      <c r="L23" s="17">
        <f t="shared" si="16"/>
        <v>1698</v>
      </c>
      <c r="M23" s="17">
        <f t="shared" si="16"/>
        <v>1698</v>
      </c>
      <c r="N23" s="14">
        <f t="shared" si="7"/>
        <v>20058</v>
      </c>
      <c r="O23" s="25">
        <f t="shared" si="8"/>
        <v>0.001141203692</v>
      </c>
    </row>
    <row r="24">
      <c r="A24" s="18" t="s">
        <v>30</v>
      </c>
      <c r="B24" s="17">
        <f>925</f>
        <v>925</v>
      </c>
      <c r="C24" s="17">
        <v>10961.0</v>
      </c>
      <c r="D24" s="17">
        <v>40209.0</v>
      </c>
      <c r="E24" s="17">
        <f>'Misc Exp'!B133</f>
        <v>36728</v>
      </c>
      <c r="F24" s="17">
        <f>'Misc Exp'!B90</f>
        <v>31373</v>
      </c>
      <c r="G24" s="17">
        <f>'Misc Exp'!B43</f>
        <v>18364</v>
      </c>
      <c r="H24" s="17"/>
      <c r="I24" s="17"/>
      <c r="J24" s="17"/>
      <c r="K24" s="17"/>
      <c r="L24" s="17"/>
      <c r="M24" s="17"/>
      <c r="N24" s="14">
        <f t="shared" si="7"/>
        <v>138560</v>
      </c>
      <c r="O24" s="25">
        <f t="shared" si="8"/>
        <v>0.007883397327</v>
      </c>
    </row>
    <row r="25">
      <c r="A25" s="18" t="s">
        <v>31</v>
      </c>
      <c r="B25" s="17">
        <f>48492/12+9930.53</f>
        <v>13971.53</v>
      </c>
      <c r="C25" s="17">
        <f>48492/12+44519.03</f>
        <v>48560.03</v>
      </c>
      <c r="D25" s="17">
        <f>48492/12+16308</f>
        <v>20349</v>
      </c>
      <c r="E25" s="17">
        <f>48492/12+'Misc Exp'!B126</f>
        <v>48814.34333</v>
      </c>
      <c r="F25" s="17">
        <f>48492/12+'Misc Exp'!B84</f>
        <v>19955.28</v>
      </c>
      <c r="G25" s="17">
        <f>48492/12+'Misc Exp'!B38</f>
        <v>82504.39</v>
      </c>
      <c r="H25" s="17">
        <f t="shared" ref="H25:M25" si="17">48492/12</f>
        <v>4041</v>
      </c>
      <c r="I25" s="17">
        <f t="shared" si="17"/>
        <v>4041</v>
      </c>
      <c r="J25" s="17">
        <f t="shared" si="17"/>
        <v>4041</v>
      </c>
      <c r="K25" s="17">
        <f t="shared" si="17"/>
        <v>4041</v>
      </c>
      <c r="L25" s="17">
        <f t="shared" si="17"/>
        <v>4041</v>
      </c>
      <c r="M25" s="17">
        <f t="shared" si="17"/>
        <v>4041</v>
      </c>
      <c r="N25" s="14">
        <f t="shared" si="7"/>
        <v>258400.5733</v>
      </c>
      <c r="O25" s="25">
        <f t="shared" si="8"/>
        <v>0.01470174934</v>
      </c>
    </row>
    <row r="26">
      <c r="A26" s="18" t="s">
        <v>32</v>
      </c>
      <c r="B26" s="17">
        <f>13335</f>
        <v>13335</v>
      </c>
      <c r="C26" s="17">
        <v>13687.0</v>
      </c>
      <c r="D26" s="17">
        <v>13645.0</v>
      </c>
      <c r="E26" s="17">
        <v>13926.0</v>
      </c>
      <c r="F26" s="17">
        <v>13704.0</v>
      </c>
      <c r="G26" s="17">
        <f>13428</f>
        <v>13428</v>
      </c>
      <c r="H26" s="17"/>
      <c r="I26" s="17"/>
      <c r="J26" s="17"/>
      <c r="K26" s="17"/>
      <c r="L26" s="17"/>
      <c r="M26" s="17"/>
      <c r="N26" s="14">
        <f t="shared" si="7"/>
        <v>81725</v>
      </c>
      <c r="O26" s="25">
        <f t="shared" si="8"/>
        <v>0.004649759285</v>
      </c>
    </row>
    <row r="27">
      <c r="A27" s="18" t="s">
        <v>33</v>
      </c>
      <c r="B27" s="17">
        <f>HO!D25</f>
        <v>589423.2769</v>
      </c>
      <c r="C27" s="17">
        <f>HO!H25</f>
        <v>644243.0527</v>
      </c>
      <c r="D27" s="17">
        <f>HO!L25</f>
        <v>601004.6549</v>
      </c>
      <c r="E27" s="17">
        <f>HO!P25</f>
        <v>640933.1524</v>
      </c>
      <c r="F27" s="17">
        <f>HO!D44</f>
        <v>640002.3663</v>
      </c>
      <c r="G27" s="17">
        <f>HO!H44</f>
        <v>662808.9178</v>
      </c>
      <c r="H27" s="17" t="str">
        <f>HO!L44</f>
        <v>#DIV/0!</v>
      </c>
      <c r="I27" s="17" t="str">
        <f>HO!P44</f>
        <v>#DIV/0!</v>
      </c>
      <c r="J27" s="17" t="str">
        <f>HO!D63</f>
        <v>#DIV/0!</v>
      </c>
      <c r="K27" s="17" t="str">
        <f>HO!H63</f>
        <v>#DIV/0!</v>
      </c>
      <c r="L27" s="17" t="str">
        <f>HO!L63</f>
        <v>#DIV/0!</v>
      </c>
      <c r="M27" s="17" t="str">
        <f>HO!P63</f>
        <v>#DIV/0!</v>
      </c>
      <c r="N27" s="14" t="str">
        <f t="shared" si="7"/>
        <v>#DIV/0!</v>
      </c>
      <c r="O27" s="25" t="str">
        <f t="shared" si="8"/>
        <v>#DIV/0!</v>
      </c>
    </row>
    <row r="28">
      <c r="A28" s="35" t="s">
        <v>34</v>
      </c>
      <c r="B28" s="36">
        <f t="shared" ref="B28:M28" si="18">+SUM(B14:B27)</f>
        <v>2216023.867</v>
      </c>
      <c r="C28" s="36">
        <f t="shared" si="18"/>
        <v>2409853.733</v>
      </c>
      <c r="D28" s="36">
        <f t="shared" si="18"/>
        <v>2411923.085</v>
      </c>
      <c r="E28" s="36">
        <f t="shared" si="18"/>
        <v>2591675.696</v>
      </c>
      <c r="F28" s="36">
        <f t="shared" si="18"/>
        <v>2584693.286</v>
      </c>
      <c r="G28" s="36">
        <f t="shared" si="18"/>
        <v>2490326.568</v>
      </c>
      <c r="H28" s="36" t="str">
        <f t="shared" si="18"/>
        <v>#DIV/0!</v>
      </c>
      <c r="I28" s="36" t="str">
        <f t="shared" si="18"/>
        <v>#DIV/0!</v>
      </c>
      <c r="J28" s="36" t="str">
        <f t="shared" si="18"/>
        <v>#DIV/0!</v>
      </c>
      <c r="K28" s="36" t="str">
        <f t="shared" si="18"/>
        <v>#DIV/0!</v>
      </c>
      <c r="L28" s="36" t="str">
        <f t="shared" si="18"/>
        <v>#DIV/0!</v>
      </c>
      <c r="M28" s="36" t="str">
        <f t="shared" si="18"/>
        <v>#DIV/0!</v>
      </c>
      <c r="N28" s="36" t="str">
        <f t="shared" si="7"/>
        <v>#DIV/0!</v>
      </c>
      <c r="O28" s="37" t="str">
        <f t="shared" si="8"/>
        <v>#DIV/0!</v>
      </c>
    </row>
    <row r="29">
      <c r="A29" s="38" t="s">
        <v>35</v>
      </c>
      <c r="B29" s="39">
        <f t="shared" ref="B29:M29" si="19">B13-B28</f>
        <v>438702.9717</v>
      </c>
      <c r="C29" s="39">
        <f t="shared" si="19"/>
        <v>656707.5737</v>
      </c>
      <c r="D29" s="39">
        <f t="shared" si="19"/>
        <v>331014.9126</v>
      </c>
      <c r="E29" s="39">
        <f t="shared" si="19"/>
        <v>338405.2221</v>
      </c>
      <c r="F29" s="39">
        <f t="shared" si="19"/>
        <v>638843.7991</v>
      </c>
      <c r="G29" s="39">
        <f t="shared" si="19"/>
        <v>468007.9628</v>
      </c>
      <c r="H29" s="39" t="str">
        <f t="shared" si="19"/>
        <v>#DIV/0!</v>
      </c>
      <c r="I29" s="39" t="str">
        <f t="shared" si="19"/>
        <v>#DIV/0!</v>
      </c>
      <c r="J29" s="39" t="str">
        <f t="shared" si="19"/>
        <v>#DIV/0!</v>
      </c>
      <c r="K29" s="39" t="str">
        <f t="shared" si="19"/>
        <v>#DIV/0!</v>
      </c>
      <c r="L29" s="39" t="str">
        <f t="shared" si="19"/>
        <v>#DIV/0!</v>
      </c>
      <c r="M29" s="39" t="str">
        <f t="shared" si="19"/>
        <v>#DIV/0!</v>
      </c>
      <c r="N29" s="39" t="str">
        <f t="shared" si="7"/>
        <v>#DIV/0!</v>
      </c>
      <c r="O29" s="40" t="str">
        <f t="shared" si="8"/>
        <v>#DIV/0!</v>
      </c>
    </row>
    <row r="30">
      <c r="A30" s="41" t="s">
        <v>36</v>
      </c>
      <c r="B30" s="42">
        <f t="shared" ref="B30:M30" si="20">(B14/B13)</f>
        <v>0.2709527698</v>
      </c>
      <c r="C30" s="42">
        <f t="shared" si="20"/>
        <v>0.2526191726</v>
      </c>
      <c r="D30" s="42">
        <f t="shared" si="20"/>
        <v>0.2906394387</v>
      </c>
      <c r="E30" s="42">
        <f t="shared" si="20"/>
        <v>0.3018319373</v>
      </c>
      <c r="F30" s="43">
        <f t="shared" si="20"/>
        <v>0.3039844568</v>
      </c>
      <c r="G30" s="42">
        <f t="shared" si="20"/>
        <v>0.2825849414</v>
      </c>
      <c r="H30" s="42" t="str">
        <f t="shared" si="20"/>
        <v>#DIV/0!</v>
      </c>
      <c r="I30" s="42" t="str">
        <f t="shared" si="20"/>
        <v>#DIV/0!</v>
      </c>
      <c r="J30" s="42" t="str">
        <f t="shared" si="20"/>
        <v>#DIV/0!</v>
      </c>
      <c r="K30" s="42" t="str">
        <f t="shared" si="20"/>
        <v>#DIV/0!</v>
      </c>
      <c r="L30" s="42" t="str">
        <f t="shared" si="20"/>
        <v>#DIV/0!</v>
      </c>
      <c r="M30" s="42" t="str">
        <f t="shared" si="20"/>
        <v>#DIV/0!</v>
      </c>
      <c r="N30" s="44"/>
      <c r="O30" s="44"/>
    </row>
    <row r="32">
      <c r="B32" s="51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</row>
    <row r="33">
      <c r="A33" s="46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</row>
    <row r="34">
      <c r="A34" s="46"/>
      <c r="B34" s="47"/>
      <c r="C34" s="47"/>
      <c r="D34" s="47"/>
      <c r="E34" s="47"/>
    </row>
    <row r="35">
      <c r="A35" s="6"/>
      <c r="B35" s="52"/>
      <c r="C35" s="52"/>
      <c r="D35" s="52"/>
      <c r="E35" s="52"/>
    </row>
    <row r="36">
      <c r="A36" s="46"/>
      <c r="B36" s="53"/>
      <c r="C36" s="53"/>
      <c r="D36" s="53"/>
      <c r="E36" s="53"/>
    </row>
    <row r="37">
      <c r="B37" s="45"/>
    </row>
    <row r="38">
      <c r="B38" s="47"/>
    </row>
  </sheetData>
  <mergeCells count="1">
    <mergeCell ref="N1:O1"/>
  </mergeCell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</cols>
  <sheetData>
    <row r="1">
      <c r="A1" s="1" t="s">
        <v>3</v>
      </c>
      <c r="B1" s="3">
        <f>Summary!C1</f>
        <v>46113</v>
      </c>
      <c r="C1" s="3">
        <f>Summary!D1</f>
        <v>46143</v>
      </c>
      <c r="D1" s="3">
        <f>Summary!E1</f>
        <v>46174</v>
      </c>
      <c r="E1" s="3">
        <f>Summary!F1</f>
        <v>46204</v>
      </c>
      <c r="F1" s="3">
        <f>Summary!G1</f>
        <v>46235</v>
      </c>
      <c r="G1" s="3">
        <f>Summary!H1</f>
        <v>46266</v>
      </c>
      <c r="H1" s="3">
        <f>Summary!I1</f>
        <v>46296</v>
      </c>
      <c r="I1" s="3">
        <f>Summary!J1</f>
        <v>46327</v>
      </c>
      <c r="J1" s="3">
        <f>Summary!K1</f>
        <v>46357</v>
      </c>
      <c r="K1" s="3">
        <f>Summary!L1</f>
        <v>46388</v>
      </c>
      <c r="L1" s="3">
        <f>Summary!M1</f>
        <v>46419</v>
      </c>
      <c r="M1" s="3">
        <f>Summary!N1</f>
        <v>46447</v>
      </c>
      <c r="N1" s="4" t="s">
        <v>5</v>
      </c>
      <c r="O1" s="5"/>
    </row>
    <row r="2">
      <c r="A2" s="7" t="s">
        <v>6</v>
      </c>
      <c r="B2" s="8"/>
      <c r="C2" s="8"/>
      <c r="D2" s="8"/>
      <c r="E2" s="8"/>
      <c r="F2" s="9"/>
      <c r="G2" s="8"/>
      <c r="H2" s="8"/>
      <c r="I2" s="8"/>
      <c r="J2" s="8"/>
      <c r="K2" s="8"/>
      <c r="L2" s="8"/>
      <c r="M2" s="8"/>
      <c r="N2" s="8"/>
      <c r="O2" s="8"/>
    </row>
    <row r="3">
      <c r="A3" s="10" t="s">
        <v>7</v>
      </c>
      <c r="B3" s="12">
        <v>35428.0</v>
      </c>
      <c r="C3" s="13">
        <f t="shared" ref="C3:M3" si="1">B7</f>
        <v>37509.58</v>
      </c>
      <c r="D3" s="11">
        <f t="shared" si="1"/>
        <v>34989.66</v>
      </c>
      <c r="E3" s="11">
        <f t="shared" si="1"/>
        <v>36958</v>
      </c>
      <c r="F3" s="11">
        <f t="shared" si="1"/>
        <v>30595</v>
      </c>
      <c r="G3" s="11">
        <f t="shared" si="1"/>
        <v>31908.61</v>
      </c>
      <c r="H3" s="11">
        <f t="shared" si="1"/>
        <v>33044</v>
      </c>
      <c r="I3" s="11" t="str">
        <f t="shared" si="1"/>
        <v/>
      </c>
      <c r="J3" s="11" t="str">
        <f t="shared" si="1"/>
        <v/>
      </c>
      <c r="K3" s="11" t="str">
        <f t="shared" si="1"/>
        <v/>
      </c>
      <c r="L3" s="11" t="str">
        <f t="shared" si="1"/>
        <v/>
      </c>
      <c r="M3" s="11" t="str">
        <f t="shared" si="1"/>
        <v/>
      </c>
      <c r="N3" s="14">
        <f>+SUM(J3:L3)</f>
        <v>0</v>
      </c>
      <c r="O3" s="14"/>
    </row>
    <row r="4">
      <c r="A4" s="10" t="s">
        <v>9</v>
      </c>
      <c r="B4" s="15">
        <v>562871.61</v>
      </c>
      <c r="C4" s="15">
        <v>588181.83</v>
      </c>
      <c r="D4" s="17">
        <f>579008-5538</f>
        <v>573470</v>
      </c>
      <c r="E4" s="17">
        <v>568791.8</v>
      </c>
      <c r="F4" s="17">
        <v>623082.0</v>
      </c>
      <c r="G4" s="17">
        <v>574798.71</v>
      </c>
      <c r="H4" s="17"/>
      <c r="I4" s="17"/>
      <c r="J4" s="17"/>
      <c r="K4" s="17"/>
      <c r="L4" s="17"/>
      <c r="M4" s="11"/>
      <c r="N4" s="14">
        <f>sum(B4:M4)</f>
        <v>3491195.95</v>
      </c>
      <c r="O4" s="14"/>
    </row>
    <row r="5">
      <c r="A5" s="10" t="s">
        <v>10</v>
      </c>
      <c r="B5" s="15">
        <v>1111.76</v>
      </c>
      <c r="C5" s="15">
        <v>1179.0</v>
      </c>
      <c r="D5" s="17">
        <v>389.0</v>
      </c>
      <c r="E5" s="17">
        <v>1445.0</v>
      </c>
      <c r="F5" s="17">
        <v>1421.0</v>
      </c>
      <c r="G5" s="17">
        <v>1007.31</v>
      </c>
      <c r="H5" s="17"/>
      <c r="I5" s="17"/>
      <c r="J5" s="17"/>
      <c r="K5" s="17"/>
      <c r="L5" s="17"/>
      <c r="M5" s="17"/>
      <c r="N5" s="14">
        <f t="shared" ref="N5:N6" si="2">+SUM(J5:L5)</f>
        <v>0</v>
      </c>
      <c r="O5" s="14"/>
    </row>
    <row r="6">
      <c r="A6" s="10" t="s">
        <v>11</v>
      </c>
      <c r="B6" s="15">
        <v>24335.4</v>
      </c>
      <c r="C6" s="15">
        <v>26774.59</v>
      </c>
      <c r="D6" s="17">
        <v>23288.0</v>
      </c>
      <c r="E6" s="17">
        <v>27085.61</v>
      </c>
      <c r="F6" s="17">
        <v>24981.0</v>
      </c>
      <c r="G6" s="17">
        <v>22543.0</v>
      </c>
      <c r="H6" s="17"/>
      <c r="I6" s="17"/>
      <c r="J6" s="17"/>
      <c r="K6" s="17"/>
      <c r="L6" s="17"/>
      <c r="M6" s="17"/>
      <c r="N6" s="14">
        <f t="shared" si="2"/>
        <v>0</v>
      </c>
      <c r="O6" s="14"/>
    </row>
    <row r="7">
      <c r="A7" s="10" t="s">
        <v>12</v>
      </c>
      <c r="B7" s="15">
        <v>37509.58</v>
      </c>
      <c r="C7" s="15">
        <v>34989.66</v>
      </c>
      <c r="D7" s="17">
        <v>36958.0</v>
      </c>
      <c r="E7" s="17">
        <v>30595.0</v>
      </c>
      <c r="F7" s="17">
        <v>31908.61</v>
      </c>
      <c r="G7" s="17">
        <v>33044.0</v>
      </c>
      <c r="H7" s="11"/>
      <c r="I7" s="17"/>
      <c r="J7" s="17"/>
      <c r="K7" s="17"/>
      <c r="L7" s="17"/>
      <c r="M7" s="17"/>
      <c r="N7" s="14">
        <f>sum(B7:M7)</f>
        <v>205004.85</v>
      </c>
      <c r="O7" s="14"/>
    </row>
    <row r="8">
      <c r="A8" s="8"/>
      <c r="B8" s="8"/>
      <c r="C8" s="8"/>
      <c r="D8" s="8"/>
      <c r="E8" s="8"/>
      <c r="F8" s="9"/>
      <c r="G8" s="8"/>
      <c r="H8" s="8"/>
      <c r="I8" s="8"/>
      <c r="J8" s="8"/>
      <c r="K8" s="8"/>
      <c r="L8" s="8"/>
      <c r="M8" s="8"/>
      <c r="N8" s="8"/>
      <c r="O8" s="8"/>
    </row>
    <row r="9">
      <c r="A9" s="18" t="s">
        <v>13</v>
      </c>
      <c r="B9" s="11">
        <f>2479117.74*1.05+24151.95*1.05</f>
        <v>2628433.175</v>
      </c>
      <c r="C9" s="11">
        <f>2625741.6*1.05+23977.21*1.05</f>
        <v>2782204.751</v>
      </c>
      <c r="D9" s="17">
        <f>2480097.36*1.05+20453.15*1.05</f>
        <v>2625578.036</v>
      </c>
      <c r="E9" s="11">
        <f>2568455*1.05+19718.68*1.05</f>
        <v>2717582.364</v>
      </c>
      <c r="F9" s="11">
        <f>2796976.77*1.05</f>
        <v>2936825.609</v>
      </c>
      <c r="G9" s="11">
        <f>2568529.88*1.05+25756.48*1.05</f>
        <v>2724000.678</v>
      </c>
      <c r="H9" s="11"/>
      <c r="I9" s="11"/>
      <c r="J9" s="11"/>
      <c r="K9" s="11"/>
      <c r="L9" s="11"/>
      <c r="M9" s="11"/>
      <c r="N9" s="14">
        <f t="shared" ref="N9:N12" si="3">+SUM(B9:M9)</f>
        <v>16414624.61</v>
      </c>
      <c r="O9" s="14"/>
    </row>
    <row r="10">
      <c r="A10" s="18" t="s">
        <v>14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4">
        <f t="shared" si="3"/>
        <v>0</v>
      </c>
      <c r="O10" s="14"/>
    </row>
    <row r="11">
      <c r="A11" s="18" t="s">
        <v>15</v>
      </c>
      <c r="B11" s="11">
        <f t="shared" ref="B11:M11" si="4">(B9+B10)/1.05*0.05</f>
        <v>125163.4845</v>
      </c>
      <c r="C11" s="11">
        <f t="shared" si="4"/>
        <v>132485.9405</v>
      </c>
      <c r="D11" s="11">
        <f t="shared" si="4"/>
        <v>125027.5255</v>
      </c>
      <c r="E11" s="11">
        <f t="shared" si="4"/>
        <v>129408.684</v>
      </c>
      <c r="F11" s="11">
        <f t="shared" si="4"/>
        <v>139848.8385</v>
      </c>
      <c r="G11" s="11">
        <f t="shared" si="4"/>
        <v>129714.318</v>
      </c>
      <c r="H11" s="11">
        <f t="shared" si="4"/>
        <v>0</v>
      </c>
      <c r="I11" s="11">
        <f t="shared" si="4"/>
        <v>0</v>
      </c>
      <c r="J11" s="11">
        <f t="shared" si="4"/>
        <v>0</v>
      </c>
      <c r="K11" s="11">
        <f t="shared" si="4"/>
        <v>0</v>
      </c>
      <c r="L11" s="11">
        <f t="shared" si="4"/>
        <v>0</v>
      </c>
      <c r="M11" s="11">
        <f t="shared" si="4"/>
        <v>0</v>
      </c>
      <c r="N11" s="14">
        <f t="shared" si="3"/>
        <v>781648.791</v>
      </c>
      <c r="O11" s="14"/>
    </row>
    <row r="12">
      <c r="A12" s="18" t="s">
        <v>16</v>
      </c>
      <c r="B12" s="11">
        <f>1166.78*1.18+55763.41*1.18+63565.48*1.18+11853.41*1.18+2254.16*1.18+42.47*1.18</f>
        <v>158881.9378</v>
      </c>
      <c r="C12" s="11">
        <f>56973.6*1.18+54806.19*1.18+204.09*1.18+2165.46*1.18+18083.24*1.18</f>
        <v>156034.4444</v>
      </c>
      <c r="D12" s="13">
        <f>48654.68*1.18+69683.37*1.18+1531.33*1.18+126.32*1.18</f>
        <v>141594.926</v>
      </c>
      <c r="E12" s="11">
        <f>47290.76*1.18+1408.79*1.18+12.91*1.18+75378.6*1.18</f>
        <v>146427.4508</v>
      </c>
      <c r="F12" s="11">
        <f>63616.54*1.18+82617.64*1.18+2049*1.18</f>
        <v>174974.1524</v>
      </c>
      <c r="G12" s="11">
        <f>60807.64*1.18+77132.64*1.18+1742.77*1.18+55.05*1.18</f>
        <v>164890.958</v>
      </c>
      <c r="H12" s="11"/>
      <c r="I12" s="11"/>
      <c r="J12" s="11"/>
      <c r="K12" s="11"/>
      <c r="L12" s="11"/>
      <c r="M12" s="11"/>
      <c r="N12" s="14">
        <f t="shared" si="3"/>
        <v>942803.8694</v>
      </c>
      <c r="O12" s="14"/>
    </row>
    <row r="13">
      <c r="A13" s="19" t="s">
        <v>17</v>
      </c>
      <c r="B13" s="21">
        <f t="shared" ref="B13:M13" si="5">B9+B10-B11-B12</f>
        <v>2344387.752</v>
      </c>
      <c r="C13" s="21">
        <f t="shared" si="5"/>
        <v>2493684.366</v>
      </c>
      <c r="D13" s="21">
        <f t="shared" si="5"/>
        <v>2358955.584</v>
      </c>
      <c r="E13" s="21">
        <f t="shared" si="5"/>
        <v>2441746.229</v>
      </c>
      <c r="F13" s="22">
        <f t="shared" si="5"/>
        <v>2622002.618</v>
      </c>
      <c r="G13" s="22">
        <f t="shared" si="5"/>
        <v>2429395.402</v>
      </c>
      <c r="H13" s="21">
        <f t="shared" si="5"/>
        <v>0</v>
      </c>
      <c r="I13" s="21">
        <f t="shared" si="5"/>
        <v>0</v>
      </c>
      <c r="J13" s="21">
        <f t="shared" si="5"/>
        <v>0</v>
      </c>
      <c r="K13" s="21">
        <f t="shared" si="5"/>
        <v>0</v>
      </c>
      <c r="L13" s="21">
        <f t="shared" si="5"/>
        <v>0</v>
      </c>
      <c r="M13" s="21">
        <f t="shared" si="5"/>
        <v>0</v>
      </c>
      <c r="N13" s="21">
        <f t="shared" ref="N13:N29" si="7">sum(B13:M13)</f>
        <v>14690171.95</v>
      </c>
      <c r="O13" s="23"/>
    </row>
    <row r="14">
      <c r="A14" s="18" t="s">
        <v>20</v>
      </c>
      <c r="B14" s="24">
        <f t="shared" ref="B14:M14" si="6">+B3+B4-B5-B7</f>
        <v>559678.27</v>
      </c>
      <c r="C14" s="24">
        <f t="shared" si="6"/>
        <v>589522.75</v>
      </c>
      <c r="D14" s="24">
        <f t="shared" si="6"/>
        <v>571112.66</v>
      </c>
      <c r="E14" s="24">
        <f t="shared" si="6"/>
        <v>573709.8</v>
      </c>
      <c r="F14" s="24">
        <f t="shared" si="6"/>
        <v>620347.39</v>
      </c>
      <c r="G14" s="24">
        <f t="shared" si="6"/>
        <v>572656.01</v>
      </c>
      <c r="H14" s="24">
        <f t="shared" si="6"/>
        <v>33044</v>
      </c>
      <c r="I14" s="24">
        <f t="shared" si="6"/>
        <v>0</v>
      </c>
      <c r="J14" s="24">
        <f t="shared" si="6"/>
        <v>0</v>
      </c>
      <c r="K14" s="24">
        <f t="shared" si="6"/>
        <v>0</v>
      </c>
      <c r="L14" s="24">
        <f t="shared" si="6"/>
        <v>0</v>
      </c>
      <c r="M14" s="24">
        <f t="shared" si="6"/>
        <v>0</v>
      </c>
      <c r="N14" s="14">
        <f t="shared" si="7"/>
        <v>3520070.88</v>
      </c>
      <c r="O14" s="25">
        <f t="shared" ref="O14:O29" si="8">N14/$N$13</f>
        <v>0.2396208085</v>
      </c>
    </row>
    <row r="15">
      <c r="A15" s="18" t="s">
        <v>21</v>
      </c>
      <c r="B15" s="17">
        <v>90862.0</v>
      </c>
      <c r="C15" s="17">
        <v>88404.0</v>
      </c>
      <c r="D15" s="17">
        <v>91315.0</v>
      </c>
      <c r="E15" s="17">
        <v>88033.0</v>
      </c>
      <c r="F15" s="17">
        <v>85413.0</v>
      </c>
      <c r="G15" s="17">
        <v>92617.0</v>
      </c>
      <c r="H15" s="17"/>
      <c r="I15" s="17"/>
      <c r="J15" s="17"/>
      <c r="K15" s="17"/>
      <c r="L15" s="17"/>
      <c r="M15" s="17"/>
      <c r="N15" s="14">
        <f t="shared" si="7"/>
        <v>536644</v>
      </c>
      <c r="O15" s="25">
        <f t="shared" si="8"/>
        <v>0.03653081814</v>
      </c>
    </row>
    <row r="16">
      <c r="A16" s="18" t="s">
        <v>22</v>
      </c>
      <c r="B16" s="17">
        <f t="shared" ref="B16:C16" si="9">1357</f>
        <v>1357</v>
      </c>
      <c r="C16" s="26">
        <f t="shared" si="9"/>
        <v>1357</v>
      </c>
      <c r="D16" s="17">
        <v>1357.0</v>
      </c>
      <c r="E16" s="26">
        <f t="shared" ref="E16:G16" si="10">1357</f>
        <v>1357</v>
      </c>
      <c r="F16" s="26">
        <f t="shared" si="10"/>
        <v>1357</v>
      </c>
      <c r="G16" s="26">
        <f t="shared" si="10"/>
        <v>1357</v>
      </c>
      <c r="H16" s="17"/>
      <c r="I16" s="17"/>
      <c r="J16" s="17"/>
      <c r="K16" s="17"/>
      <c r="L16" s="17"/>
      <c r="M16" s="11"/>
      <c r="N16" s="14">
        <f t="shared" si="7"/>
        <v>8142</v>
      </c>
      <c r="O16" s="25">
        <f t="shared" si="8"/>
        <v>0.0005542481073</v>
      </c>
    </row>
    <row r="17">
      <c r="A17" s="18" t="s">
        <v>23</v>
      </c>
      <c r="B17" s="17">
        <v>0.0</v>
      </c>
      <c r="C17" s="17">
        <v>0.0</v>
      </c>
      <c r="D17" s="17">
        <v>0.0</v>
      </c>
      <c r="E17" s="17">
        <v>0.0</v>
      </c>
      <c r="F17" s="17">
        <v>0.0</v>
      </c>
      <c r="G17" s="17">
        <v>0.0</v>
      </c>
      <c r="H17" s="11"/>
      <c r="I17" s="11"/>
      <c r="J17" s="11"/>
      <c r="K17" s="11"/>
      <c r="L17" s="11"/>
      <c r="M17" s="11"/>
      <c r="N17" s="14">
        <f t="shared" si="7"/>
        <v>0</v>
      </c>
      <c r="O17" s="25">
        <f t="shared" si="8"/>
        <v>0</v>
      </c>
    </row>
    <row r="18">
      <c r="A18" s="18" t="s">
        <v>24</v>
      </c>
      <c r="B18" s="11">
        <f>109740+149156</f>
        <v>258896</v>
      </c>
      <c r="C18" s="11">
        <f>109740+164549</f>
        <v>274289</v>
      </c>
      <c r="D18" s="11">
        <f>109740+149266</f>
        <v>259006</v>
      </c>
      <c r="E18" s="11">
        <f>109740+158254</f>
        <v>267994</v>
      </c>
      <c r="F18" s="11">
        <f>109740+179680</f>
        <v>289420</v>
      </c>
      <c r="G18" s="11">
        <f>109740+158515</f>
        <v>268255</v>
      </c>
      <c r="H18" s="11"/>
      <c r="I18" s="11"/>
      <c r="J18" s="11"/>
      <c r="K18" s="11"/>
      <c r="L18" s="11"/>
      <c r="M18" s="11"/>
      <c r="N18" s="14">
        <f t="shared" si="7"/>
        <v>1617860</v>
      </c>
      <c r="O18" s="25">
        <f t="shared" si="8"/>
        <v>0.110132135</v>
      </c>
    </row>
    <row r="19">
      <c r="A19" s="18" t="s">
        <v>25</v>
      </c>
      <c r="B19" s="17">
        <v>3761.0</v>
      </c>
      <c r="C19" s="17">
        <v>3761.0</v>
      </c>
      <c r="D19" s="17">
        <v>3761.0</v>
      </c>
      <c r="E19" s="17">
        <v>3761.0</v>
      </c>
      <c r="F19" s="17">
        <v>3761.0</v>
      </c>
      <c r="G19" s="17">
        <v>3761.0</v>
      </c>
      <c r="H19" s="17"/>
      <c r="I19" s="17"/>
      <c r="J19" s="17"/>
      <c r="K19" s="17"/>
      <c r="L19" s="17"/>
      <c r="M19" s="17"/>
      <c r="N19" s="14">
        <f t="shared" si="7"/>
        <v>22566</v>
      </c>
      <c r="O19" s="25">
        <f t="shared" si="8"/>
        <v>0.001536129058</v>
      </c>
    </row>
    <row r="20">
      <c r="A20" s="20" t="s">
        <v>26</v>
      </c>
      <c r="B20" s="11">
        <f>7808+1200+11000+320386</f>
        <v>340394</v>
      </c>
      <c r="C20" s="17">
        <f>11000+317125+26317+20302+5192</f>
        <v>379936</v>
      </c>
      <c r="D20" s="11">
        <f>26317+11000+332662+10385</f>
        <v>380364</v>
      </c>
      <c r="E20" s="11">
        <f>11000+15577+376925.7+30891</f>
        <v>434393.7</v>
      </c>
      <c r="F20" s="11">
        <f>309604.32+15577+11000</f>
        <v>336181.32</v>
      </c>
      <c r="G20" s="17">
        <f>15000+11000+308833</f>
        <v>334833</v>
      </c>
      <c r="H20" s="11"/>
      <c r="I20" s="11"/>
      <c r="J20" s="11"/>
      <c r="K20" s="11"/>
      <c r="L20" s="11"/>
      <c r="M20" s="11"/>
      <c r="N20" s="14">
        <f t="shared" si="7"/>
        <v>2206102.02</v>
      </c>
      <c r="O20" s="25">
        <f t="shared" si="8"/>
        <v>0.1501753708</v>
      </c>
    </row>
    <row r="21">
      <c r="A21" s="10" t="s">
        <v>27</v>
      </c>
      <c r="B21" s="17">
        <f t="shared" ref="B21:C21" si="11">2950+2478+2478</f>
        <v>7906</v>
      </c>
      <c r="C21" s="17">
        <f t="shared" si="11"/>
        <v>7906</v>
      </c>
      <c r="D21" s="17">
        <f>2726+2726+2950</f>
        <v>8402</v>
      </c>
      <c r="E21" s="11">
        <f>2950+2726+2726</f>
        <v>8402</v>
      </c>
      <c r="F21" s="11">
        <f t="shared" ref="F21:G21" si="12">7875+2726+2726+2950</f>
        <v>16277</v>
      </c>
      <c r="G21" s="11">
        <f t="shared" si="12"/>
        <v>16277</v>
      </c>
      <c r="H21" s="11"/>
      <c r="I21" s="11"/>
      <c r="J21" s="11"/>
      <c r="K21" s="11"/>
      <c r="L21" s="11"/>
      <c r="M21" s="11"/>
      <c r="N21" s="14">
        <f t="shared" si="7"/>
        <v>65170</v>
      </c>
      <c r="O21" s="25">
        <f t="shared" si="8"/>
        <v>0.004436299331</v>
      </c>
    </row>
    <row r="22">
      <c r="A22" s="30" t="s">
        <v>28</v>
      </c>
      <c r="B22" s="17">
        <f t="shared" ref="B22:G22" si="13">2516.16/3+24000/3+9813/12+7080/12</f>
        <v>10246.47</v>
      </c>
      <c r="C22" s="17">
        <f t="shared" si="13"/>
        <v>10246.47</v>
      </c>
      <c r="D22" s="17">
        <f t="shared" si="13"/>
        <v>10246.47</v>
      </c>
      <c r="E22" s="17">
        <f t="shared" si="13"/>
        <v>10246.47</v>
      </c>
      <c r="F22" s="17">
        <f t="shared" si="13"/>
        <v>10246.47</v>
      </c>
      <c r="G22" s="17">
        <f t="shared" si="13"/>
        <v>10246.47</v>
      </c>
      <c r="H22" s="11">
        <f t="shared" ref="H22:M22" si="14">9813/12</f>
        <v>817.75</v>
      </c>
      <c r="I22" s="11">
        <f t="shared" si="14"/>
        <v>817.75</v>
      </c>
      <c r="J22" s="11">
        <f t="shared" si="14"/>
        <v>817.75</v>
      </c>
      <c r="K22" s="11">
        <f t="shared" si="14"/>
        <v>817.75</v>
      </c>
      <c r="L22" s="11">
        <f t="shared" si="14"/>
        <v>817.75</v>
      </c>
      <c r="M22" s="11">
        <f t="shared" si="14"/>
        <v>817.75</v>
      </c>
      <c r="N22" s="14">
        <f t="shared" si="7"/>
        <v>66385.32</v>
      </c>
      <c r="O22" s="25">
        <f t="shared" si="8"/>
        <v>0.004519029472</v>
      </c>
    </row>
    <row r="23">
      <c r="A23" s="20" t="s">
        <v>29</v>
      </c>
      <c r="B23" s="32">
        <f t="shared" ref="B23:M23" si="15">7616.9/12+1353/12</f>
        <v>747.4916667</v>
      </c>
      <c r="C23" s="32">
        <f t="shared" si="15"/>
        <v>747.4916667</v>
      </c>
      <c r="D23" s="32">
        <f t="shared" si="15"/>
        <v>747.4916667</v>
      </c>
      <c r="E23" s="32">
        <f t="shared" si="15"/>
        <v>747.4916667</v>
      </c>
      <c r="F23" s="32">
        <f t="shared" si="15"/>
        <v>747.4916667</v>
      </c>
      <c r="G23" s="32">
        <f t="shared" si="15"/>
        <v>747.4916667</v>
      </c>
      <c r="H23" s="32">
        <f t="shared" si="15"/>
        <v>747.4916667</v>
      </c>
      <c r="I23" s="32">
        <f t="shared" si="15"/>
        <v>747.4916667</v>
      </c>
      <c r="J23" s="32">
        <f t="shared" si="15"/>
        <v>747.4916667</v>
      </c>
      <c r="K23" s="32">
        <f t="shared" si="15"/>
        <v>747.4916667</v>
      </c>
      <c r="L23" s="32">
        <f t="shared" si="15"/>
        <v>747.4916667</v>
      </c>
      <c r="M23" s="32">
        <f t="shared" si="15"/>
        <v>747.4916667</v>
      </c>
      <c r="N23" s="14">
        <f t="shared" si="7"/>
        <v>8969.9</v>
      </c>
      <c r="O23" s="25">
        <f t="shared" si="8"/>
        <v>0.0006106055144</v>
      </c>
    </row>
    <row r="24">
      <c r="A24" s="18" t="s">
        <v>30</v>
      </c>
      <c r="B24" s="32">
        <f>18814.58</f>
        <v>18814.58</v>
      </c>
      <c r="C24" s="32">
        <f>998</f>
        <v>998</v>
      </c>
      <c r="D24" s="32">
        <v>42830.0</v>
      </c>
      <c r="E24" s="34">
        <f>'Misc Exp'!H133</f>
        <v>16840</v>
      </c>
      <c r="F24" s="34">
        <f>'Misc Exp'!H90</f>
        <v>18157</v>
      </c>
      <c r="G24" s="34">
        <f>'Misc Exp'!H43</f>
        <v>23121</v>
      </c>
      <c r="H24" s="34"/>
      <c r="I24" s="34"/>
      <c r="J24" s="34"/>
      <c r="K24" s="34"/>
      <c r="L24" s="34"/>
      <c r="M24" s="34"/>
      <c r="N24" s="14">
        <f t="shared" si="7"/>
        <v>120760.58</v>
      </c>
      <c r="O24" s="25">
        <f t="shared" si="8"/>
        <v>0.008220501462</v>
      </c>
    </row>
    <row r="25">
      <c r="A25" s="18" t="s">
        <v>31</v>
      </c>
      <c r="B25" s="17">
        <f>8700/12</f>
        <v>725</v>
      </c>
      <c r="C25" s="17">
        <f>8700/12+40098.94</f>
        <v>40823.94</v>
      </c>
      <c r="D25" s="17">
        <f>8700/12+25110</f>
        <v>25835</v>
      </c>
      <c r="E25" s="17">
        <f>8700/12+'Misc Exp'!H126</f>
        <v>36758.9775</v>
      </c>
      <c r="F25" s="17">
        <f>8700/12+'Misc Exp'!H84</f>
        <v>22486.69</v>
      </c>
      <c r="G25" s="17">
        <f>8700/12+'Misc Exp'!H38</f>
        <v>28794.2</v>
      </c>
      <c r="H25" s="17">
        <f t="shared" ref="H25:M25" si="16">8700/12</f>
        <v>725</v>
      </c>
      <c r="I25" s="17">
        <f t="shared" si="16"/>
        <v>725</v>
      </c>
      <c r="J25" s="17">
        <f t="shared" si="16"/>
        <v>725</v>
      </c>
      <c r="K25" s="17">
        <f t="shared" si="16"/>
        <v>725</v>
      </c>
      <c r="L25" s="17">
        <f t="shared" si="16"/>
        <v>725</v>
      </c>
      <c r="M25" s="17">
        <f t="shared" si="16"/>
        <v>725</v>
      </c>
      <c r="N25" s="14">
        <f t="shared" si="7"/>
        <v>159773.8075</v>
      </c>
      <c r="O25" s="25">
        <f t="shared" si="8"/>
        <v>0.01087623808</v>
      </c>
    </row>
    <row r="26">
      <c r="A26" s="18" t="s">
        <v>32</v>
      </c>
      <c r="B26" s="17">
        <f>14160</f>
        <v>14160</v>
      </c>
      <c r="C26" s="17">
        <v>14160.0</v>
      </c>
      <c r="D26" s="17">
        <v>14160.0</v>
      </c>
      <c r="E26" s="17">
        <v>14160.0</v>
      </c>
      <c r="F26" s="17">
        <v>14160.0</v>
      </c>
      <c r="G26" s="17">
        <v>14160.0</v>
      </c>
      <c r="H26" s="17"/>
      <c r="I26" s="17"/>
      <c r="J26" s="17"/>
      <c r="K26" s="17"/>
      <c r="L26" s="17"/>
      <c r="M26" s="17"/>
      <c r="N26" s="14">
        <f t="shared" si="7"/>
        <v>84960</v>
      </c>
      <c r="O26" s="25">
        <f t="shared" si="8"/>
        <v>0.005783458511</v>
      </c>
    </row>
    <row r="27">
      <c r="A27" s="18" t="s">
        <v>33</v>
      </c>
      <c r="B27" s="11">
        <f>HO!D26</f>
        <v>520519.3586</v>
      </c>
      <c r="C27" s="11">
        <f>HO!H26</f>
        <v>523889.3561</v>
      </c>
      <c r="D27" s="11">
        <f>HO!L26</f>
        <v>516870.3368</v>
      </c>
      <c r="E27" s="11">
        <f>HO!P26</f>
        <v>534113.6139</v>
      </c>
      <c r="F27" s="11">
        <f>HO!D45</f>
        <v>520573.468</v>
      </c>
      <c r="G27" s="11">
        <f>HO!H45</f>
        <v>544301.167</v>
      </c>
      <c r="H27" s="11" t="str">
        <f>HO!L45</f>
        <v>#DIV/0!</v>
      </c>
      <c r="I27" s="11" t="str">
        <f>HO!P45</f>
        <v>#DIV/0!</v>
      </c>
      <c r="J27" s="11" t="str">
        <f>HO!D64</f>
        <v>#DIV/0!</v>
      </c>
      <c r="K27" s="11" t="str">
        <f>HO!H64</f>
        <v>#DIV/0!</v>
      </c>
      <c r="L27" s="11" t="str">
        <f>HO!L64</f>
        <v>#DIV/0!</v>
      </c>
      <c r="M27" s="11" t="str">
        <f>HO!P64</f>
        <v>#DIV/0!</v>
      </c>
      <c r="N27" s="14" t="str">
        <f t="shared" si="7"/>
        <v>#DIV/0!</v>
      </c>
      <c r="O27" s="25" t="str">
        <f t="shared" si="8"/>
        <v>#DIV/0!</v>
      </c>
    </row>
    <row r="28">
      <c r="A28" s="35" t="s">
        <v>34</v>
      </c>
      <c r="B28" s="36">
        <f t="shared" ref="B28:M28" si="17">+SUM(B14:B27)</f>
        <v>1828067.17</v>
      </c>
      <c r="C28" s="36">
        <f t="shared" si="17"/>
        <v>1936041.008</v>
      </c>
      <c r="D28" s="36">
        <f t="shared" si="17"/>
        <v>1926006.958</v>
      </c>
      <c r="E28" s="36">
        <f t="shared" si="17"/>
        <v>1990517.053</v>
      </c>
      <c r="F28" s="36">
        <f t="shared" si="17"/>
        <v>1939127.83</v>
      </c>
      <c r="G28" s="36">
        <f t="shared" si="17"/>
        <v>1911126.339</v>
      </c>
      <c r="H28" s="36" t="str">
        <f t="shared" si="17"/>
        <v>#DIV/0!</v>
      </c>
      <c r="I28" s="36" t="str">
        <f t="shared" si="17"/>
        <v>#DIV/0!</v>
      </c>
      <c r="J28" s="36" t="str">
        <f t="shared" si="17"/>
        <v>#DIV/0!</v>
      </c>
      <c r="K28" s="36" t="str">
        <f t="shared" si="17"/>
        <v>#DIV/0!</v>
      </c>
      <c r="L28" s="36" t="str">
        <f t="shared" si="17"/>
        <v>#DIV/0!</v>
      </c>
      <c r="M28" s="36" t="str">
        <f t="shared" si="17"/>
        <v>#DIV/0!</v>
      </c>
      <c r="N28" s="36" t="str">
        <f t="shared" si="7"/>
        <v>#DIV/0!</v>
      </c>
      <c r="O28" s="37" t="str">
        <f t="shared" si="8"/>
        <v>#DIV/0!</v>
      </c>
    </row>
    <row r="29">
      <c r="A29" s="38" t="s">
        <v>35</v>
      </c>
      <c r="B29" s="39">
        <f t="shared" ref="B29:M29" si="18">B13-B28</f>
        <v>516320.5819</v>
      </c>
      <c r="C29" s="39">
        <f t="shared" si="18"/>
        <v>557643.3579</v>
      </c>
      <c r="D29" s="39">
        <f t="shared" si="18"/>
        <v>432948.6255</v>
      </c>
      <c r="E29" s="39">
        <f t="shared" si="18"/>
        <v>451229.1761</v>
      </c>
      <c r="F29" s="39">
        <f t="shared" si="18"/>
        <v>682874.7879</v>
      </c>
      <c r="G29" s="39">
        <f t="shared" si="18"/>
        <v>518269.0633</v>
      </c>
      <c r="H29" s="39" t="str">
        <f t="shared" si="18"/>
        <v>#DIV/0!</v>
      </c>
      <c r="I29" s="39" t="str">
        <f t="shared" si="18"/>
        <v>#DIV/0!</v>
      </c>
      <c r="J29" s="39" t="str">
        <f t="shared" si="18"/>
        <v>#DIV/0!</v>
      </c>
      <c r="K29" s="39" t="str">
        <f t="shared" si="18"/>
        <v>#DIV/0!</v>
      </c>
      <c r="L29" s="39" t="str">
        <f t="shared" si="18"/>
        <v>#DIV/0!</v>
      </c>
      <c r="M29" s="39" t="str">
        <f t="shared" si="18"/>
        <v>#DIV/0!</v>
      </c>
      <c r="N29" s="39" t="str">
        <f t="shared" si="7"/>
        <v>#DIV/0!</v>
      </c>
      <c r="O29" s="40" t="str">
        <f t="shared" si="8"/>
        <v>#DIV/0!</v>
      </c>
    </row>
    <row r="30">
      <c r="A30" s="41" t="s">
        <v>36</v>
      </c>
      <c r="B30" s="42">
        <f t="shared" ref="B30:M30" si="19">(B14/B13)</f>
        <v>0.2387311013</v>
      </c>
      <c r="C30" s="42">
        <f t="shared" si="19"/>
        <v>0.2364063224</v>
      </c>
      <c r="D30" s="42">
        <f t="shared" si="19"/>
        <v>0.2421040328</v>
      </c>
      <c r="E30" s="42">
        <f t="shared" si="19"/>
        <v>0.2349588148</v>
      </c>
      <c r="F30" s="43">
        <f t="shared" si="19"/>
        <v>0.2365929713</v>
      </c>
      <c r="G30" s="42">
        <f t="shared" si="19"/>
        <v>0.2357195578</v>
      </c>
      <c r="H30" s="42" t="str">
        <f t="shared" si="19"/>
        <v>#DIV/0!</v>
      </c>
      <c r="I30" s="42" t="str">
        <f t="shared" si="19"/>
        <v>#DIV/0!</v>
      </c>
      <c r="J30" s="42" t="str">
        <f t="shared" si="19"/>
        <v>#DIV/0!</v>
      </c>
      <c r="K30" s="42" t="str">
        <f t="shared" si="19"/>
        <v>#DIV/0!</v>
      </c>
      <c r="L30" s="42" t="str">
        <f t="shared" si="19"/>
        <v>#DIV/0!</v>
      </c>
      <c r="M30" s="42" t="str">
        <f t="shared" si="19"/>
        <v>#DIV/0!</v>
      </c>
      <c r="N30" s="44"/>
      <c r="O30" s="44"/>
    </row>
    <row r="32"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</row>
    <row r="33">
      <c r="A33" s="46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</row>
    <row r="34">
      <c r="A34" s="46"/>
      <c r="B34" s="47"/>
      <c r="C34" s="47"/>
      <c r="D34" s="47"/>
      <c r="E34" s="47"/>
    </row>
    <row r="35">
      <c r="A35" s="6"/>
      <c r="B35" s="47"/>
      <c r="C35" s="47"/>
      <c r="D35" s="47"/>
      <c r="E35" s="47"/>
    </row>
    <row r="36">
      <c r="A36" s="46"/>
      <c r="B36" s="47"/>
      <c r="C36" s="47"/>
      <c r="D36" s="47"/>
      <c r="E36" s="47"/>
    </row>
  </sheetData>
  <mergeCells count="1">
    <mergeCell ref="N1:O1"/>
  </mergeCell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15" max="15" width="9.5"/>
  </cols>
  <sheetData>
    <row r="1">
      <c r="A1" s="1" t="s">
        <v>4</v>
      </c>
      <c r="B1" s="3">
        <f>Summary!C1</f>
        <v>46113</v>
      </c>
      <c r="C1" s="3">
        <f>Summary!D1</f>
        <v>46143</v>
      </c>
      <c r="D1" s="3">
        <f>Summary!E1</f>
        <v>46174</v>
      </c>
      <c r="E1" s="3">
        <f>Summary!F1</f>
        <v>46204</v>
      </c>
      <c r="F1" s="3">
        <f>Summary!G1</f>
        <v>46235</v>
      </c>
      <c r="G1" s="3">
        <f>Summary!H1</f>
        <v>46266</v>
      </c>
      <c r="H1" s="3">
        <f>Summary!I1</f>
        <v>46296</v>
      </c>
      <c r="I1" s="3">
        <f>Summary!J1</f>
        <v>46327</v>
      </c>
      <c r="J1" s="3">
        <f>Summary!K1</f>
        <v>46357</v>
      </c>
      <c r="K1" s="3">
        <f>Summary!L1</f>
        <v>46388</v>
      </c>
      <c r="L1" s="3">
        <f>Summary!M1</f>
        <v>46419</v>
      </c>
      <c r="M1" s="3">
        <f>Summary!N1</f>
        <v>46447</v>
      </c>
      <c r="N1" s="4" t="s">
        <v>5</v>
      </c>
      <c r="O1" s="5"/>
    </row>
    <row r="2">
      <c r="A2" s="7" t="s">
        <v>6</v>
      </c>
      <c r="B2" s="8"/>
      <c r="C2" s="8"/>
      <c r="D2" s="8"/>
      <c r="E2" s="8"/>
      <c r="F2" s="9"/>
      <c r="G2" s="8"/>
      <c r="H2" s="8"/>
      <c r="I2" s="8"/>
      <c r="J2" s="8"/>
      <c r="K2" s="8"/>
      <c r="L2" s="8"/>
      <c r="M2" s="8"/>
      <c r="N2" s="8"/>
      <c r="O2" s="8"/>
    </row>
    <row r="3">
      <c r="A3" s="10" t="s">
        <v>7</v>
      </c>
      <c r="B3" s="12">
        <v>19397.0</v>
      </c>
      <c r="C3" s="13">
        <f t="shared" ref="C3:M3" si="1">B7</f>
        <v>24657.25</v>
      </c>
      <c r="D3" s="13">
        <f t="shared" si="1"/>
        <v>26834.46</v>
      </c>
      <c r="E3" s="13">
        <f t="shared" si="1"/>
        <v>28638</v>
      </c>
      <c r="F3" s="13">
        <f t="shared" si="1"/>
        <v>21575.79</v>
      </c>
      <c r="G3" s="13">
        <f t="shared" si="1"/>
        <v>20884.91</v>
      </c>
      <c r="H3" s="13">
        <f t="shared" si="1"/>
        <v>22345.43</v>
      </c>
      <c r="I3" s="13" t="str">
        <f t="shared" si="1"/>
        <v/>
      </c>
      <c r="J3" s="13" t="str">
        <f t="shared" si="1"/>
        <v/>
      </c>
      <c r="K3" s="13" t="str">
        <f t="shared" si="1"/>
        <v/>
      </c>
      <c r="L3" s="13" t="str">
        <f t="shared" si="1"/>
        <v/>
      </c>
      <c r="M3" s="13" t="str">
        <f t="shared" si="1"/>
        <v/>
      </c>
      <c r="N3" s="14">
        <f>B3</f>
        <v>19397</v>
      </c>
      <c r="O3" s="16"/>
    </row>
    <row r="4">
      <c r="A4" s="10" t="s">
        <v>9</v>
      </c>
      <c r="B4" s="15">
        <v>137018.48</v>
      </c>
      <c r="C4" s="15">
        <v>145617.0</v>
      </c>
      <c r="D4" s="15">
        <v>164453.0</v>
      </c>
      <c r="E4" s="15">
        <f>153507-156.75</f>
        <v>153350.25</v>
      </c>
      <c r="F4" s="15">
        <v>165482.82</v>
      </c>
      <c r="G4" s="15">
        <v>164119.5</v>
      </c>
      <c r="H4" s="15"/>
      <c r="I4" s="15"/>
      <c r="J4" s="15"/>
      <c r="K4" s="15"/>
      <c r="L4" s="15"/>
      <c r="M4" s="15"/>
      <c r="N4" s="14">
        <f>sum(B4:M4)</f>
        <v>930041.05</v>
      </c>
      <c r="O4" s="16"/>
    </row>
    <row r="5">
      <c r="A5" s="10" t="s">
        <v>10</v>
      </c>
      <c r="B5" s="15">
        <v>1623.62</v>
      </c>
      <c r="C5" s="15">
        <v>92.49</v>
      </c>
      <c r="D5" s="15">
        <v>2159.0</v>
      </c>
      <c r="E5" s="15">
        <v>1353.0</v>
      </c>
      <c r="F5" s="15">
        <v>733.96</v>
      </c>
      <c r="G5" s="15">
        <v>139.5</v>
      </c>
      <c r="H5" s="15"/>
      <c r="I5" s="15"/>
      <c r="J5" s="15"/>
      <c r="K5" s="15"/>
      <c r="L5" s="13"/>
      <c r="M5" s="15"/>
      <c r="N5" s="14">
        <f t="shared" ref="N5:N6" si="2">+SUM(J5:L5)</f>
        <v>0</v>
      </c>
      <c r="O5" s="16"/>
    </row>
    <row r="6">
      <c r="A6" s="10" t="s">
        <v>11</v>
      </c>
      <c r="B6" s="15">
        <v>4149.1</v>
      </c>
      <c r="C6" s="15">
        <v>4016.42</v>
      </c>
      <c r="D6" s="15">
        <v>4305.0</v>
      </c>
      <c r="E6" s="15">
        <v>5587.0</v>
      </c>
      <c r="F6" s="15">
        <v>8583.73</v>
      </c>
      <c r="G6" s="15">
        <v>13065.03</v>
      </c>
      <c r="H6" s="15"/>
      <c r="I6" s="15"/>
      <c r="J6" s="15"/>
      <c r="K6" s="15"/>
      <c r="L6" s="15"/>
      <c r="M6" s="15"/>
      <c r="N6" s="14">
        <f t="shared" si="2"/>
        <v>0</v>
      </c>
      <c r="O6" s="16"/>
    </row>
    <row r="7">
      <c r="A7" s="10" t="s">
        <v>12</v>
      </c>
      <c r="B7" s="15">
        <v>24657.25</v>
      </c>
      <c r="C7" s="15">
        <v>26834.46</v>
      </c>
      <c r="D7" s="15">
        <v>28638.0</v>
      </c>
      <c r="E7" s="15">
        <v>21575.79</v>
      </c>
      <c r="F7" s="15">
        <v>20884.91</v>
      </c>
      <c r="G7" s="15">
        <v>22345.43</v>
      </c>
      <c r="H7" s="15"/>
      <c r="I7" s="15"/>
      <c r="J7" s="15"/>
      <c r="K7" s="15"/>
      <c r="L7" s="15"/>
      <c r="M7" s="15"/>
      <c r="N7" s="14">
        <f>sum(B7:M7)</f>
        <v>144935.84</v>
      </c>
      <c r="O7" s="16"/>
    </row>
    <row r="8">
      <c r="A8" s="8"/>
      <c r="B8" s="8"/>
      <c r="C8" s="8"/>
      <c r="D8" s="8"/>
      <c r="E8" s="8"/>
      <c r="F8" s="9"/>
      <c r="G8" s="8"/>
      <c r="H8" s="8"/>
      <c r="I8" s="8"/>
      <c r="J8" s="8"/>
      <c r="K8" s="8"/>
      <c r="L8" s="8"/>
      <c r="M8" s="8"/>
      <c r="N8" s="8"/>
      <c r="O8" s="8"/>
    </row>
    <row r="9">
      <c r="A9" s="18" t="s">
        <v>13</v>
      </c>
      <c r="B9" s="11">
        <f>646989.41*1.05</f>
        <v>679338.8805</v>
      </c>
      <c r="C9" s="11">
        <f>714949.64*1.05</f>
        <v>750697.122</v>
      </c>
      <c r="D9" s="11">
        <f>805796.68*1.05</f>
        <v>846086.514</v>
      </c>
      <c r="E9" s="11">
        <f>719156.82*1.05</f>
        <v>755114.661</v>
      </c>
      <c r="F9" s="11">
        <f>690888.59*1.05</f>
        <v>725433.0195</v>
      </c>
      <c r="G9" s="11">
        <f>738345.92*1.05</f>
        <v>775263.216</v>
      </c>
      <c r="H9" s="11"/>
      <c r="I9" s="11"/>
      <c r="J9" s="11"/>
      <c r="K9" s="11"/>
      <c r="L9" s="11"/>
      <c r="M9" s="11"/>
      <c r="N9" s="14">
        <f t="shared" ref="N9:N12" si="3">+SUM(B9:M9)</f>
        <v>4531933.413</v>
      </c>
      <c r="O9" s="16"/>
    </row>
    <row r="10">
      <c r="A10" s="18" t="s">
        <v>14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4">
        <f t="shared" si="3"/>
        <v>0</v>
      </c>
      <c r="O10" s="16"/>
    </row>
    <row r="11">
      <c r="A11" s="18" t="s">
        <v>15</v>
      </c>
      <c r="B11" s="11">
        <f t="shared" ref="B11:M11" si="4">(B9+B10)/1.05*0.05</f>
        <v>32349.4705</v>
      </c>
      <c r="C11" s="11">
        <f t="shared" si="4"/>
        <v>35747.482</v>
      </c>
      <c r="D11" s="11">
        <f t="shared" si="4"/>
        <v>40289.834</v>
      </c>
      <c r="E11" s="11">
        <f t="shared" si="4"/>
        <v>35957.841</v>
      </c>
      <c r="F11" s="11">
        <f t="shared" si="4"/>
        <v>34544.4295</v>
      </c>
      <c r="G11" s="11">
        <f t="shared" si="4"/>
        <v>36917.296</v>
      </c>
      <c r="H11" s="11">
        <f t="shared" si="4"/>
        <v>0</v>
      </c>
      <c r="I11" s="11">
        <f t="shared" si="4"/>
        <v>0</v>
      </c>
      <c r="J11" s="11">
        <f t="shared" si="4"/>
        <v>0</v>
      </c>
      <c r="K11" s="11">
        <f t="shared" si="4"/>
        <v>0</v>
      </c>
      <c r="L11" s="11">
        <f t="shared" si="4"/>
        <v>0</v>
      </c>
      <c r="M11" s="11">
        <f t="shared" si="4"/>
        <v>0</v>
      </c>
      <c r="N11" s="14">
        <f t="shared" si="3"/>
        <v>215806.353</v>
      </c>
      <c r="O11" s="16"/>
    </row>
    <row r="12">
      <c r="A12" s="18" t="s">
        <v>16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4">
        <f t="shared" si="3"/>
        <v>0</v>
      </c>
      <c r="O12" s="16"/>
    </row>
    <row r="13">
      <c r="A13" s="19" t="s">
        <v>17</v>
      </c>
      <c r="B13" s="21">
        <f t="shared" ref="B13:M13" si="5">B9+B10-B11-B12</f>
        <v>646989.41</v>
      </c>
      <c r="C13" s="21">
        <f t="shared" si="5"/>
        <v>714949.64</v>
      </c>
      <c r="D13" s="21">
        <f t="shared" si="5"/>
        <v>805796.68</v>
      </c>
      <c r="E13" s="21">
        <f t="shared" si="5"/>
        <v>719156.82</v>
      </c>
      <c r="F13" s="22">
        <f t="shared" si="5"/>
        <v>690888.59</v>
      </c>
      <c r="G13" s="22">
        <f t="shared" si="5"/>
        <v>738345.92</v>
      </c>
      <c r="H13" s="21">
        <f t="shared" si="5"/>
        <v>0</v>
      </c>
      <c r="I13" s="21">
        <f t="shared" si="5"/>
        <v>0</v>
      </c>
      <c r="J13" s="21">
        <f t="shared" si="5"/>
        <v>0</v>
      </c>
      <c r="K13" s="21">
        <f t="shared" si="5"/>
        <v>0</v>
      </c>
      <c r="L13" s="21">
        <f t="shared" si="5"/>
        <v>0</v>
      </c>
      <c r="M13" s="21">
        <f t="shared" si="5"/>
        <v>0</v>
      </c>
      <c r="N13" s="21">
        <f t="shared" ref="N13:N29" si="7">sum(B13:M13)</f>
        <v>4316127.06</v>
      </c>
      <c r="O13" s="23">
        <f>N13/$N$7</f>
        <v>29.77957046</v>
      </c>
    </row>
    <row r="14">
      <c r="A14" s="18" t="s">
        <v>20</v>
      </c>
      <c r="B14" s="24">
        <f t="shared" ref="B14:M14" si="6">+B3+B4-B5-B7</f>
        <v>130134.61</v>
      </c>
      <c r="C14" s="24">
        <f t="shared" si="6"/>
        <v>143347.3</v>
      </c>
      <c r="D14" s="24">
        <f t="shared" si="6"/>
        <v>160490.46</v>
      </c>
      <c r="E14" s="24">
        <f t="shared" si="6"/>
        <v>159059.46</v>
      </c>
      <c r="F14" s="24">
        <f t="shared" si="6"/>
        <v>165439.74</v>
      </c>
      <c r="G14" s="24">
        <f t="shared" si="6"/>
        <v>162519.48</v>
      </c>
      <c r="H14" s="24">
        <f t="shared" si="6"/>
        <v>22345.43</v>
      </c>
      <c r="I14" s="24">
        <f t="shared" si="6"/>
        <v>0</v>
      </c>
      <c r="J14" s="24">
        <f t="shared" si="6"/>
        <v>0</v>
      </c>
      <c r="K14" s="24">
        <f t="shared" si="6"/>
        <v>0</v>
      </c>
      <c r="L14" s="24">
        <f t="shared" si="6"/>
        <v>0</v>
      </c>
      <c r="M14" s="24">
        <f t="shared" si="6"/>
        <v>0</v>
      </c>
      <c r="N14" s="14">
        <f t="shared" si="7"/>
        <v>943336.48</v>
      </c>
      <c r="O14" s="25">
        <f t="shared" ref="O14:O29" si="8">N14/$N$13</f>
        <v>0.2185608688</v>
      </c>
    </row>
    <row r="15">
      <c r="A15" s="18" t="s">
        <v>21</v>
      </c>
      <c r="B15" s="24">
        <f>3965+30161</f>
        <v>34126</v>
      </c>
      <c r="C15" s="24">
        <f>3965+32605</f>
        <v>36570</v>
      </c>
      <c r="D15" s="24">
        <f>3965+33043</f>
        <v>37008</v>
      </c>
      <c r="E15" s="24">
        <f>3965+33079</f>
        <v>37044</v>
      </c>
      <c r="F15" s="24">
        <f>3965+31777</f>
        <v>35742</v>
      </c>
      <c r="G15" s="24">
        <f>3965+30508</f>
        <v>34473</v>
      </c>
      <c r="H15" s="24"/>
      <c r="I15" s="27"/>
      <c r="J15" s="24"/>
      <c r="K15" s="24"/>
      <c r="L15" s="24"/>
      <c r="M15" s="27"/>
      <c r="N15" s="14">
        <f t="shared" si="7"/>
        <v>214963</v>
      </c>
      <c r="O15" s="25">
        <f t="shared" si="8"/>
        <v>0.04980460422</v>
      </c>
    </row>
    <row r="16">
      <c r="A16" s="18" t="s">
        <v>22</v>
      </c>
      <c r="B16" s="24">
        <f t="shared" ref="B16:G16" si="9">588.82</f>
        <v>588.82</v>
      </c>
      <c r="C16" s="24">
        <f t="shared" si="9"/>
        <v>588.82</v>
      </c>
      <c r="D16" s="24">
        <f t="shared" si="9"/>
        <v>588.82</v>
      </c>
      <c r="E16" s="24">
        <f t="shared" si="9"/>
        <v>588.82</v>
      </c>
      <c r="F16" s="24">
        <f t="shared" si="9"/>
        <v>588.82</v>
      </c>
      <c r="G16" s="24">
        <f t="shared" si="9"/>
        <v>588.82</v>
      </c>
      <c r="H16" s="24"/>
      <c r="I16" s="24"/>
      <c r="J16" s="24"/>
      <c r="K16" s="24"/>
      <c r="L16" s="27"/>
      <c r="M16" s="27"/>
      <c r="N16" s="14">
        <f t="shared" si="7"/>
        <v>3532.92</v>
      </c>
      <c r="O16" s="25">
        <f t="shared" si="8"/>
        <v>0.0008185393875</v>
      </c>
    </row>
    <row r="17">
      <c r="A17" s="18" t="s">
        <v>23</v>
      </c>
      <c r="B17" s="12">
        <v>3163.0</v>
      </c>
      <c r="C17" s="28">
        <v>4631.0</v>
      </c>
      <c r="D17" s="28">
        <v>4897.0</v>
      </c>
      <c r="E17" s="28">
        <v>4283.0</v>
      </c>
      <c r="F17" s="28">
        <v>4011.0</v>
      </c>
      <c r="G17" s="29">
        <v>4000.0</v>
      </c>
      <c r="H17" s="28"/>
      <c r="I17" s="28"/>
      <c r="J17" s="28"/>
      <c r="K17" s="28"/>
      <c r="L17" s="24"/>
      <c r="M17" s="27"/>
      <c r="N17" s="14">
        <f t="shared" si="7"/>
        <v>24985</v>
      </c>
      <c r="O17" s="25">
        <f t="shared" si="8"/>
        <v>0.005788754514</v>
      </c>
    </row>
    <row r="18">
      <c r="A18" s="18" t="s">
        <v>24</v>
      </c>
      <c r="B18" s="24">
        <f>62599+51938</f>
        <v>114537</v>
      </c>
      <c r="C18" s="24">
        <f>51098+75460</f>
        <v>126558</v>
      </c>
      <c r="D18" s="24">
        <f>64521+78089</f>
        <v>142610</v>
      </c>
      <c r="E18" s="27">
        <f>69572+57540</f>
        <v>127112</v>
      </c>
      <c r="F18" s="24">
        <f>63078+59195</f>
        <v>122273</v>
      </c>
      <c r="G18" s="24">
        <f>64867+65643</f>
        <v>130510</v>
      </c>
      <c r="H18" s="24"/>
      <c r="I18" s="24"/>
      <c r="J18" s="24"/>
      <c r="K18" s="24"/>
      <c r="L18" s="24"/>
      <c r="M18" s="27"/>
      <c r="N18" s="14">
        <f t="shared" si="7"/>
        <v>763600</v>
      </c>
      <c r="O18" s="25">
        <f t="shared" si="8"/>
        <v>0.1769178686</v>
      </c>
    </row>
    <row r="19">
      <c r="A19" s="18" t="s">
        <v>25</v>
      </c>
      <c r="B19" s="27">
        <v>3343.0</v>
      </c>
      <c r="C19" s="27">
        <v>3343.0</v>
      </c>
      <c r="D19" s="27">
        <v>3343.0</v>
      </c>
      <c r="E19" s="27">
        <v>3343.0</v>
      </c>
      <c r="F19" s="27">
        <v>3343.0</v>
      </c>
      <c r="G19" s="27">
        <v>3343.0</v>
      </c>
      <c r="H19" s="24"/>
      <c r="I19" s="24"/>
      <c r="J19" s="24"/>
      <c r="K19" s="24"/>
      <c r="L19" s="24"/>
      <c r="M19" s="24"/>
      <c r="N19" s="14">
        <f t="shared" si="7"/>
        <v>20058</v>
      </c>
      <c r="O19" s="25">
        <f t="shared" si="8"/>
        <v>0.004647221854</v>
      </c>
    </row>
    <row r="20">
      <c r="A20" s="20" t="s">
        <v>26</v>
      </c>
      <c r="B20" s="24">
        <f>90766</f>
        <v>90766</v>
      </c>
      <c r="C20" s="24">
        <f>109369</f>
        <v>109369</v>
      </c>
      <c r="D20" s="24">
        <f>125562.82</f>
        <v>125562.82</v>
      </c>
      <c r="E20" s="24">
        <f>121232.68</f>
        <v>121232.68</v>
      </c>
      <c r="F20" s="27">
        <f>121884</f>
        <v>121884</v>
      </c>
      <c r="G20" s="27">
        <f>133334</f>
        <v>133334</v>
      </c>
      <c r="H20" s="24"/>
      <c r="I20" s="24"/>
      <c r="J20" s="24"/>
      <c r="K20" s="24"/>
      <c r="L20" s="24"/>
      <c r="M20" s="24"/>
      <c r="N20" s="14">
        <f t="shared" si="7"/>
        <v>702148.5</v>
      </c>
      <c r="O20" s="25">
        <f t="shared" si="8"/>
        <v>0.1626802201</v>
      </c>
    </row>
    <row r="21">
      <c r="A21" s="10" t="s">
        <v>27</v>
      </c>
      <c r="B21" s="24">
        <f t="shared" ref="B21:D21" si="10">3457+2478</f>
        <v>5935</v>
      </c>
      <c r="C21" s="24">
        <f t="shared" si="10"/>
        <v>5935</v>
      </c>
      <c r="D21" s="24">
        <f t="shared" si="10"/>
        <v>5935</v>
      </c>
      <c r="E21" s="24">
        <f>3457+2726</f>
        <v>6183</v>
      </c>
      <c r="F21" s="27">
        <f t="shared" ref="F21:G21" si="11">2726+3457</f>
        <v>6183</v>
      </c>
      <c r="G21" s="27">
        <f t="shared" si="11"/>
        <v>6183</v>
      </c>
      <c r="H21" s="24"/>
      <c r="I21" s="24"/>
      <c r="J21" s="24"/>
      <c r="K21" s="24"/>
      <c r="L21" s="24"/>
      <c r="M21" s="24"/>
      <c r="N21" s="14">
        <f t="shared" si="7"/>
        <v>36354</v>
      </c>
      <c r="O21" s="25">
        <f t="shared" si="8"/>
        <v>0.008422828961</v>
      </c>
    </row>
    <row r="22">
      <c r="A22" s="30" t="s">
        <v>28</v>
      </c>
      <c r="B22" s="15">
        <f t="shared" ref="B22:G22" si="12">2516.16/3+9813/12+7080/12</f>
        <v>2246.47</v>
      </c>
      <c r="C22" s="15">
        <f t="shared" si="12"/>
        <v>2246.47</v>
      </c>
      <c r="D22" s="15">
        <f t="shared" si="12"/>
        <v>2246.47</v>
      </c>
      <c r="E22" s="15">
        <f t="shared" si="12"/>
        <v>2246.47</v>
      </c>
      <c r="F22" s="15">
        <f t="shared" si="12"/>
        <v>2246.47</v>
      </c>
      <c r="G22" s="15">
        <f t="shared" si="12"/>
        <v>2246.47</v>
      </c>
      <c r="H22" s="24">
        <f t="shared" ref="H22:M22" si="13">9813/12</f>
        <v>817.75</v>
      </c>
      <c r="I22" s="24">
        <f t="shared" si="13"/>
        <v>817.75</v>
      </c>
      <c r="J22" s="24">
        <f t="shared" si="13"/>
        <v>817.75</v>
      </c>
      <c r="K22" s="24">
        <f t="shared" si="13"/>
        <v>817.75</v>
      </c>
      <c r="L22" s="24">
        <f t="shared" si="13"/>
        <v>817.75</v>
      </c>
      <c r="M22" s="24">
        <f t="shared" si="13"/>
        <v>817.75</v>
      </c>
      <c r="N22" s="14">
        <f t="shared" si="7"/>
        <v>18385.32</v>
      </c>
      <c r="O22" s="25">
        <f t="shared" si="8"/>
        <v>0.004259679973</v>
      </c>
    </row>
    <row r="23">
      <c r="A23" s="20" t="s">
        <v>29</v>
      </c>
      <c r="B23" s="27">
        <v>805.42</v>
      </c>
      <c r="C23" s="17">
        <f t="shared" ref="C23:M23" si="14">1698</f>
        <v>1698</v>
      </c>
      <c r="D23" s="17">
        <f t="shared" si="14"/>
        <v>1698</v>
      </c>
      <c r="E23" s="17">
        <f t="shared" si="14"/>
        <v>1698</v>
      </c>
      <c r="F23" s="17">
        <f t="shared" si="14"/>
        <v>1698</v>
      </c>
      <c r="G23" s="17">
        <f t="shared" si="14"/>
        <v>1698</v>
      </c>
      <c r="H23" s="17">
        <f t="shared" si="14"/>
        <v>1698</v>
      </c>
      <c r="I23" s="17">
        <f t="shared" si="14"/>
        <v>1698</v>
      </c>
      <c r="J23" s="17">
        <f t="shared" si="14"/>
        <v>1698</v>
      </c>
      <c r="K23" s="17">
        <f t="shared" si="14"/>
        <v>1698</v>
      </c>
      <c r="L23" s="17">
        <f t="shared" si="14"/>
        <v>1698</v>
      </c>
      <c r="M23" s="17">
        <f t="shared" si="14"/>
        <v>1698</v>
      </c>
      <c r="N23" s="14">
        <f t="shared" si="7"/>
        <v>19483.42</v>
      </c>
      <c r="O23" s="25">
        <f t="shared" si="8"/>
        <v>0.004514097877</v>
      </c>
    </row>
    <row r="24">
      <c r="A24" s="18" t="s">
        <v>30</v>
      </c>
      <c r="B24" s="27">
        <v>0.0</v>
      </c>
      <c r="C24" s="27">
        <v>180.0</v>
      </c>
      <c r="D24" s="27">
        <v>0.0</v>
      </c>
      <c r="E24" s="27">
        <f>'Misc Exp'!P133</f>
        <v>0</v>
      </c>
      <c r="F24" s="24">
        <f>'Misc Exp'!K90</f>
        <v>10132</v>
      </c>
      <c r="G24" s="27">
        <f>'Misc Exp'!P43</f>
        <v>600</v>
      </c>
      <c r="H24" s="27"/>
      <c r="I24" s="27"/>
      <c r="J24" s="27"/>
      <c r="K24" s="27"/>
      <c r="L24" s="24"/>
      <c r="M24" s="27"/>
      <c r="N24" s="14">
        <f t="shared" si="7"/>
        <v>10912</v>
      </c>
      <c r="O24" s="25">
        <f t="shared" si="8"/>
        <v>0.002528192486</v>
      </c>
    </row>
    <row r="25">
      <c r="A25" s="18" t="s">
        <v>31</v>
      </c>
      <c r="B25" s="24">
        <f>15602/12+4331</f>
        <v>5631.166667</v>
      </c>
      <c r="C25" s="24">
        <f>15602/12+7544</f>
        <v>8844.166667</v>
      </c>
      <c r="D25" s="24">
        <f>15602/12</f>
        <v>1300.166667</v>
      </c>
      <c r="E25" s="24">
        <f>15602/12+'Misc Exp'!P126</f>
        <v>4798.5</v>
      </c>
      <c r="F25" s="24">
        <f>15602/12+'Misc Exp'!K84</f>
        <v>6922.076667</v>
      </c>
      <c r="G25" s="24">
        <f>15602/12+'Misc Exp'!P38</f>
        <v>8721.166667</v>
      </c>
      <c r="H25" s="24">
        <f t="shared" ref="H25:M25" si="15">15602/12</f>
        <v>1300.166667</v>
      </c>
      <c r="I25" s="24">
        <f t="shared" si="15"/>
        <v>1300.166667</v>
      </c>
      <c r="J25" s="24">
        <f t="shared" si="15"/>
        <v>1300.166667</v>
      </c>
      <c r="K25" s="24">
        <f t="shared" si="15"/>
        <v>1300.166667</v>
      </c>
      <c r="L25" s="24">
        <f t="shared" si="15"/>
        <v>1300.166667</v>
      </c>
      <c r="M25" s="24">
        <f t="shared" si="15"/>
        <v>1300.166667</v>
      </c>
      <c r="N25" s="14">
        <f t="shared" si="7"/>
        <v>44018.24333</v>
      </c>
      <c r="O25" s="25">
        <f t="shared" si="8"/>
        <v>0.01019855132</v>
      </c>
    </row>
    <row r="26">
      <c r="A26" s="18" t="s">
        <v>32</v>
      </c>
      <c r="B26" s="24">
        <f>54280</f>
        <v>54280</v>
      </c>
      <c r="C26" s="27">
        <v>54280.0</v>
      </c>
      <c r="D26" s="27">
        <v>54280.0</v>
      </c>
      <c r="E26" s="27">
        <v>54280.0</v>
      </c>
      <c r="F26" s="27">
        <v>54280.0</v>
      </c>
      <c r="G26" s="27">
        <v>54280.0</v>
      </c>
      <c r="H26" s="24"/>
      <c r="I26" s="24"/>
      <c r="J26" s="24"/>
      <c r="K26" s="24"/>
      <c r="L26" s="27"/>
      <c r="M26" s="27"/>
      <c r="N26" s="14">
        <f t="shared" si="7"/>
        <v>325680</v>
      </c>
      <c r="O26" s="25">
        <f t="shared" si="8"/>
        <v>0.07545653672</v>
      </c>
    </row>
    <row r="27">
      <c r="A27" s="18" t="s">
        <v>33</v>
      </c>
      <c r="B27" s="24">
        <f>HO!D27</f>
        <v>143649.6639</v>
      </c>
      <c r="C27" s="24">
        <f>HO!H27</f>
        <v>150201.2491</v>
      </c>
      <c r="D27" s="24">
        <f>HO!L27</f>
        <v>176557.9667</v>
      </c>
      <c r="E27" s="24">
        <f>HO!P27</f>
        <v>157310.1428</v>
      </c>
      <c r="F27" s="24">
        <f>HO!D46</f>
        <v>137169.3021</v>
      </c>
      <c r="G27" s="24">
        <f>HO!H46</f>
        <v>165424.9224</v>
      </c>
      <c r="H27" s="24" t="str">
        <f>HO!L46</f>
        <v>#DIV/0!</v>
      </c>
      <c r="I27" s="24" t="str">
        <f>HO!P46</f>
        <v>#DIV/0!</v>
      </c>
      <c r="J27" s="24" t="str">
        <f>HO!D65</f>
        <v>#DIV/0!</v>
      </c>
      <c r="K27" s="24" t="str">
        <f>HO!H65</f>
        <v>#DIV/0!</v>
      </c>
      <c r="L27" s="24" t="str">
        <f>HO!L65</f>
        <v>#DIV/0!</v>
      </c>
      <c r="M27" s="24" t="str">
        <f>HO!P65</f>
        <v>#DIV/0!</v>
      </c>
      <c r="N27" s="14" t="str">
        <f t="shared" si="7"/>
        <v>#DIV/0!</v>
      </c>
      <c r="O27" s="25" t="str">
        <f t="shared" si="8"/>
        <v>#DIV/0!</v>
      </c>
    </row>
    <row r="28">
      <c r="A28" s="35" t="s">
        <v>34</v>
      </c>
      <c r="B28" s="36">
        <f t="shared" ref="B28:M28" si="16">+SUM(B14:B27)</f>
        <v>589206.1506</v>
      </c>
      <c r="C28" s="36">
        <f t="shared" si="16"/>
        <v>647792.0057</v>
      </c>
      <c r="D28" s="36">
        <f t="shared" si="16"/>
        <v>716517.7033</v>
      </c>
      <c r="E28" s="36">
        <f t="shared" si="16"/>
        <v>679179.0728</v>
      </c>
      <c r="F28" s="48">
        <f t="shared" si="16"/>
        <v>671912.4088</v>
      </c>
      <c r="G28" s="36">
        <f t="shared" si="16"/>
        <v>707921.8591</v>
      </c>
      <c r="H28" s="36" t="str">
        <f t="shared" si="16"/>
        <v>#DIV/0!</v>
      </c>
      <c r="I28" s="36" t="str">
        <f t="shared" si="16"/>
        <v>#DIV/0!</v>
      </c>
      <c r="J28" s="36" t="str">
        <f t="shared" si="16"/>
        <v>#DIV/0!</v>
      </c>
      <c r="K28" s="36" t="str">
        <f t="shared" si="16"/>
        <v>#DIV/0!</v>
      </c>
      <c r="L28" s="36" t="str">
        <f t="shared" si="16"/>
        <v>#DIV/0!</v>
      </c>
      <c r="M28" s="36" t="str">
        <f t="shared" si="16"/>
        <v>#DIV/0!</v>
      </c>
      <c r="N28" s="36" t="str">
        <f t="shared" si="7"/>
        <v>#DIV/0!</v>
      </c>
      <c r="O28" s="37" t="str">
        <f t="shared" si="8"/>
        <v>#DIV/0!</v>
      </c>
    </row>
    <row r="29">
      <c r="A29" s="38" t="s">
        <v>35</v>
      </c>
      <c r="B29" s="39">
        <f t="shared" ref="B29:M29" si="17">B13-B28</f>
        <v>57783.2594</v>
      </c>
      <c r="C29" s="39">
        <f t="shared" si="17"/>
        <v>67157.63426</v>
      </c>
      <c r="D29" s="39">
        <f t="shared" si="17"/>
        <v>89278.97666</v>
      </c>
      <c r="E29" s="39">
        <f t="shared" si="17"/>
        <v>39977.74716</v>
      </c>
      <c r="F29" s="39">
        <f t="shared" si="17"/>
        <v>18976.18119</v>
      </c>
      <c r="G29" s="39">
        <f t="shared" si="17"/>
        <v>30424.06091</v>
      </c>
      <c r="H29" s="39" t="str">
        <f t="shared" si="17"/>
        <v>#DIV/0!</v>
      </c>
      <c r="I29" s="39" t="str">
        <f t="shared" si="17"/>
        <v>#DIV/0!</v>
      </c>
      <c r="J29" s="39" t="str">
        <f t="shared" si="17"/>
        <v>#DIV/0!</v>
      </c>
      <c r="K29" s="39" t="str">
        <f t="shared" si="17"/>
        <v>#DIV/0!</v>
      </c>
      <c r="L29" s="39" t="str">
        <f t="shared" si="17"/>
        <v>#DIV/0!</v>
      </c>
      <c r="M29" s="39" t="str">
        <f t="shared" si="17"/>
        <v>#DIV/0!</v>
      </c>
      <c r="N29" s="39" t="str">
        <f t="shared" si="7"/>
        <v>#DIV/0!</v>
      </c>
      <c r="O29" s="40" t="str">
        <f t="shared" si="8"/>
        <v>#DIV/0!</v>
      </c>
    </row>
    <row r="30">
      <c r="A30" s="41" t="s">
        <v>36</v>
      </c>
      <c r="B30" s="42">
        <f t="shared" ref="B30:M30" si="18">(B14/B13)</f>
        <v>0.2011387018</v>
      </c>
      <c r="C30" s="42">
        <f t="shared" si="18"/>
        <v>0.2004998562</v>
      </c>
      <c r="D30" s="42">
        <f t="shared" si="18"/>
        <v>0.1991699196</v>
      </c>
      <c r="E30" s="42">
        <f t="shared" si="18"/>
        <v>0.2211749309</v>
      </c>
      <c r="F30" s="43">
        <f t="shared" si="18"/>
        <v>0.2394593606</v>
      </c>
      <c r="G30" s="42">
        <f t="shared" si="18"/>
        <v>0.2201129248</v>
      </c>
      <c r="H30" s="42" t="str">
        <f t="shared" si="18"/>
        <v>#DIV/0!</v>
      </c>
      <c r="I30" s="42" t="str">
        <f t="shared" si="18"/>
        <v>#DIV/0!</v>
      </c>
      <c r="J30" s="42" t="str">
        <f t="shared" si="18"/>
        <v>#DIV/0!</v>
      </c>
      <c r="K30" s="42" t="str">
        <f t="shared" si="18"/>
        <v>#DIV/0!</v>
      </c>
      <c r="L30" s="42" t="str">
        <f t="shared" si="18"/>
        <v>#DIV/0!</v>
      </c>
      <c r="M30" s="42" t="str">
        <f t="shared" si="18"/>
        <v>#DIV/0!</v>
      </c>
      <c r="N30" s="44"/>
      <c r="O30" s="44"/>
    </row>
    <row r="32">
      <c r="B32" s="51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</row>
    <row r="33">
      <c r="A33" s="46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</row>
    <row r="34">
      <c r="A34" s="46"/>
      <c r="B34" s="47"/>
      <c r="C34" s="47"/>
      <c r="D34" s="47"/>
      <c r="E34" s="47"/>
    </row>
    <row r="35">
      <c r="A35" s="6"/>
      <c r="B35" s="47"/>
      <c r="C35" s="47"/>
      <c r="D35" s="47"/>
      <c r="E35" s="47"/>
    </row>
    <row r="36">
      <c r="A36" s="46"/>
      <c r="B36" s="47"/>
      <c r="C36" s="47"/>
      <c r="D36" s="47"/>
      <c r="E36" s="47"/>
    </row>
  </sheetData>
  <mergeCells count="1">
    <mergeCell ref="N1:O1"/>
  </mergeCell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15" max="15" width="9.0"/>
  </cols>
  <sheetData>
    <row r="1">
      <c r="A1" s="1" t="s">
        <v>37</v>
      </c>
      <c r="B1" s="3">
        <f>Summary!C1</f>
        <v>46113</v>
      </c>
      <c r="C1" s="3">
        <f>Summary!D1</f>
        <v>46143</v>
      </c>
      <c r="D1" s="3">
        <f>Summary!E1</f>
        <v>46174</v>
      </c>
      <c r="E1" s="3">
        <f>Summary!F1</f>
        <v>46204</v>
      </c>
      <c r="F1" s="3">
        <f>Summary!G1</f>
        <v>46235</v>
      </c>
      <c r="G1" s="3">
        <f>Summary!H1</f>
        <v>46266</v>
      </c>
      <c r="H1" s="3">
        <f>Summary!I1</f>
        <v>46296</v>
      </c>
      <c r="I1" s="3">
        <f>Summary!J1</f>
        <v>46327</v>
      </c>
      <c r="J1" s="3">
        <f>Summary!K1</f>
        <v>46357</v>
      </c>
      <c r="K1" s="3">
        <f>Summary!L1</f>
        <v>46388</v>
      </c>
      <c r="L1" s="3">
        <f>Summary!M1</f>
        <v>46419</v>
      </c>
      <c r="M1" s="3">
        <f>Summary!N1</f>
        <v>46447</v>
      </c>
      <c r="N1" s="4" t="s">
        <v>5</v>
      </c>
      <c r="O1" s="5"/>
    </row>
    <row r="2">
      <c r="A2" s="7" t="s">
        <v>6</v>
      </c>
      <c r="B2" s="8"/>
      <c r="C2" s="8"/>
      <c r="D2" s="8"/>
      <c r="E2" s="8"/>
      <c r="F2" s="9"/>
      <c r="G2" s="8"/>
      <c r="H2" s="8"/>
      <c r="I2" s="8"/>
      <c r="J2" s="8"/>
      <c r="K2" s="8"/>
      <c r="L2" s="8"/>
      <c r="M2" s="8"/>
      <c r="N2" s="8"/>
      <c r="O2" s="8"/>
    </row>
    <row r="3">
      <c r="A3" s="10" t="s">
        <v>7</v>
      </c>
      <c r="B3" s="12">
        <v>18285.0</v>
      </c>
      <c r="C3" s="11">
        <f t="shared" ref="C3:M3" si="1">B7</f>
        <v>25668.79</v>
      </c>
      <c r="D3" s="11">
        <f t="shared" si="1"/>
        <v>20001.56</v>
      </c>
      <c r="E3" s="11">
        <f t="shared" si="1"/>
        <v>20509.75</v>
      </c>
      <c r="F3" s="11">
        <f t="shared" si="1"/>
        <v>19370</v>
      </c>
      <c r="G3" s="11">
        <f t="shared" si="1"/>
        <v>18641.87</v>
      </c>
      <c r="H3" s="11">
        <f t="shared" si="1"/>
        <v>20006.16</v>
      </c>
      <c r="I3" s="11" t="str">
        <f t="shared" si="1"/>
        <v/>
      </c>
      <c r="J3" s="11" t="str">
        <f t="shared" si="1"/>
        <v/>
      </c>
      <c r="K3" s="11" t="str">
        <f t="shared" si="1"/>
        <v/>
      </c>
      <c r="L3" s="11" t="str">
        <f t="shared" si="1"/>
        <v/>
      </c>
      <c r="M3" s="11" t="str">
        <f t="shared" si="1"/>
        <v/>
      </c>
      <c r="N3" s="14">
        <f>+SUM(J3:L3)</f>
        <v>0</v>
      </c>
      <c r="O3" s="16"/>
    </row>
    <row r="4">
      <c r="A4" s="10" t="s">
        <v>9</v>
      </c>
      <c r="B4" s="15">
        <v>251524.39</v>
      </c>
      <c r="C4" s="17">
        <v>268950.22</v>
      </c>
      <c r="D4" s="17">
        <f>290717-57.29</f>
        <v>290659.71</v>
      </c>
      <c r="E4" s="17">
        <v>311713.0</v>
      </c>
      <c r="F4" s="17">
        <v>352194.31</v>
      </c>
      <c r="G4" s="17">
        <v>349739.0</v>
      </c>
      <c r="H4" s="17"/>
      <c r="I4" s="11"/>
      <c r="J4" s="17"/>
      <c r="K4" s="17"/>
      <c r="L4" s="17"/>
      <c r="M4" s="17"/>
      <c r="N4" s="14">
        <f>sum(B4:M4)</f>
        <v>1824780.63</v>
      </c>
      <c r="O4" s="16"/>
    </row>
    <row r="5">
      <c r="A5" s="10" t="s">
        <v>10</v>
      </c>
      <c r="B5" s="15">
        <v>582.5</v>
      </c>
      <c r="C5" s="17">
        <v>460.27</v>
      </c>
      <c r="D5" s="17">
        <v>81.4</v>
      </c>
      <c r="E5" s="17">
        <v>46.3</v>
      </c>
      <c r="F5" s="17">
        <v>637.97</v>
      </c>
      <c r="G5" s="17">
        <v>0.0</v>
      </c>
      <c r="H5" s="17"/>
      <c r="I5" s="17"/>
      <c r="J5" s="17"/>
      <c r="K5" s="17"/>
      <c r="L5" s="17"/>
      <c r="M5" s="17"/>
      <c r="N5" s="14">
        <f t="shared" ref="N5:N6" si="2">+SUM(J5:L5)</f>
        <v>0</v>
      </c>
      <c r="O5" s="16"/>
    </row>
    <row r="6">
      <c r="A6" s="10" t="s">
        <v>11</v>
      </c>
      <c r="B6" s="15">
        <v>12180.79</v>
      </c>
      <c r="C6" s="17">
        <v>13023.42</v>
      </c>
      <c r="D6" s="17">
        <v>11971.21</v>
      </c>
      <c r="E6" s="17">
        <v>11893.0</v>
      </c>
      <c r="F6" s="17">
        <v>14696.0</v>
      </c>
      <c r="G6" s="17">
        <v>14821.58</v>
      </c>
      <c r="H6" s="17"/>
      <c r="I6" s="17"/>
      <c r="J6" s="17"/>
      <c r="K6" s="17"/>
      <c r="L6" s="17"/>
      <c r="M6" s="17"/>
      <c r="N6" s="14">
        <f t="shared" si="2"/>
        <v>0</v>
      </c>
      <c r="O6" s="16"/>
    </row>
    <row r="7">
      <c r="A7" s="10" t="s">
        <v>12</v>
      </c>
      <c r="B7" s="15">
        <v>25668.79</v>
      </c>
      <c r="C7" s="17">
        <v>20001.56</v>
      </c>
      <c r="D7" s="17">
        <v>20509.75</v>
      </c>
      <c r="E7" s="17">
        <v>19370.0</v>
      </c>
      <c r="F7" s="17">
        <v>18641.87</v>
      </c>
      <c r="G7" s="17">
        <v>20006.16</v>
      </c>
      <c r="H7" s="17"/>
      <c r="I7" s="17"/>
      <c r="J7" s="17"/>
      <c r="K7" s="17"/>
      <c r="L7" s="17"/>
      <c r="M7" s="17"/>
      <c r="N7" s="14">
        <f>sum(B7:M7)</f>
        <v>124198.13</v>
      </c>
      <c r="O7" s="16"/>
    </row>
    <row r="8">
      <c r="A8" s="8"/>
      <c r="B8" s="8"/>
      <c r="C8" s="8"/>
      <c r="D8" s="8"/>
      <c r="E8" s="8"/>
      <c r="F8" s="9"/>
      <c r="G8" s="8"/>
      <c r="H8" s="8"/>
      <c r="I8" s="8"/>
      <c r="J8" s="8"/>
      <c r="K8" s="8"/>
      <c r="L8" s="8"/>
      <c r="M8" s="8"/>
      <c r="N8" s="8"/>
      <c r="O8" s="8"/>
    </row>
    <row r="9">
      <c r="A9" s="18" t="s">
        <v>13</v>
      </c>
      <c r="B9" s="24">
        <f>1176638.95*1.05+6608.96*1.05</f>
        <v>1242410.306</v>
      </c>
      <c r="C9" s="24">
        <f>1389551.23*1.05+7034.1*1.05</f>
        <v>1466414.597</v>
      </c>
      <c r="D9" s="24">
        <f>1344489.71*1.05+7109.98*1.05</f>
        <v>1419179.675</v>
      </c>
      <c r="E9" s="24">
        <f>1470109.32*1.05+6345.83*1.05</f>
        <v>1550277.908</v>
      </c>
      <c r="F9" s="24">
        <f>1658457.59*1.05</f>
        <v>1741380.47</v>
      </c>
      <c r="G9" s="24">
        <f>1645010.54*1.05+6786*1.05</f>
        <v>1734386.367</v>
      </c>
      <c r="H9" s="24"/>
      <c r="I9" s="24"/>
      <c r="J9" s="24"/>
      <c r="K9" s="13"/>
      <c r="L9" s="13"/>
      <c r="M9" s="11"/>
      <c r="N9" s="14">
        <f t="shared" ref="N9:N12" si="3">+SUM(B9:M9)</f>
        <v>9154049.321</v>
      </c>
      <c r="O9" s="16"/>
    </row>
    <row r="10">
      <c r="A10" s="18" t="s">
        <v>14</v>
      </c>
      <c r="B10" s="24"/>
      <c r="C10" s="24"/>
      <c r="D10" s="24"/>
      <c r="E10" s="24"/>
      <c r="F10" s="24"/>
      <c r="G10" s="24"/>
      <c r="H10" s="24"/>
      <c r="I10" s="24"/>
      <c r="J10" s="24"/>
      <c r="K10" s="11"/>
      <c r="L10" s="11"/>
      <c r="M10" s="11"/>
      <c r="N10" s="14">
        <f t="shared" si="3"/>
        <v>0</v>
      </c>
      <c r="O10" s="16"/>
    </row>
    <row r="11">
      <c r="A11" s="18" t="s">
        <v>15</v>
      </c>
      <c r="B11" s="24">
        <f t="shared" ref="B11:M11" si="4">(B9+B10)/1.05*0.05</f>
        <v>59162.3955</v>
      </c>
      <c r="C11" s="24">
        <f t="shared" si="4"/>
        <v>69829.2665</v>
      </c>
      <c r="D11" s="24">
        <f t="shared" si="4"/>
        <v>67579.9845</v>
      </c>
      <c r="E11" s="24">
        <f t="shared" si="4"/>
        <v>73822.7575</v>
      </c>
      <c r="F11" s="24">
        <f t="shared" si="4"/>
        <v>82922.8795</v>
      </c>
      <c r="G11" s="24">
        <f t="shared" si="4"/>
        <v>82589.827</v>
      </c>
      <c r="H11" s="24">
        <f t="shared" si="4"/>
        <v>0</v>
      </c>
      <c r="I11" s="24">
        <f t="shared" si="4"/>
        <v>0</v>
      </c>
      <c r="J11" s="24">
        <f t="shared" si="4"/>
        <v>0</v>
      </c>
      <c r="K11" s="24">
        <f t="shared" si="4"/>
        <v>0</v>
      </c>
      <c r="L11" s="24">
        <f t="shared" si="4"/>
        <v>0</v>
      </c>
      <c r="M11" s="24">
        <f t="shared" si="4"/>
        <v>0</v>
      </c>
      <c r="N11" s="14">
        <f t="shared" si="3"/>
        <v>435907.1105</v>
      </c>
      <c r="O11" s="16"/>
    </row>
    <row r="12">
      <c r="A12" s="18" t="s">
        <v>16</v>
      </c>
      <c r="B12" s="24">
        <f>15000.11*1.18+9819.82*1.18+2303.48*1.18</f>
        <v>32005.6238</v>
      </c>
      <c r="C12" s="24">
        <f>15991.73*1.18+10830.3*1.18+3430.24*1.18</f>
        <v>35697.6786</v>
      </c>
      <c r="D12" s="24">
        <f>16587.95*1.18+15439.74*1.18</f>
        <v>37792.6742</v>
      </c>
      <c r="E12" s="24">
        <f>14403.46*1.18+11363.54*1.18+13524.76*1.18</f>
        <v>46364.2768</v>
      </c>
      <c r="F12" s="24">
        <f>17198.41*1.18+16278.7*1.18</f>
        <v>39502.9898</v>
      </c>
      <c r="G12" s="24">
        <f>15759.83*1.18+14942.13*1.18</f>
        <v>36228.3128</v>
      </c>
      <c r="H12" s="24"/>
      <c r="I12" s="24"/>
      <c r="J12" s="24"/>
      <c r="K12" s="13"/>
      <c r="L12" s="13"/>
      <c r="M12" s="11"/>
      <c r="N12" s="14">
        <f t="shared" si="3"/>
        <v>227591.556</v>
      </c>
      <c r="O12" s="16"/>
    </row>
    <row r="13">
      <c r="A13" s="19" t="s">
        <v>17</v>
      </c>
      <c r="B13" s="21">
        <f t="shared" ref="B13:M13" si="5">B9+B10-B11-B12</f>
        <v>1151242.286</v>
      </c>
      <c r="C13" s="21">
        <f t="shared" si="5"/>
        <v>1360887.651</v>
      </c>
      <c r="D13" s="21">
        <f t="shared" si="5"/>
        <v>1313807.016</v>
      </c>
      <c r="E13" s="21">
        <f t="shared" si="5"/>
        <v>1430090.873</v>
      </c>
      <c r="F13" s="22">
        <f t="shared" si="5"/>
        <v>1618954.6</v>
      </c>
      <c r="G13" s="22">
        <f t="shared" si="5"/>
        <v>1615568.227</v>
      </c>
      <c r="H13" s="21">
        <f t="shared" si="5"/>
        <v>0</v>
      </c>
      <c r="I13" s="21">
        <f t="shared" si="5"/>
        <v>0</v>
      </c>
      <c r="J13" s="21">
        <f t="shared" si="5"/>
        <v>0</v>
      </c>
      <c r="K13" s="21">
        <f t="shared" si="5"/>
        <v>0</v>
      </c>
      <c r="L13" s="21">
        <f t="shared" si="5"/>
        <v>0</v>
      </c>
      <c r="M13" s="21">
        <f t="shared" si="5"/>
        <v>0</v>
      </c>
      <c r="N13" s="21">
        <f t="shared" ref="N13:N29" si="7">sum(B13:M13)</f>
        <v>8490550.654</v>
      </c>
      <c r="O13" s="23"/>
    </row>
    <row r="14">
      <c r="A14" s="18" t="s">
        <v>20</v>
      </c>
      <c r="B14" s="24">
        <f t="shared" ref="B14:M14" si="6">+B3+B4-B5-B7</f>
        <v>243558.1</v>
      </c>
      <c r="C14" s="24">
        <f t="shared" si="6"/>
        <v>274157.18</v>
      </c>
      <c r="D14" s="24">
        <f t="shared" si="6"/>
        <v>290070.12</v>
      </c>
      <c r="E14" s="24">
        <f t="shared" si="6"/>
        <v>312806.45</v>
      </c>
      <c r="F14" s="24">
        <f t="shared" si="6"/>
        <v>352284.47</v>
      </c>
      <c r="G14" s="24">
        <f t="shared" si="6"/>
        <v>348374.71</v>
      </c>
      <c r="H14" s="24">
        <f t="shared" si="6"/>
        <v>20006.16</v>
      </c>
      <c r="I14" s="24">
        <f t="shared" si="6"/>
        <v>0</v>
      </c>
      <c r="J14" s="24">
        <f t="shared" si="6"/>
        <v>0</v>
      </c>
      <c r="K14" s="24">
        <f t="shared" si="6"/>
        <v>0</v>
      </c>
      <c r="L14" s="24">
        <f t="shared" si="6"/>
        <v>0</v>
      </c>
      <c r="M14" s="24">
        <f t="shared" si="6"/>
        <v>0</v>
      </c>
      <c r="N14" s="14">
        <f t="shared" si="7"/>
        <v>1841257.19</v>
      </c>
      <c r="O14" s="25">
        <f t="shared" ref="O14:O29" si="8">N14/$N$13</f>
        <v>0.2168595731</v>
      </c>
    </row>
    <row r="15">
      <c r="A15" s="18" t="s">
        <v>21</v>
      </c>
      <c r="B15" s="27">
        <f>15000+2000</f>
        <v>17000</v>
      </c>
      <c r="C15" s="27">
        <f>15000+1000+15000</f>
        <v>31000</v>
      </c>
      <c r="D15" s="27">
        <v>10000.0</v>
      </c>
      <c r="E15" s="27">
        <v>17000.0</v>
      </c>
      <c r="F15" s="27">
        <v>16000.0</v>
      </c>
      <c r="G15" s="27">
        <v>17000.0</v>
      </c>
      <c r="H15" s="27"/>
      <c r="I15" s="27"/>
      <c r="J15" s="27"/>
      <c r="K15" s="27"/>
      <c r="L15" s="27"/>
      <c r="M15" s="24"/>
      <c r="N15" s="14">
        <f t="shared" si="7"/>
        <v>108000</v>
      </c>
      <c r="O15" s="25">
        <f t="shared" si="8"/>
        <v>0.01272002305</v>
      </c>
    </row>
    <row r="16">
      <c r="A16" s="18" t="s">
        <v>22</v>
      </c>
      <c r="B16" s="24">
        <f>352.82</f>
        <v>352.82</v>
      </c>
      <c r="C16" s="27">
        <f t="shared" ref="C16:E16" si="9">1500/3+352.82</f>
        <v>852.82</v>
      </c>
      <c r="D16" s="27">
        <f t="shared" si="9"/>
        <v>852.82</v>
      </c>
      <c r="E16" s="27">
        <f t="shared" si="9"/>
        <v>852.82</v>
      </c>
      <c r="F16" s="24">
        <f>500</f>
        <v>500</v>
      </c>
      <c r="G16" s="27">
        <f>588</f>
        <v>588</v>
      </c>
      <c r="H16" s="27"/>
      <c r="I16" s="27"/>
      <c r="J16" s="27"/>
      <c r="K16" s="27"/>
      <c r="L16" s="27"/>
      <c r="M16" s="24"/>
      <c r="N16" s="14">
        <f t="shared" si="7"/>
        <v>3999.28</v>
      </c>
      <c r="O16" s="25">
        <f t="shared" si="8"/>
        <v>0.0004710271645</v>
      </c>
    </row>
    <row r="17">
      <c r="A17" s="18" t="s">
        <v>23</v>
      </c>
      <c r="B17" s="24">
        <f>25898</f>
        <v>25898</v>
      </c>
      <c r="C17" s="54">
        <v>35000.0</v>
      </c>
      <c r="D17" s="27">
        <v>37945.0</v>
      </c>
      <c r="E17" s="27">
        <v>43035.0</v>
      </c>
      <c r="F17" s="27">
        <f>39259</f>
        <v>39259</v>
      </c>
      <c r="G17" s="27">
        <f>41073</f>
        <v>41073</v>
      </c>
      <c r="H17" s="27"/>
      <c r="I17" s="24"/>
      <c r="J17" s="27"/>
      <c r="K17" s="27"/>
      <c r="L17" s="24"/>
      <c r="M17" s="24"/>
      <c r="N17" s="14">
        <f t="shared" si="7"/>
        <v>222210</v>
      </c>
      <c r="O17" s="25">
        <f t="shared" si="8"/>
        <v>0.02617144742</v>
      </c>
    </row>
    <row r="18">
      <c r="A18" s="18" t="s">
        <v>24</v>
      </c>
      <c r="B18" s="24">
        <f>186273</f>
        <v>186273</v>
      </c>
      <c r="C18" s="27">
        <v>221256.0</v>
      </c>
      <c r="D18" s="55">
        <v>222952.0</v>
      </c>
      <c r="E18" s="27">
        <v>237599.0</v>
      </c>
      <c r="F18" s="27">
        <v>265413.0</v>
      </c>
      <c r="G18" s="27">
        <f>266481</f>
        <v>266481</v>
      </c>
      <c r="H18" s="27"/>
      <c r="I18" s="27"/>
      <c r="J18" s="24"/>
      <c r="K18" s="27"/>
      <c r="L18" s="27"/>
      <c r="M18" s="24"/>
      <c r="N18" s="14">
        <f t="shared" si="7"/>
        <v>1399974</v>
      </c>
      <c r="O18" s="25">
        <f t="shared" si="8"/>
        <v>0.1648861254</v>
      </c>
    </row>
    <row r="19">
      <c r="A19" s="18" t="s">
        <v>25</v>
      </c>
      <c r="B19" s="27">
        <v>3343.33</v>
      </c>
      <c r="C19" s="27">
        <v>3343.33</v>
      </c>
      <c r="D19" s="27">
        <v>3343.33</v>
      </c>
      <c r="E19" s="27">
        <v>3343.33</v>
      </c>
      <c r="F19" s="27">
        <v>3343.33</v>
      </c>
      <c r="G19" s="27">
        <v>3343.33</v>
      </c>
      <c r="H19" s="27"/>
      <c r="I19" s="27"/>
      <c r="J19" s="27"/>
      <c r="K19" s="27"/>
      <c r="L19" s="27"/>
      <c r="M19" s="27"/>
      <c r="N19" s="14">
        <f t="shared" si="7"/>
        <v>20059.98</v>
      </c>
      <c r="O19" s="25">
        <f t="shared" si="8"/>
        <v>0.002362624147</v>
      </c>
    </row>
    <row r="20">
      <c r="A20" s="20" t="s">
        <v>26</v>
      </c>
      <c r="B20" s="24">
        <f>123232</f>
        <v>123232</v>
      </c>
      <c r="C20" s="24">
        <f>133811</f>
        <v>133811</v>
      </c>
      <c r="D20" s="24">
        <f>142416</f>
        <v>142416</v>
      </c>
      <c r="E20" s="24">
        <f>132299</f>
        <v>132299</v>
      </c>
      <c r="F20" s="24">
        <f>125987</f>
        <v>125987</v>
      </c>
      <c r="G20" s="27">
        <f>121365.45</f>
        <v>121365.45</v>
      </c>
      <c r="H20" s="24"/>
      <c r="I20" s="24"/>
      <c r="J20" s="24"/>
      <c r="K20" s="24"/>
      <c r="L20" s="24"/>
      <c r="M20" s="24"/>
      <c r="N20" s="14">
        <f t="shared" si="7"/>
        <v>779110.45</v>
      </c>
      <c r="O20" s="25">
        <f t="shared" si="8"/>
        <v>0.0917620637</v>
      </c>
    </row>
    <row r="21">
      <c r="A21" s="10" t="s">
        <v>27</v>
      </c>
      <c r="B21" s="24">
        <f t="shared" ref="B21:C21" si="10">1500+2478</f>
        <v>3978</v>
      </c>
      <c r="C21" s="24">
        <f t="shared" si="10"/>
        <v>3978</v>
      </c>
      <c r="D21" s="24">
        <f>2726+6410</f>
        <v>9136</v>
      </c>
      <c r="E21" s="24">
        <f>2726+1200+2596</f>
        <v>6522</v>
      </c>
      <c r="F21" s="24">
        <f t="shared" ref="F21:G21" si="11">2726</f>
        <v>2726</v>
      </c>
      <c r="G21" s="24">
        <f t="shared" si="11"/>
        <v>2726</v>
      </c>
      <c r="H21" s="24"/>
      <c r="I21" s="24"/>
      <c r="J21" s="24"/>
      <c r="K21" s="24"/>
      <c r="L21" s="24"/>
      <c r="M21" s="24"/>
      <c r="N21" s="14">
        <f t="shared" si="7"/>
        <v>29066</v>
      </c>
      <c r="O21" s="25">
        <f t="shared" si="8"/>
        <v>0.003423335092</v>
      </c>
    </row>
    <row r="22">
      <c r="A22" s="30" t="s">
        <v>28</v>
      </c>
      <c r="B22" s="17">
        <f t="shared" ref="B22:G22" si="12">2516.16/3+9813/12+7080/12</f>
        <v>2246.47</v>
      </c>
      <c r="C22" s="17">
        <f t="shared" si="12"/>
        <v>2246.47</v>
      </c>
      <c r="D22" s="17">
        <f t="shared" si="12"/>
        <v>2246.47</v>
      </c>
      <c r="E22" s="17">
        <f t="shared" si="12"/>
        <v>2246.47</v>
      </c>
      <c r="F22" s="17">
        <f t="shared" si="12"/>
        <v>2246.47</v>
      </c>
      <c r="G22" s="17">
        <f t="shared" si="12"/>
        <v>2246.47</v>
      </c>
      <c r="H22" s="17">
        <f t="shared" ref="H22:M22" si="13">2516.16/3+9813/12</f>
        <v>1656.47</v>
      </c>
      <c r="I22" s="17">
        <f t="shared" si="13"/>
        <v>1656.47</v>
      </c>
      <c r="J22" s="17">
        <f t="shared" si="13"/>
        <v>1656.47</v>
      </c>
      <c r="K22" s="17">
        <f t="shared" si="13"/>
        <v>1656.47</v>
      </c>
      <c r="L22" s="17">
        <f t="shared" si="13"/>
        <v>1656.47</v>
      </c>
      <c r="M22" s="17">
        <f t="shared" si="13"/>
        <v>1656.47</v>
      </c>
      <c r="N22" s="14">
        <f t="shared" si="7"/>
        <v>23417.64</v>
      </c>
      <c r="O22" s="25">
        <f t="shared" si="8"/>
        <v>0.002758082597</v>
      </c>
    </row>
    <row r="23">
      <c r="A23" s="20" t="s">
        <v>29</v>
      </c>
      <c r="B23" s="27">
        <v>526.68</v>
      </c>
      <c r="C23" s="17">
        <f t="shared" ref="C23:M23" si="14">1698</f>
        <v>1698</v>
      </c>
      <c r="D23" s="17">
        <f t="shared" si="14"/>
        <v>1698</v>
      </c>
      <c r="E23" s="17">
        <f t="shared" si="14"/>
        <v>1698</v>
      </c>
      <c r="F23" s="17">
        <f t="shared" si="14"/>
        <v>1698</v>
      </c>
      <c r="G23" s="17">
        <f t="shared" si="14"/>
        <v>1698</v>
      </c>
      <c r="H23" s="17">
        <f t="shared" si="14"/>
        <v>1698</v>
      </c>
      <c r="I23" s="17">
        <f t="shared" si="14"/>
        <v>1698</v>
      </c>
      <c r="J23" s="17">
        <f t="shared" si="14"/>
        <v>1698</v>
      </c>
      <c r="K23" s="17">
        <f t="shared" si="14"/>
        <v>1698</v>
      </c>
      <c r="L23" s="17">
        <f t="shared" si="14"/>
        <v>1698</v>
      </c>
      <c r="M23" s="17">
        <f t="shared" si="14"/>
        <v>1698</v>
      </c>
      <c r="N23" s="14">
        <f t="shared" si="7"/>
        <v>19204.68</v>
      </c>
      <c r="O23" s="25">
        <f t="shared" si="8"/>
        <v>0.002261888632</v>
      </c>
    </row>
    <row r="24">
      <c r="A24" s="18" t="s">
        <v>30</v>
      </c>
      <c r="B24" s="27">
        <v>1782.88</v>
      </c>
      <c r="C24" s="27">
        <v>0.0</v>
      </c>
      <c r="D24" s="27">
        <v>5900.0</v>
      </c>
      <c r="E24" s="27">
        <f>'Misc Exp'!K133</f>
        <v>12500</v>
      </c>
      <c r="F24" s="27">
        <f>'Misc Exp'!K90</f>
        <v>10132</v>
      </c>
      <c r="G24" s="27">
        <f>'Misc Exp'!K43</f>
        <v>0</v>
      </c>
      <c r="H24" s="27"/>
      <c r="I24" s="27"/>
      <c r="J24" s="27"/>
      <c r="K24" s="27"/>
      <c r="L24" s="27"/>
      <c r="M24" s="27"/>
      <c r="N24" s="14">
        <f t="shared" si="7"/>
        <v>30314.88</v>
      </c>
      <c r="O24" s="25">
        <f t="shared" si="8"/>
        <v>0.003570425669</v>
      </c>
    </row>
    <row r="25">
      <c r="A25" s="18" t="s">
        <v>31</v>
      </c>
      <c r="B25" s="24">
        <f>7596/12</f>
        <v>633</v>
      </c>
      <c r="C25" s="24">
        <f>7596/12+5132</f>
        <v>5765</v>
      </c>
      <c r="D25" s="24">
        <f>7596/12+3346</f>
        <v>3979</v>
      </c>
      <c r="E25" s="24">
        <f>7596/12+'Misc Exp'!K126</f>
        <v>10079.33333</v>
      </c>
      <c r="F25" s="24">
        <f>7596/12+'Misc Exp'!K84</f>
        <v>6254.91</v>
      </c>
      <c r="G25" s="24">
        <f>7596/12+'Misc Exp'!K38</f>
        <v>10888</v>
      </c>
      <c r="H25" s="24">
        <f t="shared" ref="H25:M25" si="15">7596/12</f>
        <v>633</v>
      </c>
      <c r="I25" s="24">
        <f t="shared" si="15"/>
        <v>633</v>
      </c>
      <c r="J25" s="24">
        <f t="shared" si="15"/>
        <v>633</v>
      </c>
      <c r="K25" s="24">
        <f t="shared" si="15"/>
        <v>633</v>
      </c>
      <c r="L25" s="24">
        <f t="shared" si="15"/>
        <v>633</v>
      </c>
      <c r="M25" s="24">
        <f t="shared" si="15"/>
        <v>633</v>
      </c>
      <c r="N25" s="14">
        <f t="shared" si="7"/>
        <v>41397.24333</v>
      </c>
      <c r="O25" s="25">
        <f t="shared" si="8"/>
        <v>0.00487568416</v>
      </c>
    </row>
    <row r="26">
      <c r="A26" s="18" t="s">
        <v>32</v>
      </c>
      <c r="B26" s="24">
        <f>38884</f>
        <v>38884</v>
      </c>
      <c r="C26" s="27">
        <v>38884.0</v>
      </c>
      <c r="D26" s="27">
        <v>40440.0</v>
      </c>
      <c r="E26" s="27">
        <v>40440.0</v>
      </c>
      <c r="F26" s="27">
        <v>40440.0</v>
      </c>
      <c r="G26" s="27">
        <v>40440.0</v>
      </c>
      <c r="H26" s="24"/>
      <c r="I26" s="24"/>
      <c r="J26" s="24"/>
      <c r="K26" s="24"/>
      <c r="L26" s="24"/>
      <c r="M26" s="24"/>
      <c r="N26" s="14">
        <f t="shared" si="7"/>
        <v>239528</v>
      </c>
      <c r="O26" s="25">
        <f t="shared" si="8"/>
        <v>0.02821112667</v>
      </c>
    </row>
    <row r="27">
      <c r="A27" s="18" t="s">
        <v>33</v>
      </c>
      <c r="B27" s="24">
        <f>HO!D31</f>
        <v>255607.843</v>
      </c>
      <c r="C27" s="24">
        <f>HO!H31</f>
        <v>285904.0884</v>
      </c>
      <c r="D27" s="24">
        <f>HO!L31</f>
        <v>287868.0206</v>
      </c>
      <c r="E27" s="24">
        <f>HO!P31</f>
        <v>312821.6173</v>
      </c>
      <c r="F27" s="24">
        <f>HO!D50</f>
        <v>321427.9059</v>
      </c>
      <c r="G27" s="24">
        <f>HO!H50</f>
        <v>361964.8208</v>
      </c>
      <c r="H27" s="24" t="str">
        <f>HO!L50</f>
        <v>#DIV/0!</v>
      </c>
      <c r="I27" s="24" t="str">
        <f>HO!P50</f>
        <v>#DIV/0!</v>
      </c>
      <c r="J27" s="24" t="str">
        <f>HO!D69</f>
        <v>#DIV/0!</v>
      </c>
      <c r="K27" s="24" t="str">
        <f>HO!H69</f>
        <v>#DIV/0!</v>
      </c>
      <c r="L27" s="24" t="str">
        <f>HO!L69</f>
        <v>#DIV/0!</v>
      </c>
      <c r="M27" s="24" t="str">
        <f>HO!P69</f>
        <v>#DIV/0!</v>
      </c>
      <c r="N27" s="14" t="str">
        <f t="shared" si="7"/>
        <v>#DIV/0!</v>
      </c>
      <c r="O27" s="25" t="str">
        <f t="shared" si="8"/>
        <v>#DIV/0!</v>
      </c>
    </row>
    <row r="28">
      <c r="A28" s="35" t="s">
        <v>34</v>
      </c>
      <c r="B28" s="36">
        <f t="shared" ref="B28:M28" si="16">+SUM(B14:B27)</f>
        <v>903316.123</v>
      </c>
      <c r="C28" s="36">
        <f t="shared" si="16"/>
        <v>1037895.888</v>
      </c>
      <c r="D28" s="36">
        <f t="shared" si="16"/>
        <v>1058846.761</v>
      </c>
      <c r="E28" s="36">
        <f t="shared" si="16"/>
        <v>1133243.021</v>
      </c>
      <c r="F28" s="48">
        <f t="shared" si="16"/>
        <v>1187712.086</v>
      </c>
      <c r="G28" s="36">
        <f t="shared" si="16"/>
        <v>1218188.781</v>
      </c>
      <c r="H28" s="36" t="str">
        <f t="shared" si="16"/>
        <v>#DIV/0!</v>
      </c>
      <c r="I28" s="36" t="str">
        <f t="shared" si="16"/>
        <v>#DIV/0!</v>
      </c>
      <c r="J28" s="36" t="str">
        <f t="shared" si="16"/>
        <v>#DIV/0!</v>
      </c>
      <c r="K28" s="36" t="str">
        <f t="shared" si="16"/>
        <v>#DIV/0!</v>
      </c>
      <c r="L28" s="36" t="str">
        <f t="shared" si="16"/>
        <v>#DIV/0!</v>
      </c>
      <c r="M28" s="36" t="str">
        <f t="shared" si="16"/>
        <v>#DIV/0!</v>
      </c>
      <c r="N28" s="36" t="str">
        <f t="shared" si="7"/>
        <v>#DIV/0!</v>
      </c>
      <c r="O28" s="37" t="str">
        <f t="shared" si="8"/>
        <v>#DIV/0!</v>
      </c>
    </row>
    <row r="29">
      <c r="A29" s="38" t="s">
        <v>35</v>
      </c>
      <c r="B29" s="39">
        <f t="shared" ref="B29:M29" si="17">B13-B28</f>
        <v>247926.1632</v>
      </c>
      <c r="C29" s="39">
        <f t="shared" si="17"/>
        <v>322991.763</v>
      </c>
      <c r="D29" s="39">
        <f t="shared" si="17"/>
        <v>254960.2552</v>
      </c>
      <c r="E29" s="39">
        <f t="shared" si="17"/>
        <v>296847.8525</v>
      </c>
      <c r="F29" s="39">
        <f t="shared" si="17"/>
        <v>431242.5143</v>
      </c>
      <c r="G29" s="39">
        <f t="shared" si="17"/>
        <v>397379.4464</v>
      </c>
      <c r="H29" s="39" t="str">
        <f t="shared" si="17"/>
        <v>#DIV/0!</v>
      </c>
      <c r="I29" s="39" t="str">
        <f t="shared" si="17"/>
        <v>#DIV/0!</v>
      </c>
      <c r="J29" s="39" t="str">
        <f t="shared" si="17"/>
        <v>#DIV/0!</v>
      </c>
      <c r="K29" s="39" t="str">
        <f t="shared" si="17"/>
        <v>#DIV/0!</v>
      </c>
      <c r="L29" s="39" t="str">
        <f t="shared" si="17"/>
        <v>#DIV/0!</v>
      </c>
      <c r="M29" s="39" t="str">
        <f t="shared" si="17"/>
        <v>#DIV/0!</v>
      </c>
      <c r="N29" s="39" t="str">
        <f t="shared" si="7"/>
        <v>#DIV/0!</v>
      </c>
      <c r="O29" s="40" t="str">
        <f t="shared" si="8"/>
        <v>#DIV/0!</v>
      </c>
    </row>
    <row r="30">
      <c r="A30" s="41" t="s">
        <v>36</v>
      </c>
      <c r="B30" s="42">
        <f t="shared" ref="B30:M30" si="18">(B14/B13)</f>
        <v>0.2115611135</v>
      </c>
      <c r="C30" s="42">
        <f t="shared" si="18"/>
        <v>0.2014546753</v>
      </c>
      <c r="D30" s="42">
        <f t="shared" si="18"/>
        <v>0.2207859423</v>
      </c>
      <c r="E30" s="42">
        <f t="shared" si="18"/>
        <v>0.2187318693</v>
      </c>
      <c r="F30" s="43">
        <f t="shared" si="18"/>
        <v>0.2175999685</v>
      </c>
      <c r="G30" s="42">
        <f t="shared" si="18"/>
        <v>0.2156360246</v>
      </c>
      <c r="H30" s="42" t="str">
        <f t="shared" si="18"/>
        <v>#DIV/0!</v>
      </c>
      <c r="I30" s="42" t="str">
        <f t="shared" si="18"/>
        <v>#DIV/0!</v>
      </c>
      <c r="J30" s="42" t="str">
        <f t="shared" si="18"/>
        <v>#DIV/0!</v>
      </c>
      <c r="K30" s="42" t="str">
        <f t="shared" si="18"/>
        <v>#DIV/0!</v>
      </c>
      <c r="L30" s="42" t="str">
        <f t="shared" si="18"/>
        <v>#DIV/0!</v>
      </c>
      <c r="M30" s="42" t="str">
        <f t="shared" si="18"/>
        <v>#DIV/0!</v>
      </c>
      <c r="N30" s="44"/>
      <c r="O30" s="44"/>
    </row>
    <row r="32">
      <c r="B32" s="51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</row>
    <row r="33">
      <c r="A33" s="46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</row>
    <row r="34">
      <c r="A34" s="46"/>
      <c r="B34" s="47"/>
      <c r="C34" s="47"/>
      <c r="D34" s="47"/>
      <c r="E34" s="47"/>
    </row>
    <row r="35">
      <c r="A35" s="6"/>
      <c r="B35" s="47"/>
      <c r="C35" s="47"/>
      <c r="D35" s="47"/>
      <c r="E35" s="47"/>
    </row>
    <row r="36">
      <c r="A36" s="46"/>
      <c r="B36" s="47"/>
      <c r="C36" s="47"/>
      <c r="D36" s="47"/>
      <c r="E36" s="47"/>
    </row>
  </sheetData>
  <mergeCells count="1">
    <mergeCell ref="N1:O1"/>
  </mergeCell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</cols>
  <sheetData>
    <row r="1">
      <c r="A1" s="1" t="s">
        <v>38</v>
      </c>
      <c r="B1" s="3">
        <f>Summary!C1</f>
        <v>46113</v>
      </c>
      <c r="C1" s="3">
        <f>Summary!D1</f>
        <v>46143</v>
      </c>
      <c r="D1" s="3">
        <f>Summary!E1</f>
        <v>46174</v>
      </c>
      <c r="E1" s="3">
        <f>Summary!F1</f>
        <v>46204</v>
      </c>
      <c r="F1" s="3">
        <f>Summary!G1</f>
        <v>46235</v>
      </c>
      <c r="G1" s="3">
        <f>Summary!H1</f>
        <v>46266</v>
      </c>
      <c r="H1" s="3">
        <f>Summary!I1</f>
        <v>46296</v>
      </c>
      <c r="I1" s="3">
        <f>Summary!J1</f>
        <v>46327</v>
      </c>
      <c r="J1" s="3">
        <f>Summary!K1</f>
        <v>46357</v>
      </c>
      <c r="K1" s="3">
        <f>Summary!L1</f>
        <v>46388</v>
      </c>
      <c r="L1" s="3">
        <f>Summary!M1</f>
        <v>46419</v>
      </c>
      <c r="M1" s="3">
        <f>Summary!N1</f>
        <v>46447</v>
      </c>
      <c r="N1" s="4" t="s">
        <v>5</v>
      </c>
      <c r="O1" s="5"/>
    </row>
    <row r="2">
      <c r="A2" s="7" t="s">
        <v>6</v>
      </c>
      <c r="B2" s="8"/>
      <c r="C2" s="8"/>
      <c r="D2" s="8"/>
      <c r="E2" s="8"/>
      <c r="F2" s="9"/>
      <c r="G2" s="8"/>
      <c r="H2" s="8"/>
      <c r="I2" s="8"/>
      <c r="J2" s="8"/>
      <c r="K2" s="8"/>
      <c r="L2" s="8"/>
      <c r="M2" s="8"/>
      <c r="N2" s="8"/>
      <c r="O2" s="8"/>
    </row>
    <row r="3">
      <c r="A3" s="10" t="s">
        <v>7</v>
      </c>
      <c r="B3" s="12">
        <v>26043.0</v>
      </c>
      <c r="C3" s="11">
        <f t="shared" ref="C3:M3" si="1">B7</f>
        <v>31057.31</v>
      </c>
      <c r="D3" s="11">
        <f t="shared" si="1"/>
        <v>22917.19</v>
      </c>
      <c r="E3" s="11">
        <f t="shared" si="1"/>
        <v>27033</v>
      </c>
      <c r="F3" s="11">
        <f t="shared" si="1"/>
        <v>20479</v>
      </c>
      <c r="G3" s="11">
        <f t="shared" si="1"/>
        <v>27380</v>
      </c>
      <c r="H3" s="11">
        <f t="shared" si="1"/>
        <v>23670.33</v>
      </c>
      <c r="I3" s="11" t="str">
        <f t="shared" si="1"/>
        <v/>
      </c>
      <c r="J3" s="11" t="str">
        <f t="shared" si="1"/>
        <v/>
      </c>
      <c r="K3" s="11" t="str">
        <f t="shared" si="1"/>
        <v/>
      </c>
      <c r="L3" s="11" t="str">
        <f t="shared" si="1"/>
        <v/>
      </c>
      <c r="M3" s="11" t="str">
        <f t="shared" si="1"/>
        <v/>
      </c>
      <c r="N3" s="14">
        <f>+SUM(J3:L3)</f>
        <v>0</v>
      </c>
      <c r="O3" s="16"/>
    </row>
    <row r="4">
      <c r="A4" s="10" t="s">
        <v>9</v>
      </c>
      <c r="B4" s="17">
        <f>343088.7</f>
        <v>343088.7</v>
      </c>
      <c r="C4" s="17">
        <v>361531.99</v>
      </c>
      <c r="D4" s="17">
        <v>371332.0</v>
      </c>
      <c r="E4" s="17">
        <v>367107.0</v>
      </c>
      <c r="F4" s="17">
        <v>396283.79</v>
      </c>
      <c r="G4" s="17">
        <v>356068.0</v>
      </c>
      <c r="H4" s="17"/>
      <c r="I4" s="17"/>
      <c r="J4" s="17"/>
      <c r="K4" s="17"/>
      <c r="L4" s="17"/>
      <c r="M4" s="17"/>
      <c r="N4" s="14">
        <f>sum(B4:M4)</f>
        <v>2195411.48</v>
      </c>
      <c r="O4" s="16"/>
    </row>
    <row r="5">
      <c r="A5" s="10" t="s">
        <v>10</v>
      </c>
      <c r="B5" s="17">
        <v>580.92</v>
      </c>
      <c r="C5" s="17">
        <v>136.61</v>
      </c>
      <c r="D5" s="17">
        <v>792.0</v>
      </c>
      <c r="E5" s="17">
        <v>608.0</v>
      </c>
      <c r="F5" s="17">
        <v>158.0</v>
      </c>
      <c r="G5" s="17">
        <v>204.0</v>
      </c>
      <c r="H5" s="17"/>
      <c r="I5" s="17"/>
      <c r="J5" s="17"/>
      <c r="K5" s="17"/>
      <c r="L5" s="17"/>
      <c r="M5" s="17"/>
      <c r="N5" s="14">
        <f t="shared" ref="N5:N6" si="2">+SUM(J5:L5)</f>
        <v>0</v>
      </c>
      <c r="O5" s="16"/>
    </row>
    <row r="6">
      <c r="A6" s="10" t="s">
        <v>11</v>
      </c>
      <c r="B6" s="17">
        <v>11009.92</v>
      </c>
      <c r="C6" s="17">
        <v>13042.83</v>
      </c>
      <c r="D6" s="17">
        <v>12619.0</v>
      </c>
      <c r="E6" s="17">
        <v>12589.0</v>
      </c>
      <c r="F6" s="17">
        <v>12362.0</v>
      </c>
      <c r="G6" s="17">
        <v>11130.88</v>
      </c>
      <c r="H6" s="17"/>
      <c r="I6" s="17"/>
      <c r="J6" s="17"/>
      <c r="K6" s="17"/>
      <c r="L6" s="17"/>
      <c r="M6" s="17"/>
      <c r="N6" s="14">
        <f t="shared" si="2"/>
        <v>0</v>
      </c>
      <c r="O6" s="16"/>
    </row>
    <row r="7">
      <c r="A7" s="10" t="s">
        <v>12</v>
      </c>
      <c r="B7" s="17">
        <v>31057.31</v>
      </c>
      <c r="C7" s="17">
        <v>22917.19</v>
      </c>
      <c r="D7" s="17">
        <v>27033.0</v>
      </c>
      <c r="E7" s="17">
        <v>20479.0</v>
      </c>
      <c r="F7" s="17">
        <v>27380.0</v>
      </c>
      <c r="G7" s="17">
        <v>23670.33</v>
      </c>
      <c r="H7" s="17"/>
      <c r="I7" s="17"/>
      <c r="J7" s="17"/>
      <c r="K7" s="17"/>
      <c r="L7" s="17"/>
      <c r="M7" s="17"/>
      <c r="N7" s="14">
        <f>sum(B7:M7)</f>
        <v>152536.83</v>
      </c>
      <c r="O7" s="16"/>
    </row>
    <row r="8">
      <c r="A8" s="8"/>
      <c r="B8" s="8"/>
      <c r="C8" s="8"/>
      <c r="D8" s="8"/>
      <c r="E8" s="8"/>
      <c r="F8" s="9"/>
      <c r="G8" s="8"/>
      <c r="H8" s="8"/>
      <c r="I8" s="8"/>
      <c r="J8" s="8"/>
      <c r="K8" s="8"/>
      <c r="L8" s="8"/>
      <c r="M8" s="8"/>
      <c r="N8" s="8"/>
      <c r="O8" s="8"/>
    </row>
    <row r="9">
      <c r="A9" s="18" t="s">
        <v>13</v>
      </c>
      <c r="B9" s="11">
        <f>1319042.48*1.05+39392.47*1.05</f>
        <v>1426356.698</v>
      </c>
      <c r="C9" s="11">
        <f>1431803.7*1.05+33099.49*1.05</f>
        <v>1538148.35</v>
      </c>
      <c r="D9" s="11">
        <f>1358214.2*1.05+35094.86*1.05</f>
        <v>1462974.513</v>
      </c>
      <c r="E9" s="11">
        <f>1369101.89*1.05+35917.68*1.05</f>
        <v>1475270.549</v>
      </c>
      <c r="F9" s="11">
        <f>1484305.75*1.05</f>
        <v>1558521.038</v>
      </c>
      <c r="G9" s="11">
        <f>1391367.48*1.05+37457.03*1.05</f>
        <v>1500265.736</v>
      </c>
      <c r="H9" s="11"/>
      <c r="I9" s="11"/>
      <c r="J9" s="11"/>
      <c r="K9" s="11"/>
      <c r="L9" s="11"/>
      <c r="M9" s="11"/>
      <c r="N9" s="14">
        <f t="shared" ref="N9:N12" si="3">+SUM(B9:M9)</f>
        <v>8961536.882</v>
      </c>
      <c r="O9" s="16"/>
    </row>
    <row r="10">
      <c r="A10" s="18" t="s">
        <v>14</v>
      </c>
      <c r="B10" s="17">
        <v>0.0</v>
      </c>
      <c r="C10" s="17">
        <v>0.0</v>
      </c>
      <c r="D10" s="17">
        <v>0.0</v>
      </c>
      <c r="E10" s="17">
        <v>0.0</v>
      </c>
      <c r="F10" s="17">
        <v>0.0</v>
      </c>
      <c r="G10" s="17">
        <v>0.0</v>
      </c>
      <c r="H10" s="17">
        <v>0.0</v>
      </c>
      <c r="I10" s="17">
        <v>0.0</v>
      </c>
      <c r="J10" s="17">
        <v>0.0</v>
      </c>
      <c r="K10" s="17">
        <v>0.0</v>
      </c>
      <c r="L10" s="17">
        <v>0.0</v>
      </c>
      <c r="M10" s="17">
        <v>0.0</v>
      </c>
      <c r="N10" s="14">
        <f t="shared" si="3"/>
        <v>0</v>
      </c>
      <c r="O10" s="16"/>
    </row>
    <row r="11">
      <c r="A11" s="18" t="s">
        <v>15</v>
      </c>
      <c r="B11" s="11">
        <f t="shared" ref="B11:M11" si="4">(B9+B10)/1.05*0.05</f>
        <v>67921.7475</v>
      </c>
      <c r="C11" s="11">
        <f t="shared" si="4"/>
        <v>73245.1595</v>
      </c>
      <c r="D11" s="11">
        <f t="shared" si="4"/>
        <v>69665.453</v>
      </c>
      <c r="E11" s="11">
        <f t="shared" si="4"/>
        <v>70250.9785</v>
      </c>
      <c r="F11" s="11">
        <f t="shared" si="4"/>
        <v>74215.2875</v>
      </c>
      <c r="G11" s="11">
        <f t="shared" si="4"/>
        <v>71441.2255</v>
      </c>
      <c r="H11" s="11">
        <f t="shared" si="4"/>
        <v>0</v>
      </c>
      <c r="I11" s="11">
        <f t="shared" si="4"/>
        <v>0</v>
      </c>
      <c r="J11" s="11">
        <f t="shared" si="4"/>
        <v>0</v>
      </c>
      <c r="K11" s="11">
        <f t="shared" si="4"/>
        <v>0</v>
      </c>
      <c r="L11" s="11">
        <f t="shared" si="4"/>
        <v>0</v>
      </c>
      <c r="M11" s="11">
        <f t="shared" si="4"/>
        <v>0</v>
      </c>
      <c r="N11" s="14">
        <f t="shared" si="3"/>
        <v>426739.8515</v>
      </c>
      <c r="O11" s="16"/>
    </row>
    <row r="12">
      <c r="A12" s="18" t="s">
        <v>16</v>
      </c>
      <c r="B12" s="17">
        <f>91382.87*1.18+51928.99*1.18+10556.43*1.18+704.13*1.18+73.84*1.18</f>
        <v>182482.5868</v>
      </c>
      <c r="C12" s="17">
        <f>77254.74*1.18+61694.44*1.18+195.54*1.18+1228.54*1.18+20647.38*1.18</f>
        <v>190004.3552</v>
      </c>
      <c r="D12" s="11">
        <f>82056.06*1.18+72144.24*1.18+838.89*1.18</f>
        <v>182946.2442</v>
      </c>
      <c r="E12" s="11">
        <f>83739.65*1.18+936.27*1.18+79500*1.18</f>
        <v>193727.5856</v>
      </c>
      <c r="F12" s="11">
        <f>83343.77*1.18+70741.67*1.18+84.97*1.18</f>
        <v>181921.0838</v>
      </c>
      <c r="G12" s="11">
        <f>82131.45*1.18+87131.22*1.18+1091.4*1.18+18.28*1.18</f>
        <v>201039.373</v>
      </c>
      <c r="H12" s="11"/>
      <c r="I12" s="11"/>
      <c r="J12" s="11"/>
      <c r="K12" s="11"/>
      <c r="L12" s="11"/>
      <c r="M12" s="11"/>
      <c r="N12" s="14">
        <f t="shared" si="3"/>
        <v>1132121.229</v>
      </c>
      <c r="O12" s="16"/>
    </row>
    <row r="13">
      <c r="A13" s="19" t="s">
        <v>17</v>
      </c>
      <c r="B13" s="21">
        <f t="shared" ref="B13:M13" si="5">B9+B10-B11-B12</f>
        <v>1175952.363</v>
      </c>
      <c r="C13" s="21">
        <f t="shared" si="5"/>
        <v>1274898.835</v>
      </c>
      <c r="D13" s="21">
        <f t="shared" si="5"/>
        <v>1210362.816</v>
      </c>
      <c r="E13" s="21">
        <f t="shared" si="5"/>
        <v>1211291.984</v>
      </c>
      <c r="F13" s="22">
        <f t="shared" si="5"/>
        <v>1302384.666</v>
      </c>
      <c r="G13" s="22">
        <f t="shared" si="5"/>
        <v>1227785.137</v>
      </c>
      <c r="H13" s="21">
        <f t="shared" si="5"/>
        <v>0</v>
      </c>
      <c r="I13" s="21">
        <f t="shared" si="5"/>
        <v>0</v>
      </c>
      <c r="J13" s="21">
        <f t="shared" si="5"/>
        <v>0</v>
      </c>
      <c r="K13" s="21">
        <f t="shared" si="5"/>
        <v>0</v>
      </c>
      <c r="L13" s="21">
        <f t="shared" si="5"/>
        <v>0</v>
      </c>
      <c r="M13" s="21">
        <f t="shared" si="5"/>
        <v>0</v>
      </c>
      <c r="N13" s="21">
        <f t="shared" ref="N13:N29" si="7">sum(B13:M13)</f>
        <v>7402675.801</v>
      </c>
      <c r="O13" s="23"/>
    </row>
    <row r="14">
      <c r="A14" s="18" t="s">
        <v>20</v>
      </c>
      <c r="B14" s="24">
        <f t="shared" ref="B14:M14" si="6">+B3+B4-B5-B7</f>
        <v>337493.47</v>
      </c>
      <c r="C14" s="24">
        <f t="shared" si="6"/>
        <v>369535.5</v>
      </c>
      <c r="D14" s="24">
        <f t="shared" si="6"/>
        <v>366424.19</v>
      </c>
      <c r="E14" s="24">
        <f t="shared" si="6"/>
        <v>373053</v>
      </c>
      <c r="F14" s="24">
        <f t="shared" si="6"/>
        <v>389224.79</v>
      </c>
      <c r="G14" s="56">
        <f t="shared" si="6"/>
        <v>359573.67</v>
      </c>
      <c r="H14" s="24">
        <f t="shared" si="6"/>
        <v>23670.33</v>
      </c>
      <c r="I14" s="24">
        <f t="shared" si="6"/>
        <v>0</v>
      </c>
      <c r="J14" s="24">
        <f t="shared" si="6"/>
        <v>0</v>
      </c>
      <c r="K14" s="24">
        <f t="shared" si="6"/>
        <v>0</v>
      </c>
      <c r="L14" s="24">
        <f t="shared" si="6"/>
        <v>0</v>
      </c>
      <c r="M14" s="24">
        <f t="shared" si="6"/>
        <v>0</v>
      </c>
      <c r="N14" s="14">
        <f t="shared" si="7"/>
        <v>2218974.95</v>
      </c>
      <c r="O14" s="25">
        <f t="shared" ref="O14:O29" si="8">N14/$N$13</f>
        <v>0.2997530906</v>
      </c>
    </row>
    <row r="15">
      <c r="A15" s="18" t="s">
        <v>21</v>
      </c>
      <c r="B15" s="27">
        <v>50880.0</v>
      </c>
      <c r="C15" s="27">
        <v>48510.0</v>
      </c>
      <c r="D15" s="27">
        <v>53490.0</v>
      </c>
      <c r="E15" s="27">
        <v>50670.0</v>
      </c>
      <c r="F15" s="27">
        <f>55650</f>
        <v>55650</v>
      </c>
      <c r="G15" s="58">
        <v>55000.0</v>
      </c>
      <c r="H15" s="27"/>
      <c r="I15" s="27"/>
      <c r="J15" s="27"/>
      <c r="K15" s="27"/>
      <c r="L15" s="27"/>
      <c r="M15" s="24"/>
      <c r="N15" s="14">
        <f t="shared" si="7"/>
        <v>314200</v>
      </c>
      <c r="O15" s="25">
        <f t="shared" si="8"/>
        <v>0.04244411189</v>
      </c>
    </row>
    <row r="16">
      <c r="A16" s="18" t="s">
        <v>22</v>
      </c>
      <c r="B16" s="24">
        <f t="shared" ref="B16:D16" si="9">942.82+352.82</f>
        <v>1295.64</v>
      </c>
      <c r="C16" s="24">
        <f t="shared" si="9"/>
        <v>1295.64</v>
      </c>
      <c r="D16" s="24">
        <f t="shared" si="9"/>
        <v>1295.64</v>
      </c>
      <c r="E16" s="24">
        <f t="shared" ref="E16:G16" si="10">352.82+942.82</f>
        <v>1295.64</v>
      </c>
      <c r="F16" s="24">
        <f t="shared" si="10"/>
        <v>1295.64</v>
      </c>
      <c r="G16" s="56">
        <f t="shared" si="10"/>
        <v>1295.64</v>
      </c>
      <c r="H16" s="24"/>
      <c r="I16" s="24"/>
      <c r="J16" s="24"/>
      <c r="K16" s="24"/>
      <c r="L16" s="24"/>
      <c r="M16" s="24"/>
      <c r="N16" s="14">
        <f t="shared" si="7"/>
        <v>7773.84</v>
      </c>
      <c r="O16" s="25">
        <f t="shared" si="8"/>
        <v>0.001050139194</v>
      </c>
    </row>
    <row r="17">
      <c r="A17" s="18" t="s">
        <v>23</v>
      </c>
      <c r="B17" s="24">
        <f>6624+8832</f>
        <v>15456</v>
      </c>
      <c r="C17" s="24">
        <f>22414+22414+9606</f>
        <v>54434</v>
      </c>
      <c r="D17" s="27">
        <v>48832.0</v>
      </c>
      <c r="E17" s="27">
        <v>61630.0</v>
      </c>
      <c r="F17" s="27">
        <v>41963.0</v>
      </c>
      <c r="G17" s="12">
        <v>53371.0</v>
      </c>
      <c r="H17" s="27"/>
      <c r="I17" s="27"/>
      <c r="J17" s="27"/>
      <c r="K17" s="27"/>
      <c r="L17" s="24"/>
      <c r="M17" s="24"/>
      <c r="N17" s="14">
        <f t="shared" si="7"/>
        <v>275686</v>
      </c>
      <c r="O17" s="25">
        <f t="shared" si="8"/>
        <v>0.03724139857</v>
      </c>
    </row>
    <row r="18">
      <c r="A18" s="18" t="s">
        <v>24</v>
      </c>
      <c r="B18" s="24">
        <f>56994</f>
        <v>56994</v>
      </c>
      <c r="C18" s="27">
        <v>56994.0</v>
      </c>
      <c r="D18" s="27">
        <v>56994.0</v>
      </c>
      <c r="E18" s="27">
        <v>56994.0</v>
      </c>
      <c r="F18" s="27">
        <v>56994.0</v>
      </c>
      <c r="G18" s="12">
        <v>56994.0</v>
      </c>
      <c r="H18" s="24"/>
      <c r="I18" s="24"/>
      <c r="J18" s="24"/>
      <c r="K18" s="24"/>
      <c r="L18" s="24"/>
      <c r="M18" s="24"/>
      <c r="N18" s="14">
        <f t="shared" si="7"/>
        <v>341964</v>
      </c>
      <c r="O18" s="25">
        <f t="shared" si="8"/>
        <v>0.04619464761</v>
      </c>
    </row>
    <row r="19">
      <c r="A19" s="18" t="s">
        <v>25</v>
      </c>
      <c r="B19" s="27">
        <v>3761.25</v>
      </c>
      <c r="C19" s="27">
        <v>3761.25</v>
      </c>
      <c r="D19" s="27">
        <v>3761.25</v>
      </c>
      <c r="E19" s="27">
        <v>3761.25</v>
      </c>
      <c r="F19" s="27">
        <v>3761.25</v>
      </c>
      <c r="G19" s="27">
        <v>3761.25</v>
      </c>
      <c r="H19" s="24"/>
      <c r="I19" s="24"/>
      <c r="J19" s="24"/>
      <c r="K19" s="24"/>
      <c r="L19" s="24"/>
      <c r="M19" s="24"/>
      <c r="N19" s="14">
        <f t="shared" si="7"/>
        <v>22567.5</v>
      </c>
      <c r="O19" s="25">
        <f t="shared" si="8"/>
        <v>0.003048559819</v>
      </c>
    </row>
    <row r="20">
      <c r="A20" s="20" t="s">
        <v>26</v>
      </c>
      <c r="B20" s="24">
        <f>170687</f>
        <v>170687</v>
      </c>
      <c r="C20" s="24">
        <f>197474</f>
        <v>197474</v>
      </c>
      <c r="D20" s="24">
        <f>200285+8077</f>
        <v>208362</v>
      </c>
      <c r="E20" s="27">
        <f>9231+183518.74</f>
        <v>192749.74</v>
      </c>
      <c r="F20" s="24">
        <f>168653.2+9808</f>
        <v>178461.2</v>
      </c>
      <c r="G20" s="56">
        <f>25962+165059</f>
        <v>191021</v>
      </c>
      <c r="H20" s="24"/>
      <c r="I20" s="24"/>
      <c r="J20" s="24"/>
      <c r="K20" s="24"/>
      <c r="L20" s="24"/>
      <c r="M20" s="24"/>
      <c r="N20" s="14">
        <f t="shared" si="7"/>
        <v>1138754.94</v>
      </c>
      <c r="O20" s="25">
        <f t="shared" si="8"/>
        <v>0.1538301785</v>
      </c>
    </row>
    <row r="21">
      <c r="A21" s="10" t="s">
        <v>27</v>
      </c>
      <c r="B21" s="24">
        <f t="shared" ref="B21:C21" si="11">2950+2478+2478</f>
        <v>7906</v>
      </c>
      <c r="C21" s="24">
        <f t="shared" si="11"/>
        <v>7906</v>
      </c>
      <c r="D21" s="24">
        <f>2726+2726+2950</f>
        <v>8402</v>
      </c>
      <c r="E21" s="24">
        <f>2950+2726+2726+1200</f>
        <v>9602</v>
      </c>
      <c r="F21" s="24">
        <f t="shared" ref="F21:G21" si="12">2726+2726+2950</f>
        <v>8402</v>
      </c>
      <c r="G21" s="56">
        <f t="shared" si="12"/>
        <v>8402</v>
      </c>
      <c r="H21" s="24"/>
      <c r="I21" s="24"/>
      <c r="J21" s="24"/>
      <c r="K21" s="24"/>
      <c r="L21" s="24"/>
      <c r="M21" s="24"/>
      <c r="N21" s="14">
        <f t="shared" si="7"/>
        <v>50620</v>
      </c>
      <c r="O21" s="25">
        <f t="shared" si="8"/>
        <v>0.006838067931</v>
      </c>
    </row>
    <row r="22">
      <c r="A22" s="30" t="s">
        <v>28</v>
      </c>
      <c r="B22" s="24">
        <f t="shared" ref="B22:G22" si="13">2516.16/3+9813/12+7080/12</f>
        <v>2246.47</v>
      </c>
      <c r="C22" s="24">
        <f t="shared" si="13"/>
        <v>2246.47</v>
      </c>
      <c r="D22" s="24">
        <f t="shared" si="13"/>
        <v>2246.47</v>
      </c>
      <c r="E22" s="24">
        <f t="shared" si="13"/>
        <v>2246.47</v>
      </c>
      <c r="F22" s="24">
        <f t="shared" si="13"/>
        <v>2246.47</v>
      </c>
      <c r="G22" s="56">
        <f t="shared" si="13"/>
        <v>2246.47</v>
      </c>
      <c r="H22" s="24">
        <f t="shared" ref="H22:M22" si="14">9813/12</f>
        <v>817.75</v>
      </c>
      <c r="I22" s="24">
        <f t="shared" si="14"/>
        <v>817.75</v>
      </c>
      <c r="J22" s="24">
        <f t="shared" si="14"/>
        <v>817.75</v>
      </c>
      <c r="K22" s="24">
        <f t="shared" si="14"/>
        <v>817.75</v>
      </c>
      <c r="L22" s="24">
        <f t="shared" si="14"/>
        <v>817.75</v>
      </c>
      <c r="M22" s="24">
        <f t="shared" si="14"/>
        <v>817.75</v>
      </c>
      <c r="N22" s="14">
        <f t="shared" si="7"/>
        <v>18385.32</v>
      </c>
      <c r="O22" s="25">
        <f t="shared" si="8"/>
        <v>0.002483604644</v>
      </c>
    </row>
    <row r="23">
      <c r="A23" s="20" t="s">
        <v>29</v>
      </c>
      <c r="B23" s="24">
        <f>973.34</f>
        <v>973.34</v>
      </c>
      <c r="C23" s="17">
        <f t="shared" ref="C23:M23" si="15">1698</f>
        <v>1698</v>
      </c>
      <c r="D23" s="17">
        <f t="shared" si="15"/>
        <v>1698</v>
      </c>
      <c r="E23" s="17">
        <f t="shared" si="15"/>
        <v>1698</v>
      </c>
      <c r="F23" s="17">
        <f t="shared" si="15"/>
        <v>1698</v>
      </c>
      <c r="G23" s="15">
        <f t="shared" si="15"/>
        <v>1698</v>
      </c>
      <c r="H23" s="17">
        <f t="shared" si="15"/>
        <v>1698</v>
      </c>
      <c r="I23" s="17">
        <f t="shared" si="15"/>
        <v>1698</v>
      </c>
      <c r="J23" s="17">
        <f t="shared" si="15"/>
        <v>1698</v>
      </c>
      <c r="K23" s="17">
        <f t="shared" si="15"/>
        <v>1698</v>
      </c>
      <c r="L23" s="17">
        <f t="shared" si="15"/>
        <v>1698</v>
      </c>
      <c r="M23" s="17">
        <f t="shared" si="15"/>
        <v>1698</v>
      </c>
      <c r="N23" s="14">
        <f t="shared" si="7"/>
        <v>19651.34</v>
      </c>
      <c r="O23" s="25">
        <f t="shared" si="8"/>
        <v>0.002654626587</v>
      </c>
    </row>
    <row r="24">
      <c r="A24" s="18" t="s">
        <v>30</v>
      </c>
      <c r="B24" s="27">
        <v>1200.0</v>
      </c>
      <c r="C24" s="27">
        <v>3560.0</v>
      </c>
      <c r="D24" s="27">
        <v>11630.0</v>
      </c>
      <c r="E24" s="24">
        <f>'Misc Exp'!L133</f>
        <v>5750</v>
      </c>
      <c r="F24" s="24">
        <f>'Misc Exp'!L90</f>
        <v>26620</v>
      </c>
      <c r="G24" s="56">
        <f>'Misc Exp'!L43</f>
        <v>2600</v>
      </c>
      <c r="H24" s="24"/>
      <c r="I24" s="24"/>
      <c r="J24" s="24"/>
      <c r="K24" s="24"/>
      <c r="L24" s="24"/>
      <c r="M24" s="24"/>
      <c r="N24" s="14">
        <f t="shared" si="7"/>
        <v>51360</v>
      </c>
      <c r="O24" s="25">
        <f t="shared" si="8"/>
        <v>0.006938031784</v>
      </c>
    </row>
    <row r="25">
      <c r="A25" s="18" t="s">
        <v>31</v>
      </c>
      <c r="B25" s="27">
        <v>6885.42</v>
      </c>
      <c r="C25" s="27">
        <v>23029.72</v>
      </c>
      <c r="D25" s="27">
        <v>6484.7</v>
      </c>
      <c r="E25" s="24">
        <f>'Misc Exp'!L126</f>
        <v>23267.75333</v>
      </c>
      <c r="F25" s="24">
        <f>'Misc Exp'!L84</f>
        <v>5099.11</v>
      </c>
      <c r="G25" s="12">
        <f>'Misc Exp'!L38</f>
        <v>11904.29</v>
      </c>
      <c r="H25" s="27"/>
      <c r="I25" s="27"/>
      <c r="J25" s="27"/>
      <c r="K25" s="27"/>
      <c r="L25" s="27"/>
      <c r="M25" s="27"/>
      <c r="N25" s="14">
        <f t="shared" si="7"/>
        <v>76670.99333</v>
      </c>
      <c r="O25" s="25">
        <f t="shared" si="8"/>
        <v>0.01035719994</v>
      </c>
    </row>
    <row r="26">
      <c r="A26" s="18" t="s">
        <v>32</v>
      </c>
      <c r="B26" s="27">
        <v>0.0</v>
      </c>
      <c r="C26" s="27">
        <v>0.0</v>
      </c>
      <c r="D26" s="27">
        <v>0.0</v>
      </c>
      <c r="E26" s="27">
        <v>0.0</v>
      </c>
      <c r="F26" s="27">
        <v>0.0</v>
      </c>
      <c r="G26" s="27">
        <v>0.0</v>
      </c>
      <c r="H26" s="24"/>
      <c r="I26" s="24"/>
      <c r="J26" s="24"/>
      <c r="K26" s="24"/>
      <c r="L26" s="24"/>
      <c r="M26" s="24"/>
      <c r="N26" s="14">
        <f t="shared" si="7"/>
        <v>0</v>
      </c>
      <c r="O26" s="25">
        <f t="shared" si="8"/>
        <v>0</v>
      </c>
    </row>
    <row r="27">
      <c r="A27" s="18" t="s">
        <v>33</v>
      </c>
      <c r="B27" s="24">
        <f>HO!D28</f>
        <v>261094.1681</v>
      </c>
      <c r="C27" s="24">
        <f>HO!H28</f>
        <v>267839.0011</v>
      </c>
      <c r="D27" s="24">
        <f>HO!L28</f>
        <v>265202.3804</v>
      </c>
      <c r="E27" s="24">
        <f>HO!P28</f>
        <v>264961.0068</v>
      </c>
      <c r="F27" s="24">
        <f>HO!D47</f>
        <v>258575.9823</v>
      </c>
      <c r="G27" s="24">
        <f>HO!H47</f>
        <v>275082.7973</v>
      </c>
      <c r="H27" s="24" t="str">
        <f>HO!L47</f>
        <v>#DIV/0!</v>
      </c>
      <c r="I27" s="24" t="str">
        <f>HO!P47</f>
        <v>#DIV/0!</v>
      </c>
      <c r="J27" s="24" t="str">
        <f>HO!D66</f>
        <v>#DIV/0!</v>
      </c>
      <c r="K27" s="24" t="str">
        <f>HO!H66</f>
        <v>#DIV/0!</v>
      </c>
      <c r="L27" s="24" t="str">
        <f>HO!L66</f>
        <v>#DIV/0!</v>
      </c>
      <c r="M27" s="24" t="str">
        <f>HO!P66</f>
        <v>#DIV/0!</v>
      </c>
      <c r="N27" s="14" t="str">
        <f t="shared" si="7"/>
        <v>#DIV/0!</v>
      </c>
      <c r="O27" s="25" t="str">
        <f t="shared" si="8"/>
        <v>#DIV/0!</v>
      </c>
    </row>
    <row r="28">
      <c r="A28" s="35" t="s">
        <v>34</v>
      </c>
      <c r="B28" s="63">
        <f t="shared" ref="B28:M28" si="16">+SUM(B14:B27)</f>
        <v>916872.7581</v>
      </c>
      <c r="C28" s="63">
        <f t="shared" si="16"/>
        <v>1038283.581</v>
      </c>
      <c r="D28" s="63">
        <f t="shared" si="16"/>
        <v>1034822.63</v>
      </c>
      <c r="E28" s="63">
        <f t="shared" si="16"/>
        <v>1047678.86</v>
      </c>
      <c r="F28" s="63">
        <f t="shared" si="16"/>
        <v>1029991.442</v>
      </c>
      <c r="G28" s="63">
        <f t="shared" si="16"/>
        <v>1022950.117</v>
      </c>
      <c r="H28" s="63" t="str">
        <f t="shared" si="16"/>
        <v>#DIV/0!</v>
      </c>
      <c r="I28" s="63" t="str">
        <f t="shared" si="16"/>
        <v>#DIV/0!</v>
      </c>
      <c r="J28" s="63" t="str">
        <f t="shared" si="16"/>
        <v>#DIV/0!</v>
      </c>
      <c r="K28" s="63" t="str">
        <f t="shared" si="16"/>
        <v>#DIV/0!</v>
      </c>
      <c r="L28" s="63" t="str">
        <f t="shared" si="16"/>
        <v>#DIV/0!</v>
      </c>
      <c r="M28" s="63" t="str">
        <f t="shared" si="16"/>
        <v>#DIV/0!</v>
      </c>
      <c r="N28" s="36" t="str">
        <f t="shared" si="7"/>
        <v>#DIV/0!</v>
      </c>
      <c r="O28" s="37" t="str">
        <f t="shared" si="8"/>
        <v>#DIV/0!</v>
      </c>
    </row>
    <row r="29">
      <c r="A29" s="38" t="s">
        <v>35</v>
      </c>
      <c r="B29" s="39">
        <f t="shared" ref="B29:M29" si="17">B13-B28</f>
        <v>259079.6051</v>
      </c>
      <c r="C29" s="39">
        <f t="shared" si="17"/>
        <v>236615.2537</v>
      </c>
      <c r="D29" s="39">
        <f t="shared" si="17"/>
        <v>175540.1854</v>
      </c>
      <c r="E29" s="39">
        <f t="shared" si="17"/>
        <v>163613.1242</v>
      </c>
      <c r="F29" s="39">
        <f t="shared" si="17"/>
        <v>272393.2239</v>
      </c>
      <c r="G29" s="39">
        <f t="shared" si="17"/>
        <v>204835.0197</v>
      </c>
      <c r="H29" s="39" t="str">
        <f t="shared" si="17"/>
        <v>#DIV/0!</v>
      </c>
      <c r="I29" s="39" t="str">
        <f t="shared" si="17"/>
        <v>#DIV/0!</v>
      </c>
      <c r="J29" s="39" t="str">
        <f t="shared" si="17"/>
        <v>#DIV/0!</v>
      </c>
      <c r="K29" s="39" t="str">
        <f t="shared" si="17"/>
        <v>#DIV/0!</v>
      </c>
      <c r="L29" s="39" t="str">
        <f t="shared" si="17"/>
        <v>#DIV/0!</v>
      </c>
      <c r="M29" s="39" t="str">
        <f t="shared" si="17"/>
        <v>#DIV/0!</v>
      </c>
      <c r="N29" s="39" t="str">
        <f t="shared" si="7"/>
        <v>#DIV/0!</v>
      </c>
      <c r="O29" s="40" t="str">
        <f t="shared" si="8"/>
        <v>#DIV/0!</v>
      </c>
    </row>
    <row r="30">
      <c r="A30" s="41" t="s">
        <v>36</v>
      </c>
      <c r="B30" s="42">
        <f t="shared" ref="B30:M30" si="18">(B14/B13)</f>
        <v>0.2869958687</v>
      </c>
      <c r="C30" s="42">
        <f t="shared" si="18"/>
        <v>0.2898547633</v>
      </c>
      <c r="D30" s="42">
        <f t="shared" si="18"/>
        <v>0.3027391334</v>
      </c>
      <c r="E30" s="42">
        <f t="shared" si="18"/>
        <v>0.3079794177</v>
      </c>
      <c r="F30" s="43">
        <f t="shared" si="18"/>
        <v>0.2988554765</v>
      </c>
      <c r="G30" s="42">
        <f t="shared" si="18"/>
        <v>0.2928636772</v>
      </c>
      <c r="H30" s="42" t="str">
        <f t="shared" si="18"/>
        <v>#DIV/0!</v>
      </c>
      <c r="I30" s="42" t="str">
        <f t="shared" si="18"/>
        <v>#DIV/0!</v>
      </c>
      <c r="J30" s="42" t="str">
        <f t="shared" si="18"/>
        <v>#DIV/0!</v>
      </c>
      <c r="K30" s="42" t="str">
        <f t="shared" si="18"/>
        <v>#DIV/0!</v>
      </c>
      <c r="L30" s="42" t="str">
        <f t="shared" si="18"/>
        <v>#DIV/0!</v>
      </c>
      <c r="M30" s="42" t="str">
        <f t="shared" si="18"/>
        <v>#DIV/0!</v>
      </c>
      <c r="N30" s="44"/>
      <c r="O30" s="44"/>
    </row>
    <row r="32">
      <c r="B32" s="51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</row>
    <row r="33">
      <c r="A33" s="46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</row>
    <row r="34">
      <c r="A34" s="46"/>
      <c r="B34" s="47"/>
      <c r="C34" s="47"/>
      <c r="D34" s="47"/>
      <c r="E34" s="47"/>
    </row>
    <row r="35">
      <c r="A35" s="6"/>
      <c r="B35" s="47"/>
      <c r="C35" s="47"/>
      <c r="D35" s="47"/>
      <c r="E35" s="47"/>
    </row>
    <row r="36">
      <c r="A36" s="46"/>
      <c r="B36" s="47"/>
      <c r="C36" s="47"/>
      <c r="D36" s="47"/>
      <c r="E36" s="47"/>
    </row>
  </sheetData>
  <mergeCells count="1">
    <mergeCell ref="N1:O1"/>
  </mergeCells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</cols>
  <sheetData>
    <row r="1">
      <c r="A1" s="1" t="s">
        <v>39</v>
      </c>
      <c r="B1" s="3">
        <f>Summary!C1</f>
        <v>46113</v>
      </c>
      <c r="C1" s="3">
        <f>Summary!D1</f>
        <v>46143</v>
      </c>
      <c r="D1" s="3">
        <f>Summary!E1</f>
        <v>46174</v>
      </c>
      <c r="E1" s="3">
        <f>Summary!F1</f>
        <v>46204</v>
      </c>
      <c r="F1" s="3">
        <f>Summary!G1</f>
        <v>46235</v>
      </c>
      <c r="G1" s="3">
        <f>Summary!H1</f>
        <v>46266</v>
      </c>
      <c r="H1" s="3">
        <f>Summary!I1</f>
        <v>46296</v>
      </c>
      <c r="I1" s="3">
        <f>Summary!J1</f>
        <v>46327</v>
      </c>
      <c r="J1" s="3">
        <f>Summary!K1</f>
        <v>46357</v>
      </c>
      <c r="K1" s="3">
        <f>Summary!L1</f>
        <v>46388</v>
      </c>
      <c r="L1" s="3">
        <f>Summary!M1</f>
        <v>46419</v>
      </c>
      <c r="M1" s="3">
        <f>Summary!N1</f>
        <v>46447</v>
      </c>
      <c r="N1" s="57" t="s">
        <v>5</v>
      </c>
      <c r="O1" s="5"/>
    </row>
    <row r="2">
      <c r="A2" s="7" t="s">
        <v>6</v>
      </c>
      <c r="B2" s="8"/>
      <c r="C2" s="8"/>
      <c r="D2" s="8"/>
      <c r="E2" s="8"/>
      <c r="F2" s="9"/>
      <c r="G2" s="8"/>
      <c r="H2" s="8"/>
      <c r="I2" s="8"/>
      <c r="J2" s="8"/>
      <c r="K2" s="8"/>
      <c r="L2" s="8"/>
      <c r="M2" s="8"/>
      <c r="N2" s="59"/>
      <c r="O2" s="59"/>
    </row>
    <row r="3">
      <c r="A3" s="10" t="s">
        <v>7</v>
      </c>
      <c r="B3" s="12">
        <v>29064.0</v>
      </c>
      <c r="C3" s="13">
        <f t="shared" ref="C3:M3" si="1">B7</f>
        <v>36474.1</v>
      </c>
      <c r="D3" s="11">
        <f t="shared" si="1"/>
        <v>30896.92</v>
      </c>
      <c r="E3" s="11">
        <f t="shared" si="1"/>
        <v>33094</v>
      </c>
      <c r="F3" s="11">
        <f t="shared" si="1"/>
        <v>22177</v>
      </c>
      <c r="G3" s="11">
        <f t="shared" si="1"/>
        <v>29999.95</v>
      </c>
      <c r="H3" s="11">
        <f t="shared" si="1"/>
        <v>27012.18</v>
      </c>
      <c r="I3" s="11" t="str">
        <f t="shared" si="1"/>
        <v/>
      </c>
      <c r="J3" s="11" t="str">
        <f t="shared" si="1"/>
        <v/>
      </c>
      <c r="K3" s="11" t="str">
        <f t="shared" si="1"/>
        <v/>
      </c>
      <c r="L3" s="11" t="str">
        <f t="shared" si="1"/>
        <v/>
      </c>
      <c r="M3" s="11" t="str">
        <f t="shared" si="1"/>
        <v/>
      </c>
      <c r="N3" s="14">
        <f>+SUM(J3:L3)</f>
        <v>0</v>
      </c>
      <c r="O3" s="60"/>
    </row>
    <row r="4">
      <c r="A4" s="10" t="s">
        <v>9</v>
      </c>
      <c r="B4" s="15">
        <v>496389.17</v>
      </c>
      <c r="C4" s="15">
        <v>515675.19</v>
      </c>
      <c r="D4" s="17">
        <v>532402.0</v>
      </c>
      <c r="E4" s="17">
        <v>521135.0</v>
      </c>
      <c r="F4" s="17">
        <v>590814.52</v>
      </c>
      <c r="G4" s="17">
        <v>506223.45</v>
      </c>
      <c r="H4" s="17"/>
      <c r="I4" s="17"/>
      <c r="J4" s="17"/>
      <c r="K4" s="17"/>
      <c r="L4" s="17"/>
      <c r="M4" s="17"/>
      <c r="N4" s="14">
        <f>sum(B4:M4)</f>
        <v>3162639.33</v>
      </c>
      <c r="O4" s="60"/>
    </row>
    <row r="5">
      <c r="A5" s="10" t="s">
        <v>10</v>
      </c>
      <c r="B5" s="15">
        <v>1314.93</v>
      </c>
      <c r="C5" s="15">
        <v>920.64</v>
      </c>
      <c r="D5" s="17">
        <v>515.0</v>
      </c>
      <c r="E5" s="17">
        <v>1599.0</v>
      </c>
      <c r="F5" s="17">
        <v>1758.0</v>
      </c>
      <c r="G5" s="17">
        <v>4868.94</v>
      </c>
      <c r="H5" s="17"/>
      <c r="I5" s="17"/>
      <c r="J5" s="17"/>
      <c r="K5" s="17"/>
      <c r="L5" s="17"/>
      <c r="M5" s="17"/>
      <c r="N5" s="14">
        <f t="shared" ref="N5:N6" si="2">+SUM(J5:L5)</f>
        <v>0</v>
      </c>
      <c r="O5" s="60"/>
    </row>
    <row r="6">
      <c r="A6" s="10" t="s">
        <v>11</v>
      </c>
      <c r="B6" s="15">
        <v>17684.9</v>
      </c>
      <c r="C6" s="15">
        <v>20557.78</v>
      </c>
      <c r="D6" s="17">
        <v>16809.0</v>
      </c>
      <c r="E6" s="17">
        <v>16407.0</v>
      </c>
      <c r="F6" s="17">
        <v>14324.0</v>
      </c>
      <c r="G6" s="17">
        <v>15023.07</v>
      </c>
      <c r="H6" s="17"/>
      <c r="I6" s="17"/>
      <c r="J6" s="17"/>
      <c r="K6" s="17"/>
      <c r="L6" s="17"/>
      <c r="M6" s="17"/>
      <c r="N6" s="14">
        <f t="shared" si="2"/>
        <v>0</v>
      </c>
      <c r="O6" s="60"/>
    </row>
    <row r="7">
      <c r="A7" s="10" t="s">
        <v>12</v>
      </c>
      <c r="B7" s="15">
        <v>36474.1</v>
      </c>
      <c r="C7" s="15">
        <v>30896.92</v>
      </c>
      <c r="D7" s="17">
        <v>33094.0</v>
      </c>
      <c r="E7" s="17">
        <v>22177.0</v>
      </c>
      <c r="F7" s="17">
        <v>29999.95</v>
      </c>
      <c r="G7" s="17">
        <v>27012.18</v>
      </c>
      <c r="H7" s="17"/>
      <c r="I7" s="17"/>
      <c r="J7" s="17"/>
      <c r="K7" s="17"/>
      <c r="L7" s="17"/>
      <c r="M7" s="17"/>
      <c r="N7" s="14">
        <f>sum(B7:M7)</f>
        <v>179654.15</v>
      </c>
      <c r="O7" s="60"/>
    </row>
    <row r="8">
      <c r="A8" s="8"/>
      <c r="B8" s="61"/>
      <c r="C8" s="61"/>
      <c r="D8" s="8"/>
      <c r="E8" s="8"/>
      <c r="F8" s="9"/>
      <c r="G8" s="8"/>
      <c r="H8" s="8"/>
      <c r="I8" s="8"/>
      <c r="J8" s="8"/>
      <c r="K8" s="8"/>
      <c r="L8" s="8"/>
      <c r="M8" s="8"/>
      <c r="N8" s="59"/>
      <c r="O8" s="59"/>
    </row>
    <row r="9">
      <c r="A9" s="18" t="s">
        <v>13</v>
      </c>
      <c r="B9" s="13">
        <f>2000756.54*1.05+44980.36*1.05</f>
        <v>2148023.745</v>
      </c>
      <c r="C9" s="13">
        <f>2156375.71*1.05+50459.35*1.05</f>
        <v>2317176.813</v>
      </c>
      <c r="D9" s="11">
        <f>2052903.86*1.05+44650.95*1.05</f>
        <v>2202432.551</v>
      </c>
      <c r="E9" s="11">
        <f>2122630.2*1.05+46700.77*1.05</f>
        <v>2277797.519</v>
      </c>
      <c r="F9" s="11">
        <f>2374200.41*1.05</f>
        <v>2492910.431</v>
      </c>
      <c r="G9" s="11">
        <f>2023925.25*1.05+50866.96*1.05</f>
        <v>2178531.821</v>
      </c>
      <c r="H9" s="11"/>
      <c r="I9" s="11"/>
      <c r="J9" s="11"/>
      <c r="K9" s="11"/>
      <c r="L9" s="11"/>
      <c r="M9" s="11"/>
      <c r="N9" s="14">
        <f t="shared" ref="N9:N12" si="3">+SUM(B9:M9)</f>
        <v>13616872.88</v>
      </c>
      <c r="O9" s="60"/>
    </row>
    <row r="10">
      <c r="A10" s="18" t="s">
        <v>14</v>
      </c>
      <c r="B10" s="15">
        <v>0.0</v>
      </c>
      <c r="C10" s="15">
        <v>0.0</v>
      </c>
      <c r="D10" s="15">
        <v>0.0</v>
      </c>
      <c r="E10" s="15"/>
      <c r="F10" s="15"/>
      <c r="G10" s="15"/>
      <c r="H10" s="17"/>
      <c r="I10" s="17"/>
      <c r="J10" s="17"/>
      <c r="K10" s="17"/>
      <c r="L10" s="17"/>
      <c r="M10" s="17"/>
      <c r="N10" s="14">
        <f t="shared" si="3"/>
        <v>0</v>
      </c>
      <c r="O10" s="60"/>
    </row>
    <row r="11">
      <c r="A11" s="18" t="s">
        <v>15</v>
      </c>
      <c r="B11" s="13">
        <f t="shared" ref="B11:M11" si="4">(B9+B10)/1.05*0.05</f>
        <v>102286.845</v>
      </c>
      <c r="C11" s="13">
        <f t="shared" si="4"/>
        <v>110341.753</v>
      </c>
      <c r="D11" s="13">
        <f t="shared" si="4"/>
        <v>104877.7405</v>
      </c>
      <c r="E11" s="13">
        <f t="shared" si="4"/>
        <v>108466.5485</v>
      </c>
      <c r="F11" s="13">
        <f t="shared" si="4"/>
        <v>118710.0205</v>
      </c>
      <c r="G11" s="13">
        <f t="shared" si="4"/>
        <v>103739.6105</v>
      </c>
      <c r="H11" s="13">
        <f t="shared" si="4"/>
        <v>0</v>
      </c>
      <c r="I11" s="13">
        <f t="shared" si="4"/>
        <v>0</v>
      </c>
      <c r="J11" s="13">
        <f t="shared" si="4"/>
        <v>0</v>
      </c>
      <c r="K11" s="13">
        <f t="shared" si="4"/>
        <v>0</v>
      </c>
      <c r="L11" s="13">
        <f t="shared" si="4"/>
        <v>0</v>
      </c>
      <c r="M11" s="13">
        <f t="shared" si="4"/>
        <v>0</v>
      </c>
      <c r="N11" s="14">
        <f t="shared" si="3"/>
        <v>648422.518</v>
      </c>
      <c r="O11" s="60"/>
    </row>
    <row r="12">
      <c r="A12" s="18" t="s">
        <v>16</v>
      </c>
      <c r="B12" s="15">
        <f>103460.6*1.18+74495.57*1.18+19883.29*1.18+590.77*1.18</f>
        <v>234147.6714</v>
      </c>
      <c r="C12" s="13">
        <f>116493.89*1.18+76866.38*1.18+58.02*1.18+523.57*1.18+58.23*1.18+25472.95*1.18</f>
        <v>258978.1872</v>
      </c>
      <c r="D12" s="11">
        <f>103322.77*1.18+105970.99*1.18+714.89*1.18</f>
        <v>247810.207</v>
      </c>
      <c r="E12" s="11">
        <f>107902.52*1.18+629.43*1.18+117156.63*1.18</f>
        <v>266312.5244</v>
      </c>
      <c r="F12" s="11">
        <f>121996.88*1.18+124835.33*1.18+618.89*1.18</f>
        <v>291992.298</v>
      </c>
      <c r="G12" s="11">
        <f>117920.19*1.18+106157.46*1.18+447.88*1.18+54.5*1.18</f>
        <v>265004.4354</v>
      </c>
      <c r="H12" s="11"/>
      <c r="I12" s="11"/>
      <c r="J12" s="11"/>
      <c r="K12" s="11"/>
      <c r="L12" s="11"/>
      <c r="M12" s="11"/>
      <c r="N12" s="14">
        <f t="shared" si="3"/>
        <v>1564245.323</v>
      </c>
      <c r="O12" s="60"/>
    </row>
    <row r="13">
      <c r="A13" s="19" t="s">
        <v>17</v>
      </c>
      <c r="B13" s="62">
        <f t="shared" ref="B13:M13" si="5">B9+B10-B11-B12</f>
        <v>1811589.229</v>
      </c>
      <c r="C13" s="62">
        <f t="shared" si="5"/>
        <v>1947856.873</v>
      </c>
      <c r="D13" s="21">
        <f t="shared" si="5"/>
        <v>1849744.603</v>
      </c>
      <c r="E13" s="21">
        <f t="shared" si="5"/>
        <v>1903018.446</v>
      </c>
      <c r="F13" s="22">
        <f t="shared" si="5"/>
        <v>2082208.112</v>
      </c>
      <c r="G13" s="22">
        <f t="shared" si="5"/>
        <v>1809787.775</v>
      </c>
      <c r="H13" s="21">
        <f t="shared" si="5"/>
        <v>0</v>
      </c>
      <c r="I13" s="21">
        <f t="shared" si="5"/>
        <v>0</v>
      </c>
      <c r="J13" s="21">
        <f t="shared" si="5"/>
        <v>0</v>
      </c>
      <c r="K13" s="21">
        <f t="shared" si="5"/>
        <v>0</v>
      </c>
      <c r="L13" s="21">
        <f t="shared" si="5"/>
        <v>0</v>
      </c>
      <c r="M13" s="21">
        <f t="shared" si="5"/>
        <v>0</v>
      </c>
      <c r="N13" s="21">
        <f t="shared" ref="N13:N29" si="7">sum(B13:M13)</f>
        <v>11404205.04</v>
      </c>
      <c r="O13" s="64">
        <f t="shared" ref="O13:O21" si="8">N13/$N$7</f>
        <v>63.47866184</v>
      </c>
    </row>
    <row r="14">
      <c r="A14" s="18" t="s">
        <v>20</v>
      </c>
      <c r="B14" s="56">
        <f t="shared" ref="B14:M14" si="6">+B3+B4-B5-B7</f>
        <v>487664.14</v>
      </c>
      <c r="C14" s="56">
        <f t="shared" si="6"/>
        <v>520331.73</v>
      </c>
      <c r="D14" s="56">
        <f t="shared" si="6"/>
        <v>529689.92</v>
      </c>
      <c r="E14" s="56">
        <f t="shared" si="6"/>
        <v>530453</v>
      </c>
      <c r="F14" s="56">
        <f t="shared" si="6"/>
        <v>581233.57</v>
      </c>
      <c r="G14" s="56">
        <f t="shared" si="6"/>
        <v>504342.28</v>
      </c>
      <c r="H14" s="56">
        <f t="shared" si="6"/>
        <v>27012.18</v>
      </c>
      <c r="I14" s="56">
        <f t="shared" si="6"/>
        <v>0</v>
      </c>
      <c r="J14" s="56">
        <f t="shared" si="6"/>
        <v>0</v>
      </c>
      <c r="K14" s="56">
        <f t="shared" si="6"/>
        <v>0</v>
      </c>
      <c r="L14" s="56">
        <f t="shared" si="6"/>
        <v>0</v>
      </c>
      <c r="M14" s="24">
        <f t="shared" si="6"/>
        <v>0</v>
      </c>
      <c r="N14" s="14">
        <f t="shared" si="7"/>
        <v>3180726.82</v>
      </c>
      <c r="O14" s="25">
        <f t="shared" si="8"/>
        <v>17.70472221</v>
      </c>
    </row>
    <row r="15">
      <c r="A15" s="18" t="s">
        <v>21</v>
      </c>
      <c r="B15" s="56">
        <f>35215.8+13629+0.2</f>
        <v>48845</v>
      </c>
      <c r="C15" s="56">
        <f>36660.91+15399.63</f>
        <v>52060.54</v>
      </c>
      <c r="D15" s="56">
        <f>33939.05+16284+0.95</f>
        <v>50224</v>
      </c>
      <c r="E15" s="56">
        <f>32522+14337</f>
        <v>46859</v>
      </c>
      <c r="F15" s="56">
        <f>33981+15222</f>
        <v>49203</v>
      </c>
      <c r="G15" s="12">
        <f>31427.64+14337</f>
        <v>45764.64</v>
      </c>
      <c r="H15" s="12"/>
      <c r="I15" s="56"/>
      <c r="J15" s="56"/>
      <c r="K15" s="56"/>
      <c r="L15" s="56"/>
      <c r="M15" s="11"/>
      <c r="N15" s="14">
        <f t="shared" si="7"/>
        <v>292956.18</v>
      </c>
      <c r="O15" s="25">
        <f t="shared" si="8"/>
        <v>1.63066748</v>
      </c>
    </row>
    <row r="16">
      <c r="A16" s="18" t="s">
        <v>22</v>
      </c>
      <c r="B16" s="56">
        <f t="shared" ref="B16:G16" si="9">352.82</f>
        <v>352.82</v>
      </c>
      <c r="C16" s="56">
        <f t="shared" si="9"/>
        <v>352.82</v>
      </c>
      <c r="D16" s="56">
        <f t="shared" si="9"/>
        <v>352.82</v>
      </c>
      <c r="E16" s="56">
        <f t="shared" si="9"/>
        <v>352.82</v>
      </c>
      <c r="F16" s="56">
        <f t="shared" si="9"/>
        <v>352.82</v>
      </c>
      <c r="G16" s="56">
        <f t="shared" si="9"/>
        <v>352.82</v>
      </c>
      <c r="H16" s="56"/>
      <c r="I16" s="56"/>
      <c r="J16" s="56"/>
      <c r="K16" s="56"/>
      <c r="L16" s="56"/>
      <c r="M16" s="56"/>
      <c r="N16" s="14">
        <f t="shared" si="7"/>
        <v>2116.92</v>
      </c>
      <c r="O16" s="25">
        <f t="shared" si="8"/>
        <v>0.01178330698</v>
      </c>
    </row>
    <row r="17">
      <c r="A17" s="18" t="s">
        <v>23</v>
      </c>
      <c r="B17" s="56">
        <f>4416+26496</f>
        <v>30912</v>
      </c>
      <c r="C17" s="12">
        <f>38424+32020+38424</f>
        <v>108868</v>
      </c>
      <c r="D17" s="12">
        <v>97664.0</v>
      </c>
      <c r="E17" s="12">
        <v>110934.0</v>
      </c>
      <c r="F17" s="12">
        <f>97912</f>
        <v>97912</v>
      </c>
      <c r="G17" s="12">
        <f>78652</f>
        <v>78652</v>
      </c>
      <c r="H17" s="12"/>
      <c r="I17" s="12"/>
      <c r="J17" s="12"/>
      <c r="K17" s="12"/>
      <c r="L17" s="56"/>
      <c r="M17" s="11"/>
      <c r="N17" s="14">
        <f t="shared" si="7"/>
        <v>524942</v>
      </c>
      <c r="O17" s="25">
        <f t="shared" si="8"/>
        <v>2.921958663</v>
      </c>
    </row>
    <row r="18">
      <c r="A18" s="18" t="s">
        <v>24</v>
      </c>
      <c r="B18" s="56">
        <f>310263.47</f>
        <v>310263.47</v>
      </c>
      <c r="C18" s="56">
        <f>333437</f>
        <v>333437</v>
      </c>
      <c r="D18" s="12">
        <v>316313.81</v>
      </c>
      <c r="E18" s="12">
        <v>326015.0</v>
      </c>
      <c r="F18" s="12">
        <f>356294</f>
        <v>356294</v>
      </c>
      <c r="G18" s="12">
        <f>308801</f>
        <v>308801</v>
      </c>
      <c r="H18" s="56"/>
      <c r="I18" s="12"/>
      <c r="J18" s="12"/>
      <c r="K18" s="12"/>
      <c r="L18" s="56"/>
      <c r="M18" s="17"/>
      <c r="N18" s="14">
        <f t="shared" si="7"/>
        <v>1951124.28</v>
      </c>
      <c r="O18" s="25">
        <f t="shared" si="8"/>
        <v>10.86044647</v>
      </c>
    </row>
    <row r="19">
      <c r="A19" s="18" t="s">
        <v>25</v>
      </c>
      <c r="B19" s="12">
        <v>3761.25</v>
      </c>
      <c r="C19" s="12">
        <v>3761.25</v>
      </c>
      <c r="D19" s="12">
        <v>3761.25</v>
      </c>
      <c r="E19" s="12">
        <v>3761.25</v>
      </c>
      <c r="F19" s="12">
        <v>3761.25</v>
      </c>
      <c r="G19" s="12">
        <v>3761.25</v>
      </c>
      <c r="H19" s="56"/>
      <c r="I19" s="56"/>
      <c r="J19" s="56"/>
      <c r="K19" s="56"/>
      <c r="L19" s="56"/>
      <c r="M19" s="56"/>
      <c r="N19" s="14">
        <f t="shared" si="7"/>
        <v>22567.5</v>
      </c>
      <c r="O19" s="25">
        <f t="shared" si="8"/>
        <v>0.1256163579</v>
      </c>
    </row>
    <row r="20">
      <c r="A20" s="20" t="s">
        <v>42</v>
      </c>
      <c r="B20" s="56">
        <f>4500+275653</f>
        <v>280153</v>
      </c>
      <c r="C20" s="56">
        <f>4500+286103</f>
        <v>290603</v>
      </c>
      <c r="D20" s="56">
        <f>4500+280040.63</f>
        <v>284540.63</v>
      </c>
      <c r="E20" s="12">
        <f>4500+250082</f>
        <v>254582</v>
      </c>
      <c r="F20" s="56">
        <f>262717+4500</f>
        <v>267217</v>
      </c>
      <c r="G20" s="56">
        <f>4500+262717</f>
        <v>267217</v>
      </c>
      <c r="H20" s="56"/>
      <c r="I20" s="56"/>
      <c r="J20" s="56"/>
      <c r="K20" s="56"/>
      <c r="L20" s="56"/>
      <c r="M20" s="56"/>
      <c r="N20" s="14">
        <f t="shared" si="7"/>
        <v>1644312.63</v>
      </c>
      <c r="O20" s="25">
        <f t="shared" si="8"/>
        <v>9.152655978</v>
      </c>
    </row>
    <row r="21">
      <c r="A21" s="10" t="s">
        <v>27</v>
      </c>
      <c r="B21" s="56">
        <f>2440+2850+2478</f>
        <v>7768</v>
      </c>
      <c r="C21" s="56">
        <f>2440+2850+2478+9185</f>
        <v>16953</v>
      </c>
      <c r="D21" s="56">
        <f>2726+1850+2400</f>
        <v>6976</v>
      </c>
      <c r="E21" s="12">
        <f>2726+3250</f>
        <v>5976</v>
      </c>
      <c r="F21" s="56">
        <f t="shared" ref="F21:G21" si="10">3200+3300+2726</f>
        <v>9226</v>
      </c>
      <c r="G21" s="56">
        <f t="shared" si="10"/>
        <v>9226</v>
      </c>
      <c r="H21" s="56"/>
      <c r="I21" s="56"/>
      <c r="J21" s="56"/>
      <c r="K21" s="56"/>
      <c r="L21" s="56"/>
      <c r="M21" s="11"/>
      <c r="N21" s="14">
        <f t="shared" si="7"/>
        <v>56125</v>
      </c>
      <c r="O21" s="25">
        <f t="shared" si="8"/>
        <v>0.3124058086</v>
      </c>
    </row>
    <row r="22">
      <c r="A22" s="30" t="s">
        <v>28</v>
      </c>
      <c r="B22" s="56">
        <f t="shared" ref="B22:H22" si="11">2516.16/3+9813/12+7080/12</f>
        <v>2246.47</v>
      </c>
      <c r="C22" s="56">
        <f t="shared" si="11"/>
        <v>2246.47</v>
      </c>
      <c r="D22" s="56">
        <f t="shared" si="11"/>
        <v>2246.47</v>
      </c>
      <c r="E22" s="56">
        <f t="shared" si="11"/>
        <v>2246.47</v>
      </c>
      <c r="F22" s="56">
        <f t="shared" si="11"/>
        <v>2246.47</v>
      </c>
      <c r="G22" s="56">
        <f t="shared" si="11"/>
        <v>2246.47</v>
      </c>
      <c r="H22" s="56">
        <f t="shared" si="11"/>
        <v>2246.47</v>
      </c>
      <c r="I22" s="56">
        <f t="shared" ref="I22:M22" si="12">9813/12</f>
        <v>817.75</v>
      </c>
      <c r="J22" s="56">
        <f t="shared" si="12"/>
        <v>817.75</v>
      </c>
      <c r="K22" s="56">
        <f t="shared" si="12"/>
        <v>817.75</v>
      </c>
      <c r="L22" s="56">
        <f t="shared" si="12"/>
        <v>817.75</v>
      </c>
      <c r="M22" s="56">
        <f t="shared" si="12"/>
        <v>817.75</v>
      </c>
      <c r="N22" s="14">
        <f t="shared" si="7"/>
        <v>19814.04</v>
      </c>
      <c r="O22" s="25"/>
    </row>
    <row r="23">
      <c r="A23" s="20" t="s">
        <v>29</v>
      </c>
      <c r="B23" s="56">
        <f>590</f>
        <v>590</v>
      </c>
      <c r="C23" s="17">
        <f t="shared" ref="C23:M23" si="13">1698</f>
        <v>1698</v>
      </c>
      <c r="D23" s="17">
        <f t="shared" si="13"/>
        <v>1698</v>
      </c>
      <c r="E23" s="17">
        <f t="shared" si="13"/>
        <v>1698</v>
      </c>
      <c r="F23" s="17">
        <f t="shared" si="13"/>
        <v>1698</v>
      </c>
      <c r="G23" s="17">
        <f t="shared" si="13"/>
        <v>1698</v>
      </c>
      <c r="H23" s="17">
        <f t="shared" si="13"/>
        <v>1698</v>
      </c>
      <c r="I23" s="17">
        <f t="shared" si="13"/>
        <v>1698</v>
      </c>
      <c r="J23" s="17">
        <f t="shared" si="13"/>
        <v>1698</v>
      </c>
      <c r="K23" s="17">
        <f t="shared" si="13"/>
        <v>1698</v>
      </c>
      <c r="L23" s="17">
        <f t="shared" si="13"/>
        <v>1698</v>
      </c>
      <c r="M23" s="17">
        <f t="shared" si="13"/>
        <v>1698</v>
      </c>
      <c r="N23" s="60">
        <f t="shared" si="7"/>
        <v>19268</v>
      </c>
      <c r="O23" s="25">
        <f t="shared" ref="O23:O29" si="14">N23/$N$7</f>
        <v>0.1072505144</v>
      </c>
    </row>
    <row r="24">
      <c r="A24" s="18" t="s">
        <v>30</v>
      </c>
      <c r="B24" s="12">
        <v>580.0</v>
      </c>
      <c r="C24" s="12">
        <v>20326.0</v>
      </c>
      <c r="D24" s="12">
        <v>6665.0</v>
      </c>
      <c r="E24" s="12">
        <f>'Misc Exp'!D133</f>
        <v>2144</v>
      </c>
      <c r="F24" s="12">
        <f>'Misc Exp'!D90</f>
        <v>16210</v>
      </c>
      <c r="G24" s="12">
        <f>'Misc Exp'!D43</f>
        <v>5720</v>
      </c>
      <c r="H24" s="12"/>
      <c r="I24" s="12"/>
      <c r="J24" s="12"/>
      <c r="K24" s="12"/>
      <c r="L24" s="12"/>
      <c r="M24" s="11"/>
      <c r="N24" s="14">
        <f t="shared" si="7"/>
        <v>51645</v>
      </c>
      <c r="O24" s="25">
        <f t="shared" si="14"/>
        <v>0.2874690064</v>
      </c>
    </row>
    <row r="25">
      <c r="A25" s="18" t="s">
        <v>31</v>
      </c>
      <c r="B25" s="12">
        <v>20073.29</v>
      </c>
      <c r="C25" s="12">
        <v>23647.52</v>
      </c>
      <c r="D25" s="12">
        <v>18161.5</v>
      </c>
      <c r="E25" s="56">
        <f>'Misc Exp'!D126</f>
        <v>33841.28333</v>
      </c>
      <c r="F25" s="12">
        <f>'Misc Exp'!D84</f>
        <v>15891.72</v>
      </c>
      <c r="G25" s="12">
        <f>'Misc Exp'!D38</f>
        <v>23424.94</v>
      </c>
      <c r="H25" s="56"/>
      <c r="I25" s="12"/>
      <c r="J25" s="12"/>
      <c r="K25" s="12"/>
      <c r="L25" s="12"/>
      <c r="M25" s="17"/>
      <c r="N25" s="14">
        <f t="shared" si="7"/>
        <v>135040.2533</v>
      </c>
      <c r="O25" s="25">
        <f t="shared" si="14"/>
        <v>0.7516678759</v>
      </c>
    </row>
    <row r="26">
      <c r="A26" s="18" t="s">
        <v>32</v>
      </c>
      <c r="B26" s="56">
        <f>13570</f>
        <v>13570</v>
      </c>
      <c r="C26" s="12">
        <v>13570.0</v>
      </c>
      <c r="D26" s="12">
        <v>13570.0</v>
      </c>
      <c r="E26" s="12">
        <v>13570.0</v>
      </c>
      <c r="F26" s="12">
        <v>13570.0</v>
      </c>
      <c r="G26" s="12">
        <v>13570.0</v>
      </c>
      <c r="H26" s="56"/>
      <c r="I26" s="56"/>
      <c r="J26" s="56"/>
      <c r="K26" s="12"/>
      <c r="L26" s="12"/>
      <c r="M26" s="17"/>
      <c r="N26" s="14">
        <f t="shared" si="7"/>
        <v>81420</v>
      </c>
      <c r="O26" s="25">
        <f t="shared" si="14"/>
        <v>0.4532041147</v>
      </c>
    </row>
    <row r="27">
      <c r="A27" s="18" t="s">
        <v>33</v>
      </c>
      <c r="B27" s="56">
        <f>HO!D30</f>
        <v>402223.251</v>
      </c>
      <c r="C27" s="56">
        <f>HO!H30</f>
        <v>409218.3826</v>
      </c>
      <c r="D27" s="56">
        <f>HO!L30</f>
        <v>405297.2097</v>
      </c>
      <c r="E27" s="56">
        <f>HO!P30</f>
        <v>416270.9651</v>
      </c>
      <c r="F27" s="56">
        <f>HO!D49</f>
        <v>413402.4469</v>
      </c>
      <c r="G27" s="56">
        <f>HO!H49</f>
        <v>405479.3209</v>
      </c>
      <c r="H27" s="56" t="str">
        <f>HO!L49</f>
        <v>#DIV/0!</v>
      </c>
      <c r="I27" s="56" t="str">
        <f>HO!P49</f>
        <v>#DIV/0!</v>
      </c>
      <c r="J27" s="56" t="str">
        <f>HO!D68</f>
        <v>#DIV/0!</v>
      </c>
      <c r="K27" s="56" t="str">
        <f>HO!H68</f>
        <v>#DIV/0!</v>
      </c>
      <c r="L27" s="56" t="str">
        <f>HO!L68</f>
        <v>#DIV/0!</v>
      </c>
      <c r="M27" s="56" t="str">
        <f>HO!P68</f>
        <v>#DIV/0!</v>
      </c>
      <c r="N27" s="14" t="str">
        <f t="shared" si="7"/>
        <v>#DIV/0!</v>
      </c>
      <c r="O27" s="25" t="str">
        <f t="shared" si="14"/>
        <v>#DIV/0!</v>
      </c>
    </row>
    <row r="28">
      <c r="A28" s="35" t="s">
        <v>34</v>
      </c>
      <c r="B28" s="36">
        <f t="shared" ref="B28:M28" si="15">+SUM(B14:B27)</f>
        <v>1609002.691</v>
      </c>
      <c r="C28" s="36">
        <f t="shared" si="15"/>
        <v>1797073.713</v>
      </c>
      <c r="D28" s="36">
        <f t="shared" si="15"/>
        <v>1737160.61</v>
      </c>
      <c r="E28" s="36">
        <f t="shared" si="15"/>
        <v>1748703.788</v>
      </c>
      <c r="F28" s="48">
        <f t="shared" si="15"/>
        <v>1828218.277</v>
      </c>
      <c r="G28" s="36">
        <f t="shared" si="15"/>
        <v>1670255.721</v>
      </c>
      <c r="H28" s="36" t="str">
        <f t="shared" si="15"/>
        <v>#DIV/0!</v>
      </c>
      <c r="I28" s="36" t="str">
        <f t="shared" si="15"/>
        <v>#DIV/0!</v>
      </c>
      <c r="J28" s="36" t="str">
        <f t="shared" si="15"/>
        <v>#DIV/0!</v>
      </c>
      <c r="K28" s="36" t="str">
        <f t="shared" si="15"/>
        <v>#DIV/0!</v>
      </c>
      <c r="L28" s="36" t="str">
        <f t="shared" si="15"/>
        <v>#DIV/0!</v>
      </c>
      <c r="M28" s="36" t="str">
        <f t="shared" si="15"/>
        <v>#DIV/0!</v>
      </c>
      <c r="N28" s="36" t="str">
        <f t="shared" si="7"/>
        <v>#DIV/0!</v>
      </c>
      <c r="O28" s="37" t="str">
        <f t="shared" si="14"/>
        <v>#DIV/0!</v>
      </c>
    </row>
    <row r="29">
      <c r="A29" s="38" t="s">
        <v>35</v>
      </c>
      <c r="B29" s="39">
        <f t="shared" ref="B29:M29" si="16">B13-B28</f>
        <v>202586.5376</v>
      </c>
      <c r="C29" s="39">
        <f t="shared" si="16"/>
        <v>150783.1602</v>
      </c>
      <c r="D29" s="39">
        <f t="shared" si="16"/>
        <v>112583.9933</v>
      </c>
      <c r="E29" s="39">
        <f t="shared" si="16"/>
        <v>154314.6572</v>
      </c>
      <c r="F29" s="39">
        <f t="shared" si="16"/>
        <v>253989.8351</v>
      </c>
      <c r="G29" s="39">
        <f t="shared" si="16"/>
        <v>139532.0537</v>
      </c>
      <c r="H29" s="39" t="str">
        <f t="shared" si="16"/>
        <v>#DIV/0!</v>
      </c>
      <c r="I29" s="39" t="str">
        <f t="shared" si="16"/>
        <v>#DIV/0!</v>
      </c>
      <c r="J29" s="39" t="str">
        <f t="shared" si="16"/>
        <v>#DIV/0!</v>
      </c>
      <c r="K29" s="39" t="str">
        <f t="shared" si="16"/>
        <v>#DIV/0!</v>
      </c>
      <c r="L29" s="39" t="str">
        <f t="shared" si="16"/>
        <v>#DIV/0!</v>
      </c>
      <c r="M29" s="39" t="str">
        <f t="shared" si="16"/>
        <v>#DIV/0!</v>
      </c>
      <c r="N29" s="39" t="str">
        <f t="shared" si="7"/>
        <v>#DIV/0!</v>
      </c>
      <c r="O29" s="40" t="str">
        <f t="shared" si="14"/>
        <v>#DIV/0!</v>
      </c>
    </row>
    <row r="30">
      <c r="A30" s="41" t="s">
        <v>36</v>
      </c>
      <c r="B30" s="42">
        <f t="shared" ref="B30:M30" si="17">(B14/B13)</f>
        <v>0.2691913444</v>
      </c>
      <c r="C30" s="42">
        <f t="shared" si="17"/>
        <v>0.2671303715</v>
      </c>
      <c r="D30" s="42">
        <f t="shared" si="17"/>
        <v>0.2863584082</v>
      </c>
      <c r="E30" s="42">
        <f t="shared" si="17"/>
        <v>0.2787429629</v>
      </c>
      <c r="F30" s="43">
        <f t="shared" si="17"/>
        <v>0.2791428804</v>
      </c>
      <c r="G30" s="42">
        <f t="shared" si="17"/>
        <v>0.2786748187</v>
      </c>
      <c r="H30" s="42" t="str">
        <f t="shared" si="17"/>
        <v>#DIV/0!</v>
      </c>
      <c r="I30" s="42" t="str">
        <f t="shared" si="17"/>
        <v>#DIV/0!</v>
      </c>
      <c r="J30" s="42" t="str">
        <f t="shared" si="17"/>
        <v>#DIV/0!</v>
      </c>
      <c r="K30" s="42" t="str">
        <f t="shared" si="17"/>
        <v>#DIV/0!</v>
      </c>
      <c r="L30" s="42" t="str">
        <f t="shared" si="17"/>
        <v>#DIV/0!</v>
      </c>
      <c r="M30" s="42" t="str">
        <f t="shared" si="17"/>
        <v>#DIV/0!</v>
      </c>
      <c r="N30" s="67"/>
      <c r="O30" s="67"/>
    </row>
    <row r="32"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</row>
    <row r="33">
      <c r="A33" s="46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</row>
    <row r="34">
      <c r="A34" s="46"/>
      <c r="B34" s="47"/>
      <c r="C34" s="47"/>
      <c r="D34" s="47"/>
      <c r="E34" s="47"/>
    </row>
    <row r="35">
      <c r="A35" s="6"/>
      <c r="B35" s="47"/>
      <c r="C35" s="47"/>
      <c r="D35" s="47"/>
      <c r="E35" s="47"/>
    </row>
    <row r="36">
      <c r="A36" s="46"/>
      <c r="B36" s="47"/>
      <c r="C36" s="47"/>
      <c r="D36" s="47"/>
      <c r="E36" s="47"/>
    </row>
  </sheetData>
  <mergeCells count="1">
    <mergeCell ref="N1:O1"/>
  </mergeCells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</cols>
  <sheetData>
    <row r="1">
      <c r="A1" s="1" t="s">
        <v>41</v>
      </c>
      <c r="B1" s="3">
        <f>Summary!C1</f>
        <v>46113</v>
      </c>
      <c r="C1" s="3">
        <f>Summary!D1</f>
        <v>46143</v>
      </c>
      <c r="D1" s="3">
        <f>Summary!E1</f>
        <v>46174</v>
      </c>
      <c r="E1" s="3">
        <f>Summary!F1</f>
        <v>46204</v>
      </c>
      <c r="F1" s="3">
        <f>Summary!G1</f>
        <v>46235</v>
      </c>
      <c r="G1" s="3">
        <f>Summary!H1</f>
        <v>46266</v>
      </c>
      <c r="H1" s="3">
        <f>Summary!I1</f>
        <v>46296</v>
      </c>
      <c r="I1" s="3">
        <f>Summary!J1</f>
        <v>46327</v>
      </c>
      <c r="J1" s="3">
        <f>Summary!K1</f>
        <v>46357</v>
      </c>
      <c r="K1" s="3">
        <f>Summary!L1</f>
        <v>46388</v>
      </c>
      <c r="L1" s="3">
        <f>Summary!M1</f>
        <v>46419</v>
      </c>
      <c r="M1" s="3">
        <f>Summary!N1</f>
        <v>46447</v>
      </c>
      <c r="N1" s="57" t="s">
        <v>5</v>
      </c>
      <c r="O1" s="5"/>
    </row>
    <row r="2">
      <c r="A2" s="7" t="s">
        <v>6</v>
      </c>
      <c r="B2" s="8"/>
      <c r="C2" s="8"/>
      <c r="D2" s="8"/>
      <c r="E2" s="8"/>
      <c r="F2" s="9"/>
      <c r="G2" s="8"/>
      <c r="H2" s="8"/>
      <c r="I2" s="8"/>
      <c r="J2" s="8"/>
      <c r="K2" s="8"/>
      <c r="L2" s="8"/>
      <c r="M2" s="8"/>
      <c r="N2" s="59"/>
      <c r="O2" s="59"/>
    </row>
    <row r="3">
      <c r="A3" s="10" t="s">
        <v>7</v>
      </c>
      <c r="B3" s="12">
        <v>6073.0</v>
      </c>
      <c r="C3" s="11">
        <f t="shared" ref="C3:M3" si="1">B7</f>
        <v>5816.17</v>
      </c>
      <c r="D3" s="11">
        <f t="shared" si="1"/>
        <v>8416.17</v>
      </c>
      <c r="E3" s="11">
        <f t="shared" si="1"/>
        <v>7154</v>
      </c>
      <c r="F3" s="11">
        <f t="shared" si="1"/>
        <v>6599</v>
      </c>
      <c r="G3" s="11">
        <f t="shared" si="1"/>
        <v>6174.65</v>
      </c>
      <c r="H3" s="11">
        <f t="shared" si="1"/>
        <v>7033.7</v>
      </c>
      <c r="I3" s="11" t="str">
        <f t="shared" si="1"/>
        <v/>
      </c>
      <c r="J3" s="11" t="str">
        <f t="shared" si="1"/>
        <v/>
      </c>
      <c r="K3" s="11" t="str">
        <f t="shared" si="1"/>
        <v/>
      </c>
      <c r="L3" s="11" t="str">
        <f t="shared" si="1"/>
        <v/>
      </c>
      <c r="M3" s="11" t="str">
        <f t="shared" si="1"/>
        <v/>
      </c>
      <c r="N3" s="14">
        <f>+SUM(J3:L3)</f>
        <v>0</v>
      </c>
      <c r="O3" s="60"/>
    </row>
    <row r="4">
      <c r="A4" s="10" t="s">
        <v>9</v>
      </c>
      <c r="B4" s="15">
        <v>32309.34</v>
      </c>
      <c r="C4" s="17">
        <v>43513.82</v>
      </c>
      <c r="D4" s="17">
        <v>44125.0</v>
      </c>
      <c r="E4" s="17">
        <v>38814.0</v>
      </c>
      <c r="F4" s="17">
        <v>42941.73</v>
      </c>
      <c r="G4" s="17">
        <v>38347.91</v>
      </c>
      <c r="H4" s="11"/>
      <c r="I4" s="17"/>
      <c r="J4" s="17"/>
      <c r="K4" s="17"/>
      <c r="L4" s="17"/>
      <c r="M4" s="17"/>
      <c r="N4" s="14">
        <f>sum(B4:M4)</f>
        <v>240051.8</v>
      </c>
      <c r="O4" s="60"/>
    </row>
    <row r="5">
      <c r="A5" s="10" t="s">
        <v>10</v>
      </c>
      <c r="B5" s="15">
        <v>0.0</v>
      </c>
      <c r="C5" s="17">
        <v>71.7</v>
      </c>
      <c r="D5" s="17">
        <v>150.0</v>
      </c>
      <c r="E5" s="17">
        <v>0.0</v>
      </c>
      <c r="F5" s="17">
        <v>0.0</v>
      </c>
      <c r="G5" s="17">
        <v>80.89</v>
      </c>
      <c r="H5" s="17"/>
      <c r="I5" s="17"/>
      <c r="J5" s="17"/>
      <c r="K5" s="17"/>
      <c r="L5" s="17"/>
      <c r="M5" s="17"/>
      <c r="N5" s="14">
        <f t="shared" ref="N5:N6" si="2">+SUM(J5:L5)</f>
        <v>0</v>
      </c>
      <c r="O5" s="60"/>
    </row>
    <row r="6">
      <c r="A6" s="10" t="s">
        <v>11</v>
      </c>
      <c r="B6" s="15">
        <v>969.51</v>
      </c>
      <c r="C6" s="17">
        <v>1038.04</v>
      </c>
      <c r="D6" s="17">
        <v>1166.0</v>
      </c>
      <c r="E6" s="17">
        <v>395.7</v>
      </c>
      <c r="F6" s="17">
        <v>1369.66</v>
      </c>
      <c r="G6" s="17">
        <v>1673.0</v>
      </c>
      <c r="H6" s="17"/>
      <c r="I6" s="17"/>
      <c r="J6" s="17"/>
      <c r="K6" s="17"/>
      <c r="L6" s="17"/>
      <c r="M6" s="17"/>
      <c r="N6" s="14">
        <f t="shared" si="2"/>
        <v>0</v>
      </c>
      <c r="O6" s="60"/>
    </row>
    <row r="7">
      <c r="A7" s="10" t="s">
        <v>12</v>
      </c>
      <c r="B7" s="15">
        <v>5816.17</v>
      </c>
      <c r="C7" s="17">
        <v>8416.17</v>
      </c>
      <c r="D7" s="17">
        <v>7154.0</v>
      </c>
      <c r="E7" s="17">
        <v>6599.0</v>
      </c>
      <c r="F7" s="17">
        <v>6174.65</v>
      </c>
      <c r="G7" s="17">
        <v>7033.7</v>
      </c>
      <c r="H7" s="17"/>
      <c r="I7" s="17"/>
      <c r="J7" s="17"/>
      <c r="K7" s="17"/>
      <c r="L7" s="17"/>
      <c r="M7" s="17"/>
      <c r="N7" s="14">
        <f>sum(B7:M7)</f>
        <v>41193.69</v>
      </c>
      <c r="O7" s="60"/>
    </row>
    <row r="8">
      <c r="A8" s="8"/>
      <c r="B8" s="8"/>
      <c r="C8" s="8"/>
      <c r="D8" s="8"/>
      <c r="E8" s="8"/>
      <c r="F8" s="9"/>
      <c r="G8" s="8"/>
      <c r="H8" s="8"/>
      <c r="I8" s="8"/>
      <c r="J8" s="8"/>
      <c r="K8" s="8"/>
      <c r="L8" s="8"/>
      <c r="M8" s="8"/>
      <c r="N8" s="59"/>
      <c r="O8" s="59"/>
    </row>
    <row r="9">
      <c r="A9" s="18" t="s">
        <v>13</v>
      </c>
      <c r="B9" s="11">
        <f>100225.27*1.05</f>
        <v>105236.5335</v>
      </c>
      <c r="C9" s="11">
        <f>125499.4*1.05</f>
        <v>131774.37</v>
      </c>
      <c r="D9" s="11">
        <f>169953</f>
        <v>169953</v>
      </c>
      <c r="E9" s="11">
        <f>129663.74*1.05</f>
        <v>136146.927</v>
      </c>
      <c r="F9" s="11">
        <f>151447.67*1.05</f>
        <v>159020.0535</v>
      </c>
      <c r="G9" s="11">
        <f>126050.93*1.05</f>
        <v>132353.4765</v>
      </c>
      <c r="H9" s="11"/>
      <c r="I9" s="11"/>
      <c r="J9" s="11"/>
      <c r="K9" s="11"/>
      <c r="L9" s="11"/>
      <c r="M9" s="11"/>
      <c r="N9" s="14">
        <f t="shared" ref="N9:N12" si="3">+SUM(B9:M9)</f>
        <v>834484.3605</v>
      </c>
      <c r="O9" s="60"/>
    </row>
    <row r="10">
      <c r="A10" s="18" t="s">
        <v>14</v>
      </c>
      <c r="B10" s="17"/>
      <c r="C10" s="17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4">
        <f t="shared" si="3"/>
        <v>0</v>
      </c>
      <c r="O10" s="60"/>
    </row>
    <row r="11">
      <c r="A11" s="18" t="s">
        <v>15</v>
      </c>
      <c r="B11" s="11">
        <f t="shared" ref="B11:M11" si="4">(B9+B10)/1.05*0.05</f>
        <v>5011.2635</v>
      </c>
      <c r="C11" s="11">
        <f t="shared" si="4"/>
        <v>6274.97</v>
      </c>
      <c r="D11" s="11">
        <f t="shared" si="4"/>
        <v>8093</v>
      </c>
      <c r="E11" s="11">
        <f t="shared" si="4"/>
        <v>6483.187</v>
      </c>
      <c r="F11" s="11">
        <f t="shared" si="4"/>
        <v>7572.3835</v>
      </c>
      <c r="G11" s="11">
        <f t="shared" si="4"/>
        <v>6302.5465</v>
      </c>
      <c r="H11" s="11">
        <f t="shared" si="4"/>
        <v>0</v>
      </c>
      <c r="I11" s="11">
        <f t="shared" si="4"/>
        <v>0</v>
      </c>
      <c r="J11" s="11">
        <f t="shared" si="4"/>
        <v>0</v>
      </c>
      <c r="K11" s="11">
        <f t="shared" si="4"/>
        <v>0</v>
      </c>
      <c r="L11" s="11">
        <f t="shared" si="4"/>
        <v>0</v>
      </c>
      <c r="M11" s="11">
        <f t="shared" si="4"/>
        <v>0</v>
      </c>
      <c r="N11" s="14">
        <f t="shared" si="3"/>
        <v>39737.3505</v>
      </c>
      <c r="O11" s="60"/>
    </row>
    <row r="12">
      <c r="A12" s="18" t="s">
        <v>16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4">
        <f t="shared" si="3"/>
        <v>0</v>
      </c>
      <c r="O12" s="60"/>
    </row>
    <row r="13">
      <c r="A13" s="19" t="s">
        <v>17</v>
      </c>
      <c r="B13" s="21">
        <f t="shared" ref="B13:M13" si="5">B9+B10-B11-B12</f>
        <v>100225.27</v>
      </c>
      <c r="C13" s="21">
        <f t="shared" si="5"/>
        <v>125499.4</v>
      </c>
      <c r="D13" s="21">
        <f t="shared" si="5"/>
        <v>161860</v>
      </c>
      <c r="E13" s="21">
        <f t="shared" si="5"/>
        <v>129663.74</v>
      </c>
      <c r="F13" s="22">
        <f t="shared" si="5"/>
        <v>151447.67</v>
      </c>
      <c r="G13" s="22">
        <f t="shared" si="5"/>
        <v>126050.93</v>
      </c>
      <c r="H13" s="21">
        <f t="shared" si="5"/>
        <v>0</v>
      </c>
      <c r="I13" s="21">
        <f t="shared" si="5"/>
        <v>0</v>
      </c>
      <c r="J13" s="21">
        <f t="shared" si="5"/>
        <v>0</v>
      </c>
      <c r="K13" s="21">
        <f t="shared" si="5"/>
        <v>0</v>
      </c>
      <c r="L13" s="21">
        <f t="shared" si="5"/>
        <v>0</v>
      </c>
      <c r="M13" s="21">
        <f t="shared" si="5"/>
        <v>0</v>
      </c>
      <c r="N13" s="21">
        <f t="shared" ref="N13:N29" si="7">sum(B13:M13)</f>
        <v>794747.01</v>
      </c>
      <c r="O13" s="64"/>
    </row>
    <row r="14">
      <c r="A14" s="18" t="s">
        <v>20</v>
      </c>
      <c r="B14" s="24">
        <f t="shared" ref="B14:M14" si="6">+B3+B4-B5-B7</f>
        <v>32566.17</v>
      </c>
      <c r="C14" s="24">
        <f t="shared" si="6"/>
        <v>40842.12</v>
      </c>
      <c r="D14" s="24">
        <f t="shared" si="6"/>
        <v>45237.17</v>
      </c>
      <c r="E14" s="24">
        <f t="shared" si="6"/>
        <v>39369</v>
      </c>
      <c r="F14" s="24">
        <f t="shared" si="6"/>
        <v>43366.08</v>
      </c>
      <c r="G14" s="24">
        <f t="shared" si="6"/>
        <v>37407.97</v>
      </c>
      <c r="H14" s="24">
        <f t="shared" si="6"/>
        <v>7033.7</v>
      </c>
      <c r="I14" s="24">
        <f t="shared" si="6"/>
        <v>0</v>
      </c>
      <c r="J14" s="24">
        <f t="shared" si="6"/>
        <v>0</v>
      </c>
      <c r="K14" s="24">
        <f t="shared" si="6"/>
        <v>0</v>
      </c>
      <c r="L14" s="24">
        <f t="shared" si="6"/>
        <v>0</v>
      </c>
      <c r="M14" s="24">
        <f t="shared" si="6"/>
        <v>0</v>
      </c>
      <c r="N14" s="14">
        <f t="shared" si="7"/>
        <v>245822.21</v>
      </c>
      <c r="O14" s="25">
        <f t="shared" ref="O14:O29" si="8">N14/$N$13</f>
        <v>0.3093087573</v>
      </c>
    </row>
    <row r="15">
      <c r="A15" s="18" t="s">
        <v>21</v>
      </c>
      <c r="B15" s="66">
        <v>0.0</v>
      </c>
      <c r="C15" s="17">
        <v>0.0</v>
      </c>
      <c r="D15" s="17">
        <v>0.0</v>
      </c>
      <c r="E15" s="17">
        <v>0.0</v>
      </c>
      <c r="F15" s="17">
        <v>0.0</v>
      </c>
      <c r="G15" s="17">
        <v>0.0</v>
      </c>
      <c r="H15" s="17"/>
      <c r="I15" s="17"/>
      <c r="J15" s="17"/>
      <c r="K15" s="17"/>
      <c r="L15" s="17"/>
      <c r="M15" s="17"/>
      <c r="N15" s="14">
        <f t="shared" si="7"/>
        <v>0</v>
      </c>
      <c r="O15" s="25">
        <f t="shared" si="8"/>
        <v>0</v>
      </c>
    </row>
    <row r="16">
      <c r="A16" s="18" t="s">
        <v>22</v>
      </c>
      <c r="B16" s="11">
        <f t="shared" ref="B16:G16" si="9">588.82</f>
        <v>588.82</v>
      </c>
      <c r="C16" s="11">
        <f t="shared" si="9"/>
        <v>588.82</v>
      </c>
      <c r="D16" s="11">
        <f t="shared" si="9"/>
        <v>588.82</v>
      </c>
      <c r="E16" s="11">
        <f t="shared" si="9"/>
        <v>588.82</v>
      </c>
      <c r="F16" s="11">
        <f t="shared" si="9"/>
        <v>588.82</v>
      </c>
      <c r="G16" s="11">
        <f t="shared" si="9"/>
        <v>588.82</v>
      </c>
      <c r="H16" s="17"/>
      <c r="I16" s="17"/>
      <c r="J16" s="17"/>
      <c r="K16" s="17"/>
      <c r="L16" s="17"/>
      <c r="M16" s="11"/>
      <c r="N16" s="14">
        <f t="shared" si="7"/>
        <v>3532.92</v>
      </c>
      <c r="O16" s="25">
        <f t="shared" si="8"/>
        <v>0.004445339153</v>
      </c>
    </row>
    <row r="17">
      <c r="A17" s="18" t="s">
        <v>23</v>
      </c>
      <c r="B17" s="17">
        <f>6496</f>
        <v>6496</v>
      </c>
      <c r="C17" s="17">
        <v>13013.0</v>
      </c>
      <c r="D17" s="17">
        <v>14448.0</v>
      </c>
      <c r="E17" s="17">
        <v>15974.0</v>
      </c>
      <c r="F17" s="17">
        <v>10500.0</v>
      </c>
      <c r="G17" s="17">
        <v>12768.0</v>
      </c>
      <c r="H17" s="17"/>
      <c r="I17" s="17"/>
      <c r="J17" s="17"/>
      <c r="K17" s="17"/>
      <c r="L17" s="17"/>
      <c r="M17" s="17"/>
      <c r="N17" s="14">
        <f t="shared" si="7"/>
        <v>73199</v>
      </c>
      <c r="O17" s="25">
        <f t="shared" si="8"/>
        <v>0.09210352361</v>
      </c>
    </row>
    <row r="18">
      <c r="A18" s="18" t="s">
        <v>24</v>
      </c>
      <c r="B18" s="17">
        <v>0.0</v>
      </c>
      <c r="C18" s="17">
        <v>0.0</v>
      </c>
      <c r="D18" s="17">
        <v>0.0</v>
      </c>
      <c r="E18" s="17">
        <v>0.0</v>
      </c>
      <c r="F18" s="17">
        <v>0.0</v>
      </c>
      <c r="G18" s="17">
        <v>0.0</v>
      </c>
      <c r="H18" s="11"/>
      <c r="I18" s="11"/>
      <c r="J18" s="11"/>
      <c r="K18" s="11"/>
      <c r="L18" s="11"/>
      <c r="M18" s="11"/>
      <c r="N18" s="14">
        <f t="shared" si="7"/>
        <v>0</v>
      </c>
      <c r="O18" s="25">
        <f t="shared" si="8"/>
        <v>0</v>
      </c>
    </row>
    <row r="19">
      <c r="A19" s="18" t="s">
        <v>25</v>
      </c>
      <c r="B19" s="17">
        <v>3343.33</v>
      </c>
      <c r="C19" s="17">
        <v>3343.33</v>
      </c>
      <c r="D19" s="17">
        <v>3343.33</v>
      </c>
      <c r="E19" s="17">
        <v>3343.33</v>
      </c>
      <c r="F19" s="17">
        <v>3343.33</v>
      </c>
      <c r="G19" s="17">
        <v>3343.33</v>
      </c>
      <c r="H19" s="17"/>
      <c r="I19" s="17"/>
      <c r="J19" s="17"/>
      <c r="K19" s="17"/>
      <c r="L19" s="17"/>
      <c r="M19" s="17"/>
      <c r="N19" s="14">
        <f t="shared" si="7"/>
        <v>20059.98</v>
      </c>
      <c r="O19" s="25">
        <f t="shared" si="8"/>
        <v>0.02524071151</v>
      </c>
    </row>
    <row r="20">
      <c r="A20" s="20" t="s">
        <v>26</v>
      </c>
      <c r="B20" s="17">
        <f>37960</f>
        <v>37960</v>
      </c>
      <c r="C20" s="17">
        <f>29064</f>
        <v>29064</v>
      </c>
      <c r="D20" s="11">
        <f>34460</f>
        <v>34460</v>
      </c>
      <c r="E20" s="17">
        <f t="shared" ref="E20:F20" si="10">34460.53</f>
        <v>34460.53</v>
      </c>
      <c r="F20" s="17">
        <f t="shared" si="10"/>
        <v>34460.53</v>
      </c>
      <c r="G20" s="17">
        <v>34461.0</v>
      </c>
      <c r="H20" s="11"/>
      <c r="I20" s="11"/>
      <c r="J20" s="11"/>
      <c r="K20" s="11"/>
      <c r="L20" s="11"/>
      <c r="M20" s="11"/>
      <c r="N20" s="14">
        <f t="shared" si="7"/>
        <v>204866.06</v>
      </c>
      <c r="O20" s="25">
        <f t="shared" si="8"/>
        <v>0.2577751881</v>
      </c>
    </row>
    <row r="21">
      <c r="A21" s="10" t="s">
        <v>27</v>
      </c>
      <c r="B21" s="17">
        <v>0.0</v>
      </c>
      <c r="C21" s="17">
        <v>0.0</v>
      </c>
      <c r="D21" s="17">
        <v>0.0</v>
      </c>
      <c r="E21" s="17">
        <v>1200.0</v>
      </c>
      <c r="F21" s="17">
        <v>1650.0</v>
      </c>
      <c r="G21" s="17">
        <v>1650.0</v>
      </c>
      <c r="H21" s="11"/>
      <c r="I21" s="11"/>
      <c r="J21" s="11"/>
      <c r="K21" s="11"/>
      <c r="L21" s="11"/>
      <c r="M21" s="11"/>
      <c r="N21" s="14">
        <f t="shared" si="7"/>
        <v>4500</v>
      </c>
      <c r="O21" s="25">
        <f t="shared" si="8"/>
        <v>0.005662179213</v>
      </c>
    </row>
    <row r="22">
      <c r="A22" s="30" t="s">
        <v>28</v>
      </c>
      <c r="B22" s="17">
        <v>0.0</v>
      </c>
      <c r="C22" s="17">
        <v>0.0</v>
      </c>
      <c r="D22" s="17">
        <v>0.0</v>
      </c>
      <c r="E22" s="17">
        <v>0.0</v>
      </c>
      <c r="F22" s="17">
        <v>0.0</v>
      </c>
      <c r="G22" s="17">
        <v>0.0</v>
      </c>
      <c r="H22" s="11"/>
      <c r="I22" s="11"/>
      <c r="J22" s="11"/>
      <c r="K22" s="11"/>
      <c r="L22" s="11"/>
      <c r="M22" s="11"/>
      <c r="N22" s="14">
        <f t="shared" si="7"/>
        <v>0</v>
      </c>
      <c r="O22" s="25">
        <f t="shared" si="8"/>
        <v>0</v>
      </c>
    </row>
    <row r="23">
      <c r="A23" s="20" t="s">
        <v>29</v>
      </c>
      <c r="B23" s="32">
        <v>353.0</v>
      </c>
      <c r="C23" s="17">
        <f t="shared" ref="C23:M23" si="11">1698</f>
        <v>1698</v>
      </c>
      <c r="D23" s="17">
        <f t="shared" si="11"/>
        <v>1698</v>
      </c>
      <c r="E23" s="17">
        <f t="shared" si="11"/>
        <v>1698</v>
      </c>
      <c r="F23" s="17">
        <f t="shared" si="11"/>
        <v>1698</v>
      </c>
      <c r="G23" s="17">
        <f t="shared" si="11"/>
        <v>1698</v>
      </c>
      <c r="H23" s="17">
        <f t="shared" si="11"/>
        <v>1698</v>
      </c>
      <c r="I23" s="17">
        <f t="shared" si="11"/>
        <v>1698</v>
      </c>
      <c r="J23" s="17">
        <f t="shared" si="11"/>
        <v>1698</v>
      </c>
      <c r="K23" s="17">
        <f t="shared" si="11"/>
        <v>1698</v>
      </c>
      <c r="L23" s="17">
        <f t="shared" si="11"/>
        <v>1698</v>
      </c>
      <c r="M23" s="17">
        <f t="shared" si="11"/>
        <v>1698</v>
      </c>
      <c r="N23" s="14">
        <f t="shared" si="7"/>
        <v>19031</v>
      </c>
      <c r="O23" s="25">
        <f t="shared" si="8"/>
        <v>0.02394598502</v>
      </c>
    </row>
    <row r="24">
      <c r="A24" s="18" t="s">
        <v>30</v>
      </c>
      <c r="B24" s="32">
        <v>0.0</v>
      </c>
      <c r="C24" s="32">
        <v>0.0</v>
      </c>
      <c r="D24" s="32">
        <v>0.0</v>
      </c>
      <c r="E24" s="32">
        <f>'Misc Exp'!C133</f>
        <v>0</v>
      </c>
      <c r="F24" s="17">
        <f>'Misc Exp'!C90</f>
        <v>3410</v>
      </c>
      <c r="G24" s="17">
        <f>'Misc Exp'!C43</f>
        <v>120</v>
      </c>
      <c r="H24" s="17"/>
      <c r="I24" s="17"/>
      <c r="J24" s="17"/>
      <c r="K24" s="17"/>
      <c r="L24" s="17"/>
      <c r="M24" s="17"/>
      <c r="N24" s="14">
        <f t="shared" si="7"/>
        <v>3530</v>
      </c>
      <c r="O24" s="25">
        <f t="shared" si="8"/>
        <v>0.004441665027</v>
      </c>
    </row>
    <row r="25">
      <c r="A25" s="18" t="s">
        <v>31</v>
      </c>
      <c r="B25" s="17">
        <f>5104/12+1392</f>
        <v>1817.333333</v>
      </c>
      <c r="C25" s="17">
        <f>5104/12+7968</f>
        <v>8393.333333</v>
      </c>
      <c r="D25" s="17">
        <f>5104/12+6256</f>
        <v>6681.333333</v>
      </c>
      <c r="E25" s="17">
        <f>5104/12+'Misc Exp'!C126</f>
        <v>5767.666667</v>
      </c>
      <c r="F25" s="17">
        <f>5104/12+'Misc Exp'!C90</f>
        <v>3835.333333</v>
      </c>
      <c r="G25" s="17">
        <f>5104/12+'Misc Exp'!C38</f>
        <v>8193.333333</v>
      </c>
      <c r="H25" s="17">
        <f t="shared" ref="H25:M25" si="12">5104/12</f>
        <v>425.3333333</v>
      </c>
      <c r="I25" s="17">
        <f t="shared" si="12"/>
        <v>425.3333333</v>
      </c>
      <c r="J25" s="17">
        <f t="shared" si="12"/>
        <v>425.3333333</v>
      </c>
      <c r="K25" s="17">
        <f t="shared" si="12"/>
        <v>425.3333333</v>
      </c>
      <c r="L25" s="17">
        <f t="shared" si="12"/>
        <v>425.3333333</v>
      </c>
      <c r="M25" s="17">
        <f t="shared" si="12"/>
        <v>425.3333333</v>
      </c>
      <c r="N25" s="14">
        <f t="shared" si="7"/>
        <v>37240.33333</v>
      </c>
      <c r="O25" s="25">
        <f t="shared" si="8"/>
        <v>0.04685809807</v>
      </c>
    </row>
    <row r="26">
      <c r="A26" s="18" t="s">
        <v>32</v>
      </c>
      <c r="B26" s="17">
        <v>0.0</v>
      </c>
      <c r="C26" s="17">
        <v>0.0</v>
      </c>
      <c r="D26" s="17">
        <v>0.0</v>
      </c>
      <c r="E26" s="17">
        <v>0.0</v>
      </c>
      <c r="F26" s="17">
        <v>0.0</v>
      </c>
      <c r="G26" s="17">
        <v>0.0</v>
      </c>
      <c r="H26" s="11"/>
      <c r="I26" s="11"/>
      <c r="J26" s="11"/>
      <c r="K26" s="11"/>
      <c r="L26" s="11"/>
      <c r="M26" s="11"/>
      <c r="N26" s="14">
        <f t="shared" si="7"/>
        <v>0</v>
      </c>
      <c r="O26" s="25">
        <f t="shared" si="8"/>
        <v>0</v>
      </c>
    </row>
    <row r="27">
      <c r="A27" s="18" t="s">
        <v>33</v>
      </c>
      <c r="B27" s="11">
        <f>HO!D33</f>
        <v>22252.80063</v>
      </c>
      <c r="C27" s="11">
        <f>HO!H33</f>
        <v>26365.72646</v>
      </c>
      <c r="D27" s="11">
        <f>HO!L33</f>
        <v>35465.1157</v>
      </c>
      <c r="E27" s="11">
        <f>HO!P33</f>
        <v>28362.96743</v>
      </c>
      <c r="F27" s="11">
        <f>HO!D52</f>
        <v>30068.48211</v>
      </c>
      <c r="G27" s="11">
        <f>HO!H52</f>
        <v>28241.45804</v>
      </c>
      <c r="H27" s="11" t="str">
        <f>HO!L52</f>
        <v>#DIV/0!</v>
      </c>
      <c r="I27" s="11" t="str">
        <f>HO!P52</f>
        <v>#DIV/0!</v>
      </c>
      <c r="J27" s="11" t="str">
        <f>HO!D71</f>
        <v>#DIV/0!</v>
      </c>
      <c r="K27" s="11" t="str">
        <f>HO!H71</f>
        <v>#DIV/0!</v>
      </c>
      <c r="L27" s="11" t="str">
        <f>HO!L71</f>
        <v>#DIV/0!</v>
      </c>
      <c r="M27" s="11" t="str">
        <f>HO!P71</f>
        <v>#DIV/0!</v>
      </c>
      <c r="N27" s="14" t="str">
        <f t="shared" si="7"/>
        <v>#DIV/0!</v>
      </c>
      <c r="O27" s="25" t="str">
        <f t="shared" si="8"/>
        <v>#DIV/0!</v>
      </c>
    </row>
    <row r="28">
      <c r="A28" s="35" t="s">
        <v>34</v>
      </c>
      <c r="B28" s="36">
        <f t="shared" ref="B28:M28" si="13">+SUM(B14:B27)</f>
        <v>105377.454</v>
      </c>
      <c r="C28" s="36">
        <f t="shared" si="13"/>
        <v>123308.3298</v>
      </c>
      <c r="D28" s="36">
        <f t="shared" si="13"/>
        <v>141921.769</v>
      </c>
      <c r="E28" s="36">
        <f t="shared" si="13"/>
        <v>130764.3141</v>
      </c>
      <c r="F28" s="48">
        <f t="shared" si="13"/>
        <v>132920.5754</v>
      </c>
      <c r="G28" s="36">
        <f t="shared" si="13"/>
        <v>128471.9114</v>
      </c>
      <c r="H28" s="36" t="str">
        <f t="shared" si="13"/>
        <v>#DIV/0!</v>
      </c>
      <c r="I28" s="36" t="str">
        <f t="shared" si="13"/>
        <v>#DIV/0!</v>
      </c>
      <c r="J28" s="36" t="str">
        <f t="shared" si="13"/>
        <v>#DIV/0!</v>
      </c>
      <c r="K28" s="36" t="str">
        <f t="shared" si="13"/>
        <v>#DIV/0!</v>
      </c>
      <c r="L28" s="36" t="str">
        <f t="shared" si="13"/>
        <v>#DIV/0!</v>
      </c>
      <c r="M28" s="36" t="str">
        <f t="shared" si="13"/>
        <v>#DIV/0!</v>
      </c>
      <c r="N28" s="36" t="str">
        <f t="shared" si="7"/>
        <v>#DIV/0!</v>
      </c>
      <c r="O28" s="37" t="str">
        <f t="shared" si="8"/>
        <v>#DIV/0!</v>
      </c>
    </row>
    <row r="29">
      <c r="A29" s="38" t="s">
        <v>35</v>
      </c>
      <c r="B29" s="39">
        <f t="shared" ref="B29:M29" si="14">B13-B28</f>
        <v>-5152.183967</v>
      </c>
      <c r="C29" s="39">
        <f t="shared" si="14"/>
        <v>2191.07021</v>
      </c>
      <c r="D29" s="39">
        <f t="shared" si="14"/>
        <v>19938.23097</v>
      </c>
      <c r="E29" s="39">
        <f t="shared" si="14"/>
        <v>-1100.574094</v>
      </c>
      <c r="F29" s="39">
        <f t="shared" si="14"/>
        <v>18527.09456</v>
      </c>
      <c r="G29" s="39">
        <f t="shared" si="14"/>
        <v>-2420.981371</v>
      </c>
      <c r="H29" s="39" t="str">
        <f t="shared" si="14"/>
        <v>#DIV/0!</v>
      </c>
      <c r="I29" s="39" t="str">
        <f t="shared" si="14"/>
        <v>#DIV/0!</v>
      </c>
      <c r="J29" s="39" t="str">
        <f t="shared" si="14"/>
        <v>#DIV/0!</v>
      </c>
      <c r="K29" s="39" t="str">
        <f t="shared" si="14"/>
        <v>#DIV/0!</v>
      </c>
      <c r="L29" s="39" t="str">
        <f t="shared" si="14"/>
        <v>#DIV/0!</v>
      </c>
      <c r="M29" s="39" t="str">
        <f t="shared" si="14"/>
        <v>#DIV/0!</v>
      </c>
      <c r="N29" s="39" t="str">
        <f t="shared" si="7"/>
        <v>#DIV/0!</v>
      </c>
      <c r="O29" s="40" t="str">
        <f t="shared" si="8"/>
        <v>#DIV/0!</v>
      </c>
    </row>
    <row r="30">
      <c r="A30" s="41" t="s">
        <v>36</v>
      </c>
      <c r="B30" s="42">
        <f t="shared" ref="B30:M30" si="15">(B14/B13)</f>
        <v>0.3249297308</v>
      </c>
      <c r="C30" s="42">
        <f t="shared" si="15"/>
        <v>0.325436775</v>
      </c>
      <c r="D30" s="42">
        <f t="shared" si="15"/>
        <v>0.2794833189</v>
      </c>
      <c r="E30" s="42">
        <f t="shared" si="15"/>
        <v>0.3036238196</v>
      </c>
      <c r="F30" s="43">
        <f t="shared" si="15"/>
        <v>0.2863436592</v>
      </c>
      <c r="G30" s="42">
        <f t="shared" si="15"/>
        <v>0.296768695</v>
      </c>
      <c r="H30" s="42" t="str">
        <f t="shared" si="15"/>
        <v>#DIV/0!</v>
      </c>
      <c r="I30" s="42" t="str">
        <f t="shared" si="15"/>
        <v>#DIV/0!</v>
      </c>
      <c r="J30" s="42" t="str">
        <f t="shared" si="15"/>
        <v>#DIV/0!</v>
      </c>
      <c r="K30" s="42" t="str">
        <f t="shared" si="15"/>
        <v>#DIV/0!</v>
      </c>
      <c r="L30" s="42" t="str">
        <f t="shared" si="15"/>
        <v>#DIV/0!</v>
      </c>
      <c r="M30" s="42" t="str">
        <f t="shared" si="15"/>
        <v>#DIV/0!</v>
      </c>
      <c r="N30" s="67"/>
      <c r="O30" s="67"/>
    </row>
    <row r="32"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39"/>
    </row>
    <row r="33">
      <c r="A33" s="46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</row>
    <row r="34">
      <c r="A34" s="46"/>
      <c r="B34" s="47"/>
      <c r="C34" s="47"/>
      <c r="D34" s="47"/>
      <c r="E34" s="47"/>
    </row>
    <row r="35">
      <c r="A35" s="6"/>
      <c r="B35" s="47"/>
      <c r="C35" s="47"/>
      <c r="D35" s="47"/>
      <c r="E35" s="47"/>
    </row>
    <row r="36">
      <c r="A36" s="46"/>
      <c r="B36" s="47"/>
      <c r="C36" s="47"/>
      <c r="D36" s="47"/>
      <c r="E36" s="47"/>
    </row>
  </sheetData>
  <mergeCells count="1">
    <mergeCell ref="N1:O1"/>
  </mergeCells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</cols>
  <sheetData>
    <row r="1">
      <c r="A1" s="1" t="s">
        <v>43</v>
      </c>
      <c r="B1" s="3">
        <f>Summary!C1</f>
        <v>46113</v>
      </c>
      <c r="C1" s="3">
        <f>Summary!D1</f>
        <v>46143</v>
      </c>
      <c r="D1" s="3">
        <f>Summary!E1</f>
        <v>46174</v>
      </c>
      <c r="E1" s="3">
        <f>Summary!F1</f>
        <v>46204</v>
      </c>
      <c r="F1" s="3">
        <f>Summary!G1</f>
        <v>46235</v>
      </c>
      <c r="G1" s="3">
        <f>Summary!H1</f>
        <v>46266</v>
      </c>
      <c r="H1" s="3">
        <f>Summary!I1</f>
        <v>46296</v>
      </c>
      <c r="I1" s="3">
        <f>Summary!J1</f>
        <v>46327</v>
      </c>
      <c r="J1" s="3">
        <f>Summary!K1</f>
        <v>46357</v>
      </c>
      <c r="K1" s="3">
        <f>Summary!L1</f>
        <v>46388</v>
      </c>
      <c r="L1" s="3">
        <f>Summary!M1</f>
        <v>46419</v>
      </c>
      <c r="M1" s="3">
        <f>Summary!N1</f>
        <v>46447</v>
      </c>
      <c r="N1" s="57" t="s">
        <v>5</v>
      </c>
      <c r="O1" s="5"/>
    </row>
    <row r="2">
      <c r="A2" s="7" t="s">
        <v>6</v>
      </c>
      <c r="B2" s="8"/>
      <c r="C2" s="8"/>
      <c r="D2" s="8"/>
      <c r="E2" s="8"/>
      <c r="F2" s="9"/>
      <c r="G2" s="8"/>
      <c r="H2" s="8"/>
      <c r="I2" s="8"/>
      <c r="J2" s="8"/>
      <c r="K2" s="8"/>
      <c r="L2" s="8"/>
      <c r="M2" s="8"/>
      <c r="N2" s="59"/>
      <c r="O2" s="59"/>
    </row>
    <row r="3">
      <c r="A3" s="10" t="s">
        <v>7</v>
      </c>
      <c r="B3" s="12">
        <v>1603.0</v>
      </c>
      <c r="C3" s="13">
        <f t="shared" ref="C3:M3" si="1">B7</f>
        <v>2918.59</v>
      </c>
      <c r="D3" s="13">
        <f t="shared" si="1"/>
        <v>1713.61</v>
      </c>
      <c r="E3" s="11">
        <f t="shared" si="1"/>
        <v>1683</v>
      </c>
      <c r="F3" s="11">
        <f t="shared" si="1"/>
        <v>1357.94</v>
      </c>
      <c r="G3" s="11">
        <f t="shared" si="1"/>
        <v>1999.5</v>
      </c>
      <c r="H3" s="11">
        <f t="shared" si="1"/>
        <v>6463</v>
      </c>
      <c r="I3" s="11" t="str">
        <f t="shared" si="1"/>
        <v/>
      </c>
      <c r="J3" s="11" t="str">
        <f t="shared" si="1"/>
        <v/>
      </c>
      <c r="K3" s="11" t="str">
        <f t="shared" si="1"/>
        <v/>
      </c>
      <c r="L3" s="11" t="str">
        <f t="shared" si="1"/>
        <v/>
      </c>
      <c r="M3" s="11" t="str">
        <f t="shared" si="1"/>
        <v/>
      </c>
      <c r="N3" s="14">
        <f>+SUM(J3:L3)</f>
        <v>0</v>
      </c>
      <c r="O3" s="60"/>
    </row>
    <row r="4">
      <c r="A4" s="10" t="s">
        <v>9</v>
      </c>
      <c r="B4" s="15">
        <v>22984.18</v>
      </c>
      <c r="C4" s="15">
        <v>22113.42</v>
      </c>
      <c r="D4" s="15">
        <v>24161.0</v>
      </c>
      <c r="E4" s="17">
        <v>26674.83</v>
      </c>
      <c r="F4" s="17">
        <v>24641.22</v>
      </c>
      <c r="G4" s="17">
        <v>28684.0</v>
      </c>
      <c r="H4" s="11"/>
      <c r="I4" s="17"/>
      <c r="J4" s="17"/>
      <c r="K4" s="17"/>
      <c r="L4" s="17"/>
      <c r="M4" s="17"/>
      <c r="N4" s="14">
        <f>sum(B4:M4)</f>
        <v>149258.65</v>
      </c>
      <c r="O4" s="60"/>
    </row>
    <row r="5">
      <c r="A5" s="10" t="s">
        <v>10</v>
      </c>
      <c r="B5" s="15">
        <v>0.0</v>
      </c>
      <c r="C5" s="15">
        <v>0.0</v>
      </c>
      <c r="D5" s="15">
        <v>0.0</v>
      </c>
      <c r="E5" s="17">
        <v>124.76</v>
      </c>
      <c r="F5" s="17">
        <v>0.0</v>
      </c>
      <c r="G5" s="17">
        <v>0.0</v>
      </c>
      <c r="H5" s="17"/>
      <c r="I5" s="17"/>
      <c r="J5" s="17"/>
      <c r="K5" s="17"/>
      <c r="L5" s="17"/>
      <c r="M5" s="17"/>
      <c r="N5" s="14">
        <f t="shared" ref="N5:N6" si="2">+SUM(J5:L5)</f>
        <v>0</v>
      </c>
      <c r="O5" s="60"/>
    </row>
    <row r="6">
      <c r="A6" s="10" t="s">
        <v>11</v>
      </c>
      <c r="B6" s="15">
        <v>251.24</v>
      </c>
      <c r="C6" s="15">
        <v>1893.67</v>
      </c>
      <c r="D6" s="15">
        <v>674.55</v>
      </c>
      <c r="E6" s="17">
        <v>891.0</v>
      </c>
      <c r="F6" s="17">
        <v>504.96</v>
      </c>
      <c r="G6" s="17">
        <v>889.0</v>
      </c>
      <c r="H6" s="17"/>
      <c r="I6" s="17"/>
      <c r="J6" s="17"/>
      <c r="K6" s="17"/>
      <c r="L6" s="17"/>
      <c r="M6" s="17"/>
      <c r="N6" s="14">
        <f t="shared" si="2"/>
        <v>0</v>
      </c>
      <c r="O6" s="60"/>
    </row>
    <row r="7">
      <c r="A7" s="10" t="s">
        <v>12</v>
      </c>
      <c r="B7" s="15">
        <v>2918.59</v>
      </c>
      <c r="C7" s="15">
        <v>1713.61</v>
      </c>
      <c r="D7" s="15">
        <v>1683.0</v>
      </c>
      <c r="E7" s="17">
        <v>1357.94</v>
      </c>
      <c r="F7" s="17">
        <v>1999.5</v>
      </c>
      <c r="G7" s="17">
        <v>6463.0</v>
      </c>
      <c r="H7" s="17"/>
      <c r="I7" s="17"/>
      <c r="J7" s="17"/>
      <c r="K7" s="17"/>
      <c r="L7" s="17"/>
      <c r="M7" s="17"/>
      <c r="N7" s="14">
        <f>sum(B7:M7)</f>
        <v>16135.64</v>
      </c>
      <c r="O7" s="60"/>
    </row>
    <row r="8">
      <c r="A8" s="8"/>
      <c r="B8" s="61"/>
      <c r="C8" s="8"/>
      <c r="D8" s="8"/>
      <c r="E8" s="8"/>
      <c r="F8" s="9"/>
      <c r="G8" s="8"/>
      <c r="H8" s="8"/>
      <c r="I8" s="8"/>
      <c r="J8" s="8"/>
      <c r="K8" s="8"/>
      <c r="L8" s="8"/>
      <c r="M8" s="8"/>
      <c r="N8" s="59"/>
      <c r="O8" s="59"/>
    </row>
    <row r="9">
      <c r="A9" s="18" t="s">
        <v>13</v>
      </c>
      <c r="B9" s="13">
        <f>66928.33*1.05</f>
        <v>70274.7465</v>
      </c>
      <c r="C9" s="11">
        <f>60107.25*1.05</f>
        <v>63112.6125</v>
      </c>
      <c r="D9" s="17">
        <f>71847.78*1.05</f>
        <v>75440.169</v>
      </c>
      <c r="E9" s="11">
        <f>84255.87*1.05</f>
        <v>88468.6635</v>
      </c>
      <c r="F9" s="11">
        <f>85698*1.05</f>
        <v>89982.9</v>
      </c>
      <c r="G9" s="11">
        <f>92109.77*1.05</f>
        <v>96715.2585</v>
      </c>
      <c r="H9" s="11"/>
      <c r="I9" s="11"/>
      <c r="J9" s="11"/>
      <c r="K9" s="11"/>
      <c r="L9" s="11"/>
      <c r="M9" s="11"/>
      <c r="N9" s="14">
        <f t="shared" ref="N9:N12" si="3">+SUM(B9:M9)</f>
        <v>483994.35</v>
      </c>
      <c r="O9" s="60"/>
    </row>
    <row r="10">
      <c r="A10" s="18" t="s">
        <v>14</v>
      </c>
      <c r="B10" s="15"/>
      <c r="C10" s="15"/>
      <c r="D10" s="15"/>
      <c r="E10" s="15"/>
      <c r="F10" s="15"/>
      <c r="G10" s="15"/>
      <c r="H10" s="11"/>
      <c r="I10" s="11"/>
      <c r="J10" s="11"/>
      <c r="K10" s="11"/>
      <c r="L10" s="11"/>
      <c r="M10" s="11"/>
      <c r="N10" s="14">
        <f t="shared" si="3"/>
        <v>0</v>
      </c>
      <c r="O10" s="60"/>
    </row>
    <row r="11">
      <c r="A11" s="18" t="s">
        <v>15</v>
      </c>
      <c r="B11" s="11">
        <f t="shared" ref="B11:M11" si="4">(B9+B10)/1.05*0.05</f>
        <v>3346.4165</v>
      </c>
      <c r="C11" s="11">
        <f t="shared" si="4"/>
        <v>3005.3625</v>
      </c>
      <c r="D11" s="11">
        <f t="shared" si="4"/>
        <v>3592.389</v>
      </c>
      <c r="E11" s="11">
        <f t="shared" si="4"/>
        <v>4212.7935</v>
      </c>
      <c r="F11" s="11">
        <f t="shared" si="4"/>
        <v>4284.9</v>
      </c>
      <c r="G11" s="11">
        <f t="shared" si="4"/>
        <v>4605.4885</v>
      </c>
      <c r="H11" s="11">
        <f t="shared" si="4"/>
        <v>0</v>
      </c>
      <c r="I11" s="11">
        <f t="shared" si="4"/>
        <v>0</v>
      </c>
      <c r="J11" s="11">
        <f t="shared" si="4"/>
        <v>0</v>
      </c>
      <c r="K11" s="11">
        <f t="shared" si="4"/>
        <v>0</v>
      </c>
      <c r="L11" s="11">
        <f t="shared" si="4"/>
        <v>0</v>
      </c>
      <c r="M11" s="11">
        <f t="shared" si="4"/>
        <v>0</v>
      </c>
      <c r="N11" s="14">
        <f t="shared" si="3"/>
        <v>23047.35</v>
      </c>
      <c r="O11" s="60"/>
    </row>
    <row r="12">
      <c r="A12" s="18" t="s">
        <v>16</v>
      </c>
      <c r="B12" s="15">
        <v>0.0</v>
      </c>
      <c r="C12" s="17">
        <v>0.0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4">
        <f t="shared" si="3"/>
        <v>0</v>
      </c>
      <c r="O12" s="60"/>
    </row>
    <row r="13">
      <c r="A13" s="19" t="s">
        <v>17</v>
      </c>
      <c r="B13" s="21">
        <f t="shared" ref="B13:M13" si="5">B9+B10-B11-B12</f>
        <v>66928.33</v>
      </c>
      <c r="C13" s="21">
        <f t="shared" si="5"/>
        <v>60107.25</v>
      </c>
      <c r="D13" s="21">
        <f t="shared" si="5"/>
        <v>71847.78</v>
      </c>
      <c r="E13" s="21">
        <f t="shared" si="5"/>
        <v>84255.87</v>
      </c>
      <c r="F13" s="22">
        <f t="shared" si="5"/>
        <v>85698</v>
      </c>
      <c r="G13" s="22">
        <f t="shared" si="5"/>
        <v>92109.77</v>
      </c>
      <c r="H13" s="21">
        <f t="shared" si="5"/>
        <v>0</v>
      </c>
      <c r="I13" s="21">
        <f t="shared" si="5"/>
        <v>0</v>
      </c>
      <c r="J13" s="21">
        <f t="shared" si="5"/>
        <v>0</v>
      </c>
      <c r="K13" s="21">
        <f t="shared" si="5"/>
        <v>0</v>
      </c>
      <c r="L13" s="21">
        <f t="shared" si="5"/>
        <v>0</v>
      </c>
      <c r="M13" s="21">
        <f t="shared" si="5"/>
        <v>0</v>
      </c>
      <c r="N13" s="21">
        <f t="shared" ref="N13:N21" si="7">sum(B13:M13)</f>
        <v>460947</v>
      </c>
      <c r="O13" s="68">
        <f t="shared" ref="O13:O21" si="8">N13/$N$7</f>
        <v>28.56701067</v>
      </c>
    </row>
    <row r="14">
      <c r="A14" s="18" t="s">
        <v>20</v>
      </c>
      <c r="B14" s="56">
        <f t="shared" ref="B14:M14" si="6">+B3+B4-B5-B7</f>
        <v>21668.59</v>
      </c>
      <c r="C14" s="24">
        <f t="shared" si="6"/>
        <v>23318.4</v>
      </c>
      <c r="D14" s="24">
        <f t="shared" si="6"/>
        <v>24191.61</v>
      </c>
      <c r="E14" s="24">
        <f t="shared" si="6"/>
        <v>26875.13</v>
      </c>
      <c r="F14" s="24">
        <f t="shared" si="6"/>
        <v>23999.66</v>
      </c>
      <c r="G14" s="24">
        <f t="shared" si="6"/>
        <v>24220.5</v>
      </c>
      <c r="H14" s="24">
        <f t="shared" si="6"/>
        <v>6463</v>
      </c>
      <c r="I14" s="24">
        <f t="shared" si="6"/>
        <v>0</v>
      </c>
      <c r="J14" s="24">
        <f t="shared" si="6"/>
        <v>0</v>
      </c>
      <c r="K14" s="24">
        <f t="shared" si="6"/>
        <v>0</v>
      </c>
      <c r="L14" s="24">
        <f t="shared" si="6"/>
        <v>0</v>
      </c>
      <c r="M14" s="24">
        <f t="shared" si="6"/>
        <v>0</v>
      </c>
      <c r="N14" s="14">
        <f t="shared" si="7"/>
        <v>150736.89</v>
      </c>
      <c r="O14" s="25">
        <f t="shared" si="8"/>
        <v>9.341860007</v>
      </c>
    </row>
    <row r="15">
      <c r="A15" s="18" t="s">
        <v>21</v>
      </c>
      <c r="B15" s="11">
        <f>4726</f>
        <v>4726</v>
      </c>
      <c r="C15" s="17">
        <f>5351.66</f>
        <v>5351.66</v>
      </c>
      <c r="D15" s="17">
        <v>5253.63</v>
      </c>
      <c r="E15" s="17">
        <v>4845.77</v>
      </c>
      <c r="F15" s="17">
        <f>4860.02</f>
        <v>4860.02</v>
      </c>
      <c r="G15" s="26">
        <v>5000.0</v>
      </c>
      <c r="H15" s="17"/>
      <c r="I15" s="17"/>
      <c r="J15" s="17"/>
      <c r="K15" s="17"/>
      <c r="L15" s="17"/>
      <c r="M15" s="17"/>
      <c r="N15" s="14">
        <f t="shared" si="7"/>
        <v>30037.08</v>
      </c>
      <c r="O15" s="25">
        <f t="shared" si="8"/>
        <v>1.861536326</v>
      </c>
    </row>
    <row r="16">
      <c r="A16" s="18" t="s">
        <v>22</v>
      </c>
      <c r="B16" s="11">
        <f t="shared" ref="B16:G16" si="9">588.82</f>
        <v>588.82</v>
      </c>
      <c r="C16" s="11">
        <f t="shared" si="9"/>
        <v>588.82</v>
      </c>
      <c r="D16" s="11">
        <f t="shared" si="9"/>
        <v>588.82</v>
      </c>
      <c r="E16" s="11">
        <f t="shared" si="9"/>
        <v>588.82</v>
      </c>
      <c r="F16" s="11">
        <f t="shared" si="9"/>
        <v>588.82</v>
      </c>
      <c r="G16" s="11">
        <f t="shared" si="9"/>
        <v>588.82</v>
      </c>
      <c r="H16" s="11"/>
      <c r="I16" s="11"/>
      <c r="J16" s="11"/>
      <c r="K16" s="11"/>
      <c r="L16" s="17"/>
      <c r="M16" s="17"/>
      <c r="N16" s="14">
        <f t="shared" si="7"/>
        <v>3532.92</v>
      </c>
      <c r="O16" s="25">
        <f t="shared" si="8"/>
        <v>0.21895134</v>
      </c>
    </row>
    <row r="17">
      <c r="A17" s="18" t="s">
        <v>23</v>
      </c>
      <c r="B17" s="17">
        <v>939.0</v>
      </c>
      <c r="C17" s="26">
        <v>939.0</v>
      </c>
      <c r="D17" s="17">
        <v>3255.0</v>
      </c>
      <c r="E17" s="17">
        <v>1936.0</v>
      </c>
      <c r="F17" s="17">
        <f>968</f>
        <v>968</v>
      </c>
      <c r="G17" s="17">
        <f>2904</f>
        <v>2904</v>
      </c>
      <c r="H17" s="17"/>
      <c r="I17" s="17"/>
      <c r="J17" s="11"/>
      <c r="K17" s="17"/>
      <c r="L17" s="17"/>
      <c r="M17" s="17"/>
      <c r="N17" s="14">
        <f t="shared" si="7"/>
        <v>10941</v>
      </c>
      <c r="O17" s="25">
        <f t="shared" si="8"/>
        <v>0.6780642107</v>
      </c>
    </row>
    <row r="18">
      <c r="A18" s="18" t="s">
        <v>24</v>
      </c>
      <c r="B18" s="17">
        <f>11846</f>
        <v>11846</v>
      </c>
      <c r="C18" s="17">
        <v>10639.0</v>
      </c>
      <c r="D18" s="17">
        <f>D13*0.177</f>
        <v>12717.05706</v>
      </c>
      <c r="E18" s="15">
        <v>15090.0</v>
      </c>
      <c r="F18" s="15">
        <v>15090.0</v>
      </c>
      <c r="G18" s="26">
        <f>(F18/F13)*G13</f>
        <v>16219.00662</v>
      </c>
      <c r="H18" s="17"/>
      <c r="I18" s="17"/>
      <c r="J18" s="17"/>
      <c r="K18" s="17"/>
      <c r="L18" s="11"/>
      <c r="M18" s="17"/>
      <c r="N18" s="14">
        <f t="shared" si="7"/>
        <v>81601.06368</v>
      </c>
      <c r="O18" s="25">
        <f t="shared" si="8"/>
        <v>5.057194117</v>
      </c>
    </row>
    <row r="19">
      <c r="A19" s="18" t="s">
        <v>25</v>
      </c>
      <c r="B19" s="17">
        <v>3343.33</v>
      </c>
      <c r="C19" s="17">
        <v>3343.33</v>
      </c>
      <c r="D19" s="17">
        <v>3343.33</v>
      </c>
      <c r="E19" s="17">
        <v>3343.33</v>
      </c>
      <c r="F19" s="17">
        <v>3343.33</v>
      </c>
      <c r="G19" s="17">
        <v>3343.33</v>
      </c>
      <c r="H19" s="11"/>
      <c r="I19" s="11"/>
      <c r="J19" s="11"/>
      <c r="K19" s="11"/>
      <c r="L19" s="11"/>
      <c r="M19" s="11"/>
      <c r="N19" s="14">
        <f t="shared" si="7"/>
        <v>20059.98</v>
      </c>
      <c r="O19" s="25">
        <f t="shared" si="8"/>
        <v>1.243209442</v>
      </c>
    </row>
    <row r="20">
      <c r="A20" s="18" t="s">
        <v>45</v>
      </c>
      <c r="B20" s="11">
        <f>19313</f>
        <v>19313</v>
      </c>
      <c r="C20" s="17">
        <f t="shared" ref="C20:D20" si="10">19899</f>
        <v>19899</v>
      </c>
      <c r="D20" s="17">
        <f t="shared" si="10"/>
        <v>19899</v>
      </c>
      <c r="E20" s="17">
        <f>19899.24</f>
        <v>19899.24</v>
      </c>
      <c r="F20" s="11">
        <f t="shared" ref="F20:G20" si="11">19899</f>
        <v>19899</v>
      </c>
      <c r="G20" s="11">
        <f t="shared" si="11"/>
        <v>19899</v>
      </c>
      <c r="H20" s="17"/>
      <c r="I20" s="11"/>
      <c r="J20" s="11"/>
      <c r="K20" s="17"/>
      <c r="L20" s="11"/>
      <c r="M20" s="11"/>
      <c r="N20" s="14">
        <f t="shared" si="7"/>
        <v>118808.24</v>
      </c>
      <c r="O20" s="25">
        <f t="shared" si="8"/>
        <v>7.363094367</v>
      </c>
    </row>
    <row r="21">
      <c r="A21" s="10" t="s">
        <v>27</v>
      </c>
      <c r="B21" s="17">
        <v>0.0</v>
      </c>
      <c r="C21" s="17">
        <v>0.0</v>
      </c>
      <c r="D21" s="17">
        <v>0.0</v>
      </c>
      <c r="E21" s="17">
        <v>0.0</v>
      </c>
      <c r="F21" s="17">
        <v>0.0</v>
      </c>
      <c r="G21" s="17">
        <v>0.0</v>
      </c>
      <c r="H21" s="17"/>
      <c r="I21" s="17"/>
      <c r="J21" s="17"/>
      <c r="K21" s="17"/>
      <c r="L21" s="17"/>
      <c r="M21" s="17"/>
      <c r="N21" s="14">
        <f t="shared" si="7"/>
        <v>0</v>
      </c>
      <c r="O21" s="25">
        <f t="shared" si="8"/>
        <v>0</v>
      </c>
    </row>
    <row r="22">
      <c r="A22" s="30" t="s">
        <v>28</v>
      </c>
      <c r="B22" s="17">
        <v>0.0</v>
      </c>
      <c r="C22" s="17">
        <v>0.0</v>
      </c>
      <c r="D22" s="17">
        <v>0.0</v>
      </c>
      <c r="E22" s="17">
        <v>0.0</v>
      </c>
      <c r="F22" s="17">
        <v>0.0</v>
      </c>
      <c r="G22" s="17">
        <v>0.0</v>
      </c>
      <c r="H22" s="11"/>
      <c r="I22" s="11"/>
      <c r="J22" s="11"/>
      <c r="K22" s="11"/>
      <c r="L22" s="11"/>
      <c r="M22" s="11"/>
      <c r="N22" s="60"/>
      <c r="O22" s="70"/>
    </row>
    <row r="23">
      <c r="A23" s="20" t="s">
        <v>29</v>
      </c>
      <c r="B23" s="32">
        <f t="shared" ref="B23:M23" si="12">(4900+18306)/12</f>
        <v>1933.833333</v>
      </c>
      <c r="C23" s="32">
        <f t="shared" si="12"/>
        <v>1933.833333</v>
      </c>
      <c r="D23" s="32">
        <f t="shared" si="12"/>
        <v>1933.833333</v>
      </c>
      <c r="E23" s="32">
        <f t="shared" si="12"/>
        <v>1933.833333</v>
      </c>
      <c r="F23" s="32">
        <f t="shared" si="12"/>
        <v>1933.833333</v>
      </c>
      <c r="G23" s="32">
        <f t="shared" si="12"/>
        <v>1933.833333</v>
      </c>
      <c r="H23" s="32">
        <f t="shared" si="12"/>
        <v>1933.833333</v>
      </c>
      <c r="I23" s="32">
        <f t="shared" si="12"/>
        <v>1933.833333</v>
      </c>
      <c r="J23" s="32">
        <f t="shared" si="12"/>
        <v>1933.833333</v>
      </c>
      <c r="K23" s="32">
        <f t="shared" si="12"/>
        <v>1933.833333</v>
      </c>
      <c r="L23" s="32">
        <f t="shared" si="12"/>
        <v>1933.833333</v>
      </c>
      <c r="M23" s="32">
        <f t="shared" si="12"/>
        <v>1933.833333</v>
      </c>
      <c r="N23" s="71"/>
      <c r="O23" s="70"/>
    </row>
    <row r="24">
      <c r="A24" s="18" t="s">
        <v>30</v>
      </c>
      <c r="B24" s="32">
        <v>0.0</v>
      </c>
      <c r="C24" s="32">
        <v>0.0</v>
      </c>
      <c r="D24" s="32">
        <v>0.0</v>
      </c>
      <c r="E24" s="34">
        <f>'Misc Exp'!R133</f>
        <v>0</v>
      </c>
      <c r="F24" s="17">
        <f>'Misc Exp'!R90</f>
        <v>32080</v>
      </c>
      <c r="G24" s="17">
        <f>'Misc Exp'!R43</f>
        <v>0</v>
      </c>
      <c r="H24" s="17"/>
      <c r="I24" s="17"/>
      <c r="J24" s="17"/>
      <c r="K24" s="17"/>
      <c r="L24" s="17"/>
      <c r="M24" s="17"/>
      <c r="N24" s="14">
        <f t="shared" ref="N24:N29" si="14">sum(B24:M24)</f>
        <v>32080</v>
      </c>
      <c r="O24" s="25">
        <f t="shared" ref="O24:O29" si="15">N24/$N$7</f>
        <v>1.988145497</v>
      </c>
    </row>
    <row r="25">
      <c r="A25" s="18" t="s">
        <v>31</v>
      </c>
      <c r="B25" s="17">
        <f>1550/12+159.56</f>
        <v>288.7266667</v>
      </c>
      <c r="C25" s="17">
        <f>1550/12+6962.26</f>
        <v>7091.426667</v>
      </c>
      <c r="D25" s="17">
        <f>1550/12+196</f>
        <v>325.1666667</v>
      </c>
      <c r="E25" s="17">
        <f>1550/12+'Misc Exp'!R126</f>
        <v>532.06</v>
      </c>
      <c r="F25" s="17">
        <f>1550/12+'Misc Exp'!R84</f>
        <v>3520.526667</v>
      </c>
      <c r="G25" s="17">
        <f>1550/12+'Misc Exp'!R38</f>
        <v>6607.646667</v>
      </c>
      <c r="H25" s="17">
        <f t="shared" ref="H25:M25" si="13">1550/12</f>
        <v>129.1666667</v>
      </c>
      <c r="I25" s="17">
        <f t="shared" si="13"/>
        <v>129.1666667</v>
      </c>
      <c r="J25" s="17">
        <f t="shared" si="13"/>
        <v>129.1666667</v>
      </c>
      <c r="K25" s="17">
        <f t="shared" si="13"/>
        <v>129.1666667</v>
      </c>
      <c r="L25" s="17">
        <f t="shared" si="13"/>
        <v>129.1666667</v>
      </c>
      <c r="M25" s="17">
        <f t="shared" si="13"/>
        <v>129.1666667</v>
      </c>
      <c r="N25" s="14">
        <f t="shared" si="14"/>
        <v>19140.55333</v>
      </c>
      <c r="O25" s="25">
        <f t="shared" si="15"/>
        <v>1.186228333</v>
      </c>
    </row>
    <row r="26">
      <c r="A26" s="18" t="s">
        <v>32</v>
      </c>
      <c r="B26" s="17">
        <v>0.0</v>
      </c>
      <c r="C26" s="17">
        <v>0.0</v>
      </c>
      <c r="D26" s="17">
        <v>0.0</v>
      </c>
      <c r="E26" s="17">
        <v>0.0</v>
      </c>
      <c r="F26" s="17">
        <v>0.0</v>
      </c>
      <c r="G26" s="17">
        <v>0.0</v>
      </c>
      <c r="H26" s="17">
        <v>0.0</v>
      </c>
      <c r="I26" s="17">
        <v>0.0</v>
      </c>
      <c r="J26" s="17">
        <v>0.0</v>
      </c>
      <c r="K26" s="17">
        <v>0.0</v>
      </c>
      <c r="L26" s="17">
        <v>0.0</v>
      </c>
      <c r="M26" s="17">
        <v>0.0</v>
      </c>
      <c r="N26" s="14">
        <f t="shared" si="14"/>
        <v>0</v>
      </c>
      <c r="O26" s="25">
        <f t="shared" si="15"/>
        <v>0</v>
      </c>
    </row>
    <row r="27">
      <c r="A27" s="18" t="s">
        <v>33</v>
      </c>
      <c r="B27" s="11">
        <f>HO!D35</f>
        <v>14859.95283</v>
      </c>
      <c r="C27" s="11">
        <f>HO!H35</f>
        <v>12627.72022</v>
      </c>
      <c r="D27" s="11">
        <f>HO!L35</f>
        <v>15742.55425</v>
      </c>
      <c r="E27" s="11">
        <f>HO!P35</f>
        <v>18430.33755</v>
      </c>
      <c r="F27" s="11">
        <f>HO!D54</f>
        <v>17014.51584</v>
      </c>
      <c r="G27" s="11">
        <f>HO!H54</f>
        <v>20637.00922</v>
      </c>
      <c r="H27" s="11" t="str">
        <f>HO!L54</f>
        <v>#DIV/0!</v>
      </c>
      <c r="I27" s="11" t="str">
        <f>HO!P54</f>
        <v>#DIV/0!</v>
      </c>
      <c r="J27" s="11" t="str">
        <f>HO!D73</f>
        <v>#DIV/0!</v>
      </c>
      <c r="K27" s="11" t="str">
        <f>HO!H73</f>
        <v>#DIV/0!</v>
      </c>
      <c r="L27" s="11" t="str">
        <f>HO!L73</f>
        <v>#DIV/0!</v>
      </c>
      <c r="M27" s="11" t="str">
        <f>HO!P73</f>
        <v>#DIV/0!</v>
      </c>
      <c r="N27" s="14" t="str">
        <f t="shared" si="14"/>
        <v>#DIV/0!</v>
      </c>
      <c r="O27" s="25" t="str">
        <f t="shared" si="15"/>
        <v>#DIV/0!</v>
      </c>
    </row>
    <row r="28">
      <c r="A28" s="35" t="s">
        <v>34</v>
      </c>
      <c r="B28" s="36">
        <f t="shared" ref="B28:M28" si="16">+SUM(B14:B27)</f>
        <v>79507.25283</v>
      </c>
      <c r="C28" s="36">
        <f t="shared" si="16"/>
        <v>85732.19022</v>
      </c>
      <c r="D28" s="36">
        <f t="shared" si="16"/>
        <v>87250.00131</v>
      </c>
      <c r="E28" s="36">
        <f t="shared" si="16"/>
        <v>93474.52088</v>
      </c>
      <c r="F28" s="48">
        <f t="shared" si="16"/>
        <v>123297.7058</v>
      </c>
      <c r="G28" s="36">
        <f t="shared" si="16"/>
        <v>101353.1458</v>
      </c>
      <c r="H28" s="36" t="str">
        <f t="shared" si="16"/>
        <v>#DIV/0!</v>
      </c>
      <c r="I28" s="36" t="str">
        <f t="shared" si="16"/>
        <v>#DIV/0!</v>
      </c>
      <c r="J28" s="36" t="str">
        <f t="shared" si="16"/>
        <v>#DIV/0!</v>
      </c>
      <c r="K28" s="36" t="str">
        <f t="shared" si="16"/>
        <v>#DIV/0!</v>
      </c>
      <c r="L28" s="36" t="str">
        <f t="shared" si="16"/>
        <v>#DIV/0!</v>
      </c>
      <c r="M28" s="36" t="str">
        <f t="shared" si="16"/>
        <v>#DIV/0!</v>
      </c>
      <c r="N28" s="36" t="str">
        <f t="shared" si="14"/>
        <v>#DIV/0!</v>
      </c>
      <c r="O28" s="37" t="str">
        <f t="shared" si="15"/>
        <v>#DIV/0!</v>
      </c>
    </row>
    <row r="29">
      <c r="A29" s="38" t="s">
        <v>35</v>
      </c>
      <c r="B29" s="39">
        <f t="shared" ref="B29:M29" si="17">B13-B28</f>
        <v>-12578.92283</v>
      </c>
      <c r="C29" s="39">
        <f t="shared" si="17"/>
        <v>-25624.94022</v>
      </c>
      <c r="D29" s="39">
        <f t="shared" si="17"/>
        <v>-15402.22131</v>
      </c>
      <c r="E29" s="39">
        <f t="shared" si="17"/>
        <v>-9218.650885</v>
      </c>
      <c r="F29" s="39">
        <f t="shared" si="17"/>
        <v>-37599.70584</v>
      </c>
      <c r="G29" s="39">
        <f t="shared" si="17"/>
        <v>-9243.375837</v>
      </c>
      <c r="H29" s="39" t="str">
        <f t="shared" si="17"/>
        <v>#DIV/0!</v>
      </c>
      <c r="I29" s="39" t="str">
        <f t="shared" si="17"/>
        <v>#DIV/0!</v>
      </c>
      <c r="J29" s="39" t="str">
        <f t="shared" si="17"/>
        <v>#DIV/0!</v>
      </c>
      <c r="K29" s="39" t="str">
        <f t="shared" si="17"/>
        <v>#DIV/0!</v>
      </c>
      <c r="L29" s="39" t="str">
        <f t="shared" si="17"/>
        <v>#DIV/0!</v>
      </c>
      <c r="M29" s="39" t="str">
        <f t="shared" si="17"/>
        <v>#DIV/0!</v>
      </c>
      <c r="N29" s="39" t="str">
        <f t="shared" si="14"/>
        <v>#DIV/0!</v>
      </c>
      <c r="O29" s="40" t="str">
        <f t="shared" si="15"/>
        <v>#DIV/0!</v>
      </c>
    </row>
    <row r="30">
      <c r="A30" s="41" t="s">
        <v>36</v>
      </c>
      <c r="B30" s="42">
        <f t="shared" ref="B30:M30" si="18">(B14/B13)</f>
        <v>0.3237581156</v>
      </c>
      <c r="C30" s="42">
        <f t="shared" si="18"/>
        <v>0.3879465455</v>
      </c>
      <c r="D30" s="42">
        <f t="shared" si="18"/>
        <v>0.3367064369</v>
      </c>
      <c r="E30" s="42">
        <f t="shared" si="18"/>
        <v>0.3189704171</v>
      </c>
      <c r="F30" s="43">
        <f t="shared" si="18"/>
        <v>0.2800492427</v>
      </c>
      <c r="G30" s="42">
        <f t="shared" si="18"/>
        <v>0.2629525619</v>
      </c>
      <c r="H30" s="42" t="str">
        <f t="shared" si="18"/>
        <v>#DIV/0!</v>
      </c>
      <c r="I30" s="42" t="str">
        <f t="shared" si="18"/>
        <v>#DIV/0!</v>
      </c>
      <c r="J30" s="42" t="str">
        <f t="shared" si="18"/>
        <v>#DIV/0!</v>
      </c>
      <c r="K30" s="42" t="str">
        <f t="shared" si="18"/>
        <v>#DIV/0!</v>
      </c>
      <c r="L30" s="42" t="str">
        <f t="shared" si="18"/>
        <v>#DIV/0!</v>
      </c>
      <c r="M30" s="42" t="str">
        <f t="shared" si="18"/>
        <v>#DIV/0!</v>
      </c>
      <c r="N30" s="67"/>
      <c r="O30" s="67"/>
    </row>
    <row r="32"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</row>
    <row r="33">
      <c r="A33" s="46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</row>
    <row r="34">
      <c r="A34" s="46"/>
      <c r="B34" s="47"/>
      <c r="C34" s="47"/>
      <c r="D34" s="47"/>
      <c r="E34" s="47"/>
    </row>
    <row r="35">
      <c r="A35" s="6"/>
      <c r="B35" s="47"/>
      <c r="C35" s="47"/>
      <c r="D35" s="47"/>
      <c r="E35" s="47"/>
    </row>
    <row r="36">
      <c r="A36" s="46"/>
      <c r="B36" s="47"/>
      <c r="C36" s="47"/>
      <c r="D36" s="47"/>
      <c r="E36" s="47"/>
    </row>
  </sheetData>
  <mergeCells count="1">
    <mergeCell ref="N1:O1"/>
  </mergeCells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</cols>
  <sheetData>
    <row r="1">
      <c r="A1" s="1" t="s">
        <v>44</v>
      </c>
      <c r="B1" s="3">
        <f>Summary!C1</f>
        <v>46113</v>
      </c>
      <c r="C1" s="3">
        <f>Summary!D1</f>
        <v>46143</v>
      </c>
      <c r="D1" s="3">
        <f>Summary!E1</f>
        <v>46174</v>
      </c>
      <c r="E1" s="3">
        <f>Summary!F1</f>
        <v>46204</v>
      </c>
      <c r="F1" s="3">
        <f>Summary!G1</f>
        <v>46235</v>
      </c>
      <c r="G1" s="3">
        <f>Summary!H1</f>
        <v>46266</v>
      </c>
      <c r="H1" s="3">
        <f>Summary!I1</f>
        <v>46296</v>
      </c>
      <c r="I1" s="3">
        <f>Summary!J1</f>
        <v>46327</v>
      </c>
      <c r="J1" s="3">
        <f>Summary!K1</f>
        <v>46357</v>
      </c>
      <c r="K1" s="3">
        <f>Summary!L1</f>
        <v>46388</v>
      </c>
      <c r="L1" s="3">
        <f>Summary!M1</f>
        <v>46419</v>
      </c>
      <c r="M1" s="3">
        <f>Summary!N1</f>
        <v>46447</v>
      </c>
      <c r="N1" s="4" t="s">
        <v>5</v>
      </c>
      <c r="O1" s="5"/>
    </row>
    <row r="2">
      <c r="A2" s="7" t="s">
        <v>6</v>
      </c>
      <c r="B2" s="8"/>
      <c r="C2" s="8"/>
      <c r="D2" s="8"/>
      <c r="E2" s="8"/>
      <c r="F2" s="9"/>
      <c r="G2" s="8"/>
      <c r="H2" s="8"/>
      <c r="I2" s="8"/>
      <c r="J2" s="8"/>
      <c r="K2" s="8"/>
      <c r="L2" s="8"/>
      <c r="M2" s="8"/>
      <c r="N2" s="8"/>
      <c r="O2" s="8"/>
    </row>
    <row r="3">
      <c r="A3" s="10" t="s">
        <v>7</v>
      </c>
      <c r="B3" s="69">
        <v>47968.0</v>
      </c>
      <c r="C3" s="11">
        <f t="shared" ref="C3:M3" si="1">B7</f>
        <v>45542.3</v>
      </c>
      <c r="D3" s="11">
        <f t="shared" si="1"/>
        <v>60523.93</v>
      </c>
      <c r="E3" s="11">
        <f t="shared" si="1"/>
        <v>44301</v>
      </c>
      <c r="F3" s="11">
        <f t="shared" si="1"/>
        <v>38073</v>
      </c>
      <c r="G3" s="11">
        <f t="shared" si="1"/>
        <v>39365.18</v>
      </c>
      <c r="H3" s="11">
        <f t="shared" si="1"/>
        <v>43465.95</v>
      </c>
      <c r="I3" s="11" t="str">
        <f t="shared" si="1"/>
        <v/>
      </c>
      <c r="J3" s="11" t="str">
        <f t="shared" si="1"/>
        <v/>
      </c>
      <c r="K3" s="11" t="str">
        <f t="shared" si="1"/>
        <v/>
      </c>
      <c r="L3" s="11" t="str">
        <f t="shared" si="1"/>
        <v/>
      </c>
      <c r="M3" s="11" t="str">
        <f t="shared" si="1"/>
        <v/>
      </c>
      <c r="N3" s="14">
        <f>+SUM(J3:L3)</f>
        <v>0</v>
      </c>
      <c r="O3" s="16"/>
    </row>
    <row r="4">
      <c r="A4" s="10" t="s">
        <v>9</v>
      </c>
      <c r="B4" s="17">
        <v>286806.81</v>
      </c>
      <c r="C4" s="17">
        <v>358998.03</v>
      </c>
      <c r="D4" s="17">
        <v>312072.88</v>
      </c>
      <c r="E4" s="17">
        <v>311177.0</v>
      </c>
      <c r="F4" s="17">
        <v>372050.15</v>
      </c>
      <c r="G4" s="17">
        <v>329652.0</v>
      </c>
      <c r="H4" s="17"/>
      <c r="I4" s="17"/>
      <c r="J4" s="17"/>
      <c r="K4" s="17"/>
      <c r="L4" s="17"/>
      <c r="M4" s="17"/>
      <c r="N4" s="14">
        <f>sum(B4:M4)</f>
        <v>1970756.87</v>
      </c>
      <c r="O4" s="16"/>
    </row>
    <row r="5">
      <c r="A5" s="10" t="s">
        <v>10</v>
      </c>
      <c r="B5" s="17">
        <v>178.26</v>
      </c>
      <c r="C5" s="17">
        <v>0.0</v>
      </c>
      <c r="D5" s="17">
        <v>0.0</v>
      </c>
      <c r="E5" s="17">
        <v>0.0</v>
      </c>
      <c r="F5" s="17">
        <v>0.0</v>
      </c>
      <c r="G5" s="17">
        <v>0.0</v>
      </c>
      <c r="H5" s="17"/>
      <c r="I5" s="17"/>
      <c r="J5" s="17"/>
      <c r="K5" s="17"/>
      <c r="L5" s="17"/>
      <c r="M5" s="17"/>
      <c r="N5" s="14">
        <f t="shared" ref="N5:N6" si="2">+SUM(J5:L5)</f>
        <v>0</v>
      </c>
      <c r="O5" s="16"/>
    </row>
    <row r="6">
      <c r="A6" s="10" t="s">
        <v>11</v>
      </c>
      <c r="B6" s="17">
        <v>10792.82</v>
      </c>
      <c r="C6" s="17">
        <v>12591.71</v>
      </c>
      <c r="D6" s="17">
        <v>11895.0</v>
      </c>
      <c r="E6" s="17">
        <v>9557.0</v>
      </c>
      <c r="F6" s="17">
        <v>15854.91</v>
      </c>
      <c r="G6" s="17">
        <v>19467.56</v>
      </c>
      <c r="H6" s="17"/>
      <c r="I6" s="17"/>
      <c r="J6" s="17"/>
      <c r="K6" s="17"/>
      <c r="L6" s="17"/>
      <c r="M6" s="17"/>
      <c r="N6" s="14">
        <f t="shared" si="2"/>
        <v>0</v>
      </c>
      <c r="O6" s="16"/>
    </row>
    <row r="7">
      <c r="A7" s="10" t="s">
        <v>12</v>
      </c>
      <c r="B7" s="17">
        <v>45542.3</v>
      </c>
      <c r="C7" s="17">
        <v>60523.93</v>
      </c>
      <c r="D7" s="17">
        <v>44301.0</v>
      </c>
      <c r="E7" s="17">
        <v>38073.0</v>
      </c>
      <c r="F7" s="17">
        <v>39365.18</v>
      </c>
      <c r="G7" s="17">
        <v>43465.95</v>
      </c>
      <c r="H7" s="17"/>
      <c r="I7" s="17"/>
      <c r="J7" s="17"/>
      <c r="K7" s="17"/>
      <c r="L7" s="17"/>
      <c r="M7" s="17"/>
      <c r="N7" s="14">
        <f>sum(B7:M7)</f>
        <v>271271.36</v>
      </c>
      <c r="O7" s="16"/>
    </row>
    <row r="8">
      <c r="A8" s="8"/>
      <c r="B8" s="8"/>
      <c r="C8" s="8"/>
      <c r="D8" s="8"/>
      <c r="E8" s="8"/>
      <c r="F8" s="9"/>
      <c r="G8" s="8"/>
      <c r="H8" s="8"/>
      <c r="I8" s="8"/>
      <c r="J8" s="8"/>
      <c r="K8" s="8"/>
      <c r="L8" s="8"/>
      <c r="M8" s="8"/>
      <c r="N8" s="8"/>
      <c r="O8" s="8"/>
    </row>
    <row r="9">
      <c r="A9" s="18" t="s">
        <v>13</v>
      </c>
      <c r="B9" s="11">
        <f>1109095.63*1.05+19177.88*1.05</f>
        <v>1184687.186</v>
      </c>
      <c r="C9" s="11">
        <f>1399774.46*1.05+21006.81*1.05</f>
        <v>1491820.334</v>
      </c>
      <c r="D9" s="11">
        <f>1221152.63*1.05+19944.37*1.05</f>
        <v>1303151.85</v>
      </c>
      <c r="E9" s="11">
        <f>1145504*1.05+19902.7*1.05</f>
        <v>1223677.035</v>
      </c>
      <c r="F9" s="11">
        <f>1409544.58*1.05</f>
        <v>1480021.809</v>
      </c>
      <c r="G9" s="11">
        <f>1255530.46*1.05+16550.7*1.05</f>
        <v>1335685.218</v>
      </c>
      <c r="H9" s="11"/>
      <c r="I9" s="11"/>
      <c r="J9" s="11"/>
      <c r="K9" s="11"/>
      <c r="L9" s="11"/>
      <c r="M9" s="11"/>
      <c r="N9" s="14">
        <f t="shared" ref="N9:N12" si="3">+SUM(B9:M9)</f>
        <v>8019043.431</v>
      </c>
      <c r="O9" s="16"/>
    </row>
    <row r="10">
      <c r="A10" s="18" t="s">
        <v>14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4">
        <f t="shared" si="3"/>
        <v>0</v>
      </c>
      <c r="O10" s="16"/>
    </row>
    <row r="11">
      <c r="A11" s="18" t="s">
        <v>15</v>
      </c>
      <c r="B11" s="11">
        <f t="shared" ref="B11:M11" si="4">(B9+B10)/1.05*0.05</f>
        <v>56413.6755</v>
      </c>
      <c r="C11" s="11">
        <f t="shared" si="4"/>
        <v>71039.0635</v>
      </c>
      <c r="D11" s="11">
        <f t="shared" si="4"/>
        <v>62054.85</v>
      </c>
      <c r="E11" s="11">
        <f t="shared" si="4"/>
        <v>58270.335</v>
      </c>
      <c r="F11" s="11">
        <f t="shared" si="4"/>
        <v>70477.229</v>
      </c>
      <c r="G11" s="11">
        <f t="shared" si="4"/>
        <v>63604.058</v>
      </c>
      <c r="H11" s="11">
        <f t="shared" si="4"/>
        <v>0</v>
      </c>
      <c r="I11" s="11">
        <f t="shared" si="4"/>
        <v>0</v>
      </c>
      <c r="J11" s="11">
        <f t="shared" si="4"/>
        <v>0</v>
      </c>
      <c r="K11" s="11">
        <f t="shared" si="4"/>
        <v>0</v>
      </c>
      <c r="L11" s="11">
        <f t="shared" si="4"/>
        <v>0</v>
      </c>
      <c r="M11" s="11">
        <f t="shared" si="4"/>
        <v>0</v>
      </c>
      <c r="N11" s="14">
        <f t="shared" si="3"/>
        <v>381859.211</v>
      </c>
      <c r="O11" s="16"/>
    </row>
    <row r="12">
      <c r="A12" s="18" t="s">
        <v>16</v>
      </c>
      <c r="B12" s="17">
        <f>44354.67*1.18+12858.68*1.18+3251.57*1.18+55.19*1.18+41.53*1.18</f>
        <v>71462.7352</v>
      </c>
      <c r="C12" s="11">
        <f>48814.67*1.18+14377.75*1.18+138.93*1.18+4059.94*1.18</f>
        <v>79521.7222</v>
      </c>
      <c r="D12" s="11">
        <f>46830.06*1.18+16034.79*1.18+20.68*1.18+33.12*1.18</f>
        <v>74244.007</v>
      </c>
      <c r="E12" s="17">
        <f>46350.99*1.18+14613.69*1.18</f>
        <v>71938.3224</v>
      </c>
      <c r="F12" s="11">
        <f>49001.44*1.18+16132*1.18+47.11*1.18</f>
        <v>76913.049</v>
      </c>
      <c r="G12" s="11">
        <f>38415.57*1.18+17031.53*1.18+101.43*1.18</f>
        <v>65547.2654</v>
      </c>
      <c r="H12" s="11"/>
      <c r="I12" s="11"/>
      <c r="J12" s="11"/>
      <c r="K12" s="11"/>
      <c r="L12" s="11"/>
      <c r="M12" s="11"/>
      <c r="N12" s="14">
        <f t="shared" si="3"/>
        <v>439627.1012</v>
      </c>
      <c r="O12" s="16"/>
    </row>
    <row r="13">
      <c r="A13" s="19" t="s">
        <v>17</v>
      </c>
      <c r="B13" s="21">
        <f t="shared" ref="B13:M13" si="5">B9+B10-B11-B12</f>
        <v>1056810.775</v>
      </c>
      <c r="C13" s="21">
        <f t="shared" si="5"/>
        <v>1341259.548</v>
      </c>
      <c r="D13" s="21">
        <f t="shared" si="5"/>
        <v>1166852.993</v>
      </c>
      <c r="E13" s="21">
        <f t="shared" si="5"/>
        <v>1093468.378</v>
      </c>
      <c r="F13" s="22">
        <f t="shared" si="5"/>
        <v>1332631.531</v>
      </c>
      <c r="G13" s="22">
        <f t="shared" si="5"/>
        <v>1206533.895</v>
      </c>
      <c r="H13" s="21">
        <f t="shared" si="5"/>
        <v>0</v>
      </c>
      <c r="I13" s="21">
        <f t="shared" si="5"/>
        <v>0</v>
      </c>
      <c r="J13" s="21">
        <f t="shared" si="5"/>
        <v>0</v>
      </c>
      <c r="K13" s="21">
        <f t="shared" si="5"/>
        <v>0</v>
      </c>
      <c r="L13" s="21">
        <f t="shared" si="5"/>
        <v>0</v>
      </c>
      <c r="M13" s="21">
        <f t="shared" si="5"/>
        <v>0</v>
      </c>
      <c r="N13" s="21">
        <f t="shared" ref="N13:N29" si="7">sum(B13:M13)</f>
        <v>7197557.119</v>
      </c>
      <c r="O13" s="23"/>
    </row>
    <row r="14">
      <c r="A14" s="18" t="s">
        <v>20</v>
      </c>
      <c r="B14" s="24">
        <f t="shared" ref="B14:M14" si="6">+B3+B4-B5-B7</f>
        <v>289054.25</v>
      </c>
      <c r="C14" s="24">
        <f t="shared" si="6"/>
        <v>344016.4</v>
      </c>
      <c r="D14" s="24">
        <f t="shared" si="6"/>
        <v>328295.81</v>
      </c>
      <c r="E14" s="24">
        <f t="shared" si="6"/>
        <v>317405</v>
      </c>
      <c r="F14" s="24">
        <f t="shared" si="6"/>
        <v>370757.97</v>
      </c>
      <c r="G14" s="24">
        <f t="shared" si="6"/>
        <v>325551.23</v>
      </c>
      <c r="H14" s="24">
        <f t="shared" si="6"/>
        <v>43465.95</v>
      </c>
      <c r="I14" s="24">
        <f t="shared" si="6"/>
        <v>0</v>
      </c>
      <c r="J14" s="24">
        <f t="shared" si="6"/>
        <v>0</v>
      </c>
      <c r="K14" s="24">
        <f t="shared" si="6"/>
        <v>0</v>
      </c>
      <c r="L14" s="24">
        <f t="shared" si="6"/>
        <v>0</v>
      </c>
      <c r="M14" s="24">
        <f t="shared" si="6"/>
        <v>0</v>
      </c>
      <c r="N14" s="14">
        <f t="shared" si="7"/>
        <v>2018546.61</v>
      </c>
      <c r="O14" s="25">
        <f t="shared" ref="O14:O29" si="8">N14/$N$13</f>
        <v>0.2804488491</v>
      </c>
    </row>
    <row r="15">
      <c r="A15" s="18" t="s">
        <v>21</v>
      </c>
      <c r="B15" s="73">
        <f>55085</f>
        <v>55085</v>
      </c>
      <c r="C15" s="17">
        <v>66149.0</v>
      </c>
      <c r="D15" s="26">
        <v>60573.0</v>
      </c>
      <c r="E15" s="17">
        <v>61311.0</v>
      </c>
      <c r="F15" s="17">
        <f>63957</f>
        <v>63957</v>
      </c>
      <c r="G15" s="26">
        <v>62000.0</v>
      </c>
      <c r="H15" s="17"/>
      <c r="I15" s="17"/>
      <c r="J15" s="11"/>
      <c r="K15" s="11"/>
      <c r="L15" s="11"/>
      <c r="M15" s="11"/>
      <c r="N15" s="14">
        <f t="shared" si="7"/>
        <v>369075</v>
      </c>
      <c r="O15" s="25">
        <f t="shared" si="8"/>
        <v>0.05127781467</v>
      </c>
    </row>
    <row r="16">
      <c r="A16" s="18" t="s">
        <v>22</v>
      </c>
      <c r="B16" s="15">
        <f t="shared" ref="B16:D16" si="9">800+352.82</f>
        <v>1152.82</v>
      </c>
      <c r="C16" s="17">
        <f t="shared" si="9"/>
        <v>1152.82</v>
      </c>
      <c r="D16" s="17">
        <f t="shared" si="9"/>
        <v>1152.82</v>
      </c>
      <c r="E16" s="17">
        <f t="shared" ref="E16:G16" si="10">352.82+800</f>
        <v>1152.82</v>
      </c>
      <c r="F16" s="17">
        <f t="shared" si="10"/>
        <v>1152.82</v>
      </c>
      <c r="G16" s="17">
        <f t="shared" si="10"/>
        <v>1152.82</v>
      </c>
      <c r="H16" s="11"/>
      <c r="I16" s="11"/>
      <c r="J16" s="11"/>
      <c r="K16" s="11"/>
      <c r="L16" s="11"/>
      <c r="M16" s="11"/>
      <c r="N16" s="14">
        <f t="shared" si="7"/>
        <v>6916.92</v>
      </c>
      <c r="O16" s="25">
        <f t="shared" si="8"/>
        <v>0.0009610093933</v>
      </c>
    </row>
    <row r="17">
      <c r="A17" s="18" t="s">
        <v>23</v>
      </c>
      <c r="B17" s="15">
        <v>0.0</v>
      </c>
      <c r="C17" s="17">
        <v>0.0</v>
      </c>
      <c r="D17" s="17">
        <v>0.0</v>
      </c>
      <c r="E17" s="17">
        <v>0.0</v>
      </c>
      <c r="F17" s="17">
        <v>0.0</v>
      </c>
      <c r="G17" s="17">
        <v>0.0</v>
      </c>
      <c r="H17" s="11"/>
      <c r="I17" s="11"/>
      <c r="J17" s="11"/>
      <c r="K17" s="11"/>
      <c r="L17" s="11"/>
      <c r="M17" s="11"/>
      <c r="N17" s="14">
        <f t="shared" si="7"/>
        <v>0</v>
      </c>
      <c r="O17" s="25">
        <f t="shared" si="8"/>
        <v>0</v>
      </c>
    </row>
    <row r="18">
      <c r="A18" s="18" t="s">
        <v>24</v>
      </c>
      <c r="B18" s="15">
        <f>153393</f>
        <v>153393</v>
      </c>
      <c r="C18" s="15">
        <v>195957.0</v>
      </c>
      <c r="D18" s="17">
        <v>169670.0</v>
      </c>
      <c r="E18" s="17">
        <v>158470.0</v>
      </c>
      <c r="F18" s="17">
        <f>194528</f>
        <v>194528</v>
      </c>
      <c r="G18" s="76">
        <f>(F18/F13)*G13</f>
        <v>176121.1708</v>
      </c>
      <c r="H18" s="11"/>
      <c r="I18" s="11"/>
      <c r="J18" s="17"/>
      <c r="K18" s="11"/>
      <c r="L18" s="11"/>
      <c r="M18" s="11"/>
      <c r="N18" s="14">
        <f t="shared" si="7"/>
        <v>1048139.171</v>
      </c>
      <c r="O18" s="25">
        <f t="shared" si="8"/>
        <v>0.1456242936</v>
      </c>
    </row>
    <row r="19">
      <c r="A19" s="18" t="s">
        <v>25</v>
      </c>
      <c r="B19" s="15">
        <f t="shared" ref="B19:E19" si="11">5767</f>
        <v>5767</v>
      </c>
      <c r="C19" s="15">
        <f t="shared" si="11"/>
        <v>5767</v>
      </c>
      <c r="D19" s="15">
        <f t="shared" si="11"/>
        <v>5767</v>
      </c>
      <c r="E19" s="15">
        <f t="shared" si="11"/>
        <v>5767</v>
      </c>
      <c r="F19" s="11">
        <f t="shared" ref="F19:M19" si="12">69207/12</f>
        <v>5767.25</v>
      </c>
      <c r="G19" s="11">
        <f t="shared" si="12"/>
        <v>5767.25</v>
      </c>
      <c r="H19" s="11">
        <f t="shared" si="12"/>
        <v>5767.25</v>
      </c>
      <c r="I19" s="11">
        <f t="shared" si="12"/>
        <v>5767.25</v>
      </c>
      <c r="J19" s="11">
        <f t="shared" si="12"/>
        <v>5767.25</v>
      </c>
      <c r="K19" s="11">
        <f t="shared" si="12"/>
        <v>5767.25</v>
      </c>
      <c r="L19" s="11">
        <f t="shared" si="12"/>
        <v>5767.25</v>
      </c>
      <c r="M19" s="11">
        <f t="shared" si="12"/>
        <v>5767.25</v>
      </c>
      <c r="N19" s="14">
        <f t="shared" si="7"/>
        <v>69206</v>
      </c>
      <c r="O19" s="25">
        <f t="shared" si="8"/>
        <v>0.009615206779</v>
      </c>
    </row>
    <row r="20">
      <c r="A20" s="20" t="s">
        <v>26</v>
      </c>
      <c r="B20" s="13">
        <f>3864+198355</f>
        <v>202219</v>
      </c>
      <c r="C20" s="11">
        <f>3500+835+220079</f>
        <v>224414</v>
      </c>
      <c r="D20" s="11">
        <f>3500+236180</f>
        <v>239680</v>
      </c>
      <c r="E20" s="17">
        <f>3300+222140.54</f>
        <v>225440.54</v>
      </c>
      <c r="F20" s="11">
        <f>210429+3300</f>
        <v>213729</v>
      </c>
      <c r="G20" s="11">
        <f>3300+216097.88</f>
        <v>219397.88</v>
      </c>
      <c r="H20" s="11"/>
      <c r="I20" s="11"/>
      <c r="J20" s="11"/>
      <c r="K20" s="11"/>
      <c r="L20" s="11"/>
      <c r="M20" s="11"/>
      <c r="N20" s="14">
        <f t="shared" si="7"/>
        <v>1324880.42</v>
      </c>
      <c r="O20" s="25">
        <f t="shared" si="8"/>
        <v>0.1840736236</v>
      </c>
    </row>
    <row r="21">
      <c r="A21" s="10" t="s">
        <v>27</v>
      </c>
      <c r="B21" s="15">
        <f t="shared" ref="B21:E21" si="13">3457+3115</f>
        <v>6572</v>
      </c>
      <c r="C21" s="15">
        <f t="shared" si="13"/>
        <v>6572</v>
      </c>
      <c r="D21" s="15">
        <f t="shared" si="13"/>
        <v>6572</v>
      </c>
      <c r="E21" s="17">
        <f t="shared" si="13"/>
        <v>6572</v>
      </c>
      <c r="F21" s="11">
        <f t="shared" ref="F21:G21" si="14">3115+3457</f>
        <v>6572</v>
      </c>
      <c r="G21" s="11">
        <f t="shared" si="14"/>
        <v>6572</v>
      </c>
      <c r="H21" s="11"/>
      <c r="I21" s="11"/>
      <c r="J21" s="11"/>
      <c r="K21" s="11"/>
      <c r="L21" s="11"/>
      <c r="M21" s="11"/>
      <c r="N21" s="14">
        <f t="shared" si="7"/>
        <v>39432</v>
      </c>
      <c r="O21" s="25">
        <f t="shared" si="8"/>
        <v>0.00547852547</v>
      </c>
    </row>
    <row r="22">
      <c r="A22" s="30" t="s">
        <v>28</v>
      </c>
      <c r="B22" s="13">
        <f t="shared" ref="B22:G22" si="15">2516.16/3+9813/12+7080/12</f>
        <v>2246.47</v>
      </c>
      <c r="C22" s="13">
        <f t="shared" si="15"/>
        <v>2246.47</v>
      </c>
      <c r="D22" s="13">
        <f t="shared" si="15"/>
        <v>2246.47</v>
      </c>
      <c r="E22" s="13">
        <f t="shared" si="15"/>
        <v>2246.47</v>
      </c>
      <c r="F22" s="13">
        <f t="shared" si="15"/>
        <v>2246.47</v>
      </c>
      <c r="G22" s="13">
        <f t="shared" si="15"/>
        <v>2246.47</v>
      </c>
      <c r="H22" s="11">
        <f t="shared" ref="H22:M22" si="16">9813/12</f>
        <v>817.75</v>
      </c>
      <c r="I22" s="11">
        <f t="shared" si="16"/>
        <v>817.75</v>
      </c>
      <c r="J22" s="11">
        <f t="shared" si="16"/>
        <v>817.75</v>
      </c>
      <c r="K22" s="11">
        <f t="shared" si="16"/>
        <v>817.75</v>
      </c>
      <c r="L22" s="11">
        <f t="shared" si="16"/>
        <v>817.75</v>
      </c>
      <c r="M22" s="11">
        <f t="shared" si="16"/>
        <v>817.75</v>
      </c>
      <c r="N22" s="14">
        <f t="shared" si="7"/>
        <v>18385.32</v>
      </c>
      <c r="O22" s="25">
        <f t="shared" si="8"/>
        <v>0.002554383341</v>
      </c>
    </row>
    <row r="23">
      <c r="A23" s="20" t="s">
        <v>29</v>
      </c>
      <c r="B23" s="80">
        <f>991</f>
        <v>991</v>
      </c>
      <c r="C23" s="17">
        <f t="shared" ref="C23:M23" si="17">1698</f>
        <v>1698</v>
      </c>
      <c r="D23" s="17">
        <f t="shared" si="17"/>
        <v>1698</v>
      </c>
      <c r="E23" s="17">
        <f t="shared" si="17"/>
        <v>1698</v>
      </c>
      <c r="F23" s="17">
        <f t="shared" si="17"/>
        <v>1698</v>
      </c>
      <c r="G23" s="17">
        <f t="shared" si="17"/>
        <v>1698</v>
      </c>
      <c r="H23" s="17">
        <f t="shared" si="17"/>
        <v>1698</v>
      </c>
      <c r="I23" s="17">
        <f t="shared" si="17"/>
        <v>1698</v>
      </c>
      <c r="J23" s="17">
        <f t="shared" si="17"/>
        <v>1698</v>
      </c>
      <c r="K23" s="17">
        <f t="shared" si="17"/>
        <v>1698</v>
      </c>
      <c r="L23" s="17">
        <f t="shared" si="17"/>
        <v>1698</v>
      </c>
      <c r="M23" s="17">
        <f t="shared" si="17"/>
        <v>1698</v>
      </c>
      <c r="N23" s="14">
        <f t="shared" si="7"/>
        <v>19669</v>
      </c>
      <c r="O23" s="25">
        <f t="shared" si="8"/>
        <v>0.002732732742</v>
      </c>
    </row>
    <row r="24">
      <c r="A24" s="18" t="s">
        <v>30</v>
      </c>
      <c r="B24" s="80">
        <v>2000.0</v>
      </c>
      <c r="C24" s="32">
        <v>1700.0</v>
      </c>
      <c r="D24" s="32">
        <v>800.0</v>
      </c>
      <c r="E24" s="32">
        <f>'Misc Exp'!I133</f>
        <v>800</v>
      </c>
      <c r="F24" s="17">
        <f>'Misc Exp'!I90</f>
        <v>255391</v>
      </c>
      <c r="G24" s="17">
        <f>'Misc Exp'!I43</f>
        <v>915</v>
      </c>
      <c r="H24" s="11"/>
      <c r="I24" s="17"/>
      <c r="J24" s="17"/>
      <c r="K24" s="17"/>
      <c r="L24" s="17"/>
      <c r="M24" s="17"/>
      <c r="N24" s="14">
        <f t="shared" si="7"/>
        <v>261606</v>
      </c>
      <c r="O24" s="25">
        <f t="shared" si="8"/>
        <v>0.03634649864</v>
      </c>
    </row>
    <row r="25">
      <c r="A25" s="18" t="s">
        <v>31</v>
      </c>
      <c r="B25" s="15">
        <v>6956.71</v>
      </c>
      <c r="C25" s="17">
        <v>22647.94</v>
      </c>
      <c r="D25" s="17">
        <v>7546.0</v>
      </c>
      <c r="E25" s="17">
        <f>'Misc Exp'!I126</f>
        <v>50446.81333</v>
      </c>
      <c r="F25" s="17">
        <f>'Misc Exp'!I84</f>
        <v>6669.46</v>
      </c>
      <c r="G25" s="17">
        <f>'Misc Exp'!I38</f>
        <v>19826.66</v>
      </c>
      <c r="H25" s="17"/>
      <c r="I25" s="17"/>
      <c r="J25" s="17"/>
      <c r="K25" s="17"/>
      <c r="L25" s="17"/>
      <c r="M25" s="17"/>
      <c r="N25" s="14">
        <f t="shared" si="7"/>
        <v>114093.5833</v>
      </c>
      <c r="O25" s="25">
        <f t="shared" si="8"/>
        <v>0.01585170933</v>
      </c>
    </row>
    <row r="26">
      <c r="A26" s="18" t="s">
        <v>32</v>
      </c>
      <c r="B26" s="15">
        <v>84370.0</v>
      </c>
      <c r="C26" s="17">
        <v>84370.0</v>
      </c>
      <c r="D26" s="17">
        <v>84370.0</v>
      </c>
      <c r="E26" s="17">
        <v>96617.0</v>
      </c>
      <c r="F26" s="17">
        <v>97026.0</v>
      </c>
      <c r="G26" s="17">
        <v>97026.0</v>
      </c>
      <c r="H26" s="11"/>
      <c r="I26" s="17"/>
      <c r="J26" s="17"/>
      <c r="K26" s="17"/>
      <c r="L26" s="17"/>
      <c r="M26" s="17"/>
      <c r="N26" s="14">
        <f t="shared" si="7"/>
        <v>543779</v>
      </c>
      <c r="O26" s="25">
        <f t="shared" si="8"/>
        <v>0.07555049457</v>
      </c>
    </row>
    <row r="27">
      <c r="A27" s="18" t="s">
        <v>33</v>
      </c>
      <c r="B27" s="13">
        <f>HO!D32</f>
        <v>234641.4181</v>
      </c>
      <c r="C27" s="11">
        <f>HO!H32</f>
        <v>281780.4893</v>
      </c>
      <c r="D27" s="11">
        <f>HO!L32</f>
        <v>255668.9509</v>
      </c>
      <c r="E27" s="11">
        <f>HO!P32</f>
        <v>239187.9794</v>
      </c>
      <c r="F27" s="11">
        <f>HO!D51</f>
        <v>264581.2071</v>
      </c>
      <c r="G27" s="11">
        <f>HO!H51</f>
        <v>270321.4991</v>
      </c>
      <c r="H27" s="11" t="str">
        <f>HO!L51</f>
        <v>#DIV/0!</v>
      </c>
      <c r="I27" s="11" t="str">
        <f>HO!P51</f>
        <v>#DIV/0!</v>
      </c>
      <c r="J27" s="11" t="str">
        <f>HO!D70</f>
        <v>#DIV/0!</v>
      </c>
      <c r="K27" s="11" t="str">
        <f>HO!H70</f>
        <v>#DIV/0!</v>
      </c>
      <c r="L27" s="11" t="str">
        <f>HO!L70</f>
        <v>#DIV/0!</v>
      </c>
      <c r="M27" s="11" t="str">
        <f>HO!P70</f>
        <v>#DIV/0!</v>
      </c>
      <c r="N27" s="14" t="str">
        <f t="shared" si="7"/>
        <v>#DIV/0!</v>
      </c>
      <c r="O27" s="25" t="str">
        <f t="shared" si="8"/>
        <v>#DIV/0!</v>
      </c>
    </row>
    <row r="28">
      <c r="A28" s="35" t="s">
        <v>34</v>
      </c>
      <c r="B28" s="36">
        <f t="shared" ref="B28:M28" si="18">+SUM(B14:B27)</f>
        <v>1044448.668</v>
      </c>
      <c r="C28" s="36">
        <f t="shared" si="18"/>
        <v>1238471.119</v>
      </c>
      <c r="D28" s="36">
        <f t="shared" si="18"/>
        <v>1164040.051</v>
      </c>
      <c r="E28" s="36">
        <f t="shared" si="18"/>
        <v>1167114.623</v>
      </c>
      <c r="F28" s="48">
        <f t="shared" si="18"/>
        <v>1484076.177</v>
      </c>
      <c r="G28" s="36">
        <f t="shared" si="18"/>
        <v>1188595.98</v>
      </c>
      <c r="H28" s="36" t="str">
        <f t="shared" si="18"/>
        <v>#DIV/0!</v>
      </c>
      <c r="I28" s="36" t="str">
        <f t="shared" si="18"/>
        <v>#DIV/0!</v>
      </c>
      <c r="J28" s="36" t="str">
        <f t="shared" si="18"/>
        <v>#DIV/0!</v>
      </c>
      <c r="K28" s="36" t="str">
        <f t="shared" si="18"/>
        <v>#DIV/0!</v>
      </c>
      <c r="L28" s="36" t="str">
        <f t="shared" si="18"/>
        <v>#DIV/0!</v>
      </c>
      <c r="M28" s="36" t="str">
        <f t="shared" si="18"/>
        <v>#DIV/0!</v>
      </c>
      <c r="N28" s="36" t="str">
        <f t="shared" si="7"/>
        <v>#DIV/0!</v>
      </c>
      <c r="O28" s="37" t="str">
        <f t="shared" si="8"/>
        <v>#DIV/0!</v>
      </c>
    </row>
    <row r="29">
      <c r="A29" s="38" t="s">
        <v>35</v>
      </c>
      <c r="B29" s="39">
        <f t="shared" ref="B29:M29" si="19">B13-B28</f>
        <v>12362.10673</v>
      </c>
      <c r="C29" s="39">
        <f t="shared" si="19"/>
        <v>102788.4285</v>
      </c>
      <c r="D29" s="39">
        <f t="shared" si="19"/>
        <v>2812.942058</v>
      </c>
      <c r="E29" s="39">
        <f t="shared" si="19"/>
        <v>-73646.24517</v>
      </c>
      <c r="F29" s="39">
        <f t="shared" si="19"/>
        <v>-151444.6461</v>
      </c>
      <c r="G29" s="39">
        <f t="shared" si="19"/>
        <v>17937.91477</v>
      </c>
      <c r="H29" s="39" t="str">
        <f t="shared" si="19"/>
        <v>#DIV/0!</v>
      </c>
      <c r="I29" s="39" t="str">
        <f t="shared" si="19"/>
        <v>#DIV/0!</v>
      </c>
      <c r="J29" s="39" t="str">
        <f t="shared" si="19"/>
        <v>#DIV/0!</v>
      </c>
      <c r="K29" s="39" t="str">
        <f t="shared" si="19"/>
        <v>#DIV/0!</v>
      </c>
      <c r="L29" s="39" t="str">
        <f t="shared" si="19"/>
        <v>#DIV/0!</v>
      </c>
      <c r="M29" s="39" t="str">
        <f t="shared" si="19"/>
        <v>#DIV/0!</v>
      </c>
      <c r="N29" s="39" t="str">
        <f t="shared" si="7"/>
        <v>#DIV/0!</v>
      </c>
      <c r="O29" s="40" t="str">
        <f t="shared" si="8"/>
        <v>#DIV/0!</v>
      </c>
    </row>
    <row r="30">
      <c r="A30" s="41" t="s">
        <v>36</v>
      </c>
      <c r="B30" s="42">
        <f t="shared" ref="B30:M30" si="20">(B14/B13)</f>
        <v>0.2735156159</v>
      </c>
      <c r="C30" s="42">
        <f t="shared" si="20"/>
        <v>0.2564875684</v>
      </c>
      <c r="D30" s="42">
        <f t="shared" si="20"/>
        <v>0.2813514744</v>
      </c>
      <c r="E30" s="42">
        <f t="shared" si="20"/>
        <v>0.2902735978</v>
      </c>
      <c r="F30" s="43">
        <f t="shared" si="20"/>
        <v>0.2782149164</v>
      </c>
      <c r="G30" s="42">
        <f t="shared" si="20"/>
        <v>0.2698235263</v>
      </c>
      <c r="H30" s="42" t="str">
        <f t="shared" si="20"/>
        <v>#DIV/0!</v>
      </c>
      <c r="I30" s="42" t="str">
        <f t="shared" si="20"/>
        <v>#DIV/0!</v>
      </c>
      <c r="J30" s="42" t="str">
        <f t="shared" si="20"/>
        <v>#DIV/0!</v>
      </c>
      <c r="K30" s="42" t="str">
        <f t="shared" si="20"/>
        <v>#DIV/0!</v>
      </c>
      <c r="L30" s="42" t="str">
        <f t="shared" si="20"/>
        <v>#DIV/0!</v>
      </c>
      <c r="M30" s="42" t="str">
        <f t="shared" si="20"/>
        <v>#DIV/0!</v>
      </c>
      <c r="N30" s="44"/>
      <c r="O30" s="44"/>
    </row>
    <row r="32"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81"/>
    </row>
    <row r="33">
      <c r="A33" s="46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</row>
    <row r="34">
      <c r="A34" s="46"/>
      <c r="B34" s="47"/>
      <c r="C34" s="47"/>
      <c r="D34" s="47"/>
      <c r="E34" s="47"/>
    </row>
    <row r="35">
      <c r="A35" s="6"/>
      <c r="B35" s="47"/>
      <c r="C35" s="47"/>
      <c r="D35" s="47"/>
      <c r="E35" s="47"/>
    </row>
    <row r="36">
      <c r="A36" s="46"/>
      <c r="B36" s="47"/>
      <c r="C36" s="47"/>
      <c r="D36" s="47"/>
      <c r="E36" s="47"/>
    </row>
  </sheetData>
  <mergeCells count="1">
    <mergeCell ref="N1:O1"/>
  </mergeCells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</cols>
  <sheetData>
    <row r="1">
      <c r="A1" s="1" t="s">
        <v>46</v>
      </c>
      <c r="B1" s="3">
        <f>Summary!C1</f>
        <v>46113</v>
      </c>
      <c r="C1" s="3">
        <f>Summary!D1</f>
        <v>46143</v>
      </c>
      <c r="D1" s="3">
        <f>Summary!E1</f>
        <v>46174</v>
      </c>
      <c r="E1" s="3">
        <f>Summary!F1</f>
        <v>46204</v>
      </c>
      <c r="F1" s="3">
        <f>Summary!G1</f>
        <v>46235</v>
      </c>
      <c r="G1" s="3">
        <f>Summary!H1</f>
        <v>46266</v>
      </c>
      <c r="H1" s="3">
        <f>Summary!I1</f>
        <v>46296</v>
      </c>
      <c r="I1" s="3">
        <f>Summary!J1</f>
        <v>46327</v>
      </c>
      <c r="J1" s="3">
        <f>Summary!K1</f>
        <v>46357</v>
      </c>
      <c r="K1" s="3">
        <f>Summary!L1</f>
        <v>46388</v>
      </c>
      <c r="L1" s="3">
        <f>Summary!M1</f>
        <v>46419</v>
      </c>
      <c r="M1" s="3">
        <f>Summary!N1</f>
        <v>46447</v>
      </c>
      <c r="N1" s="4" t="s">
        <v>5</v>
      </c>
      <c r="O1" s="5"/>
    </row>
    <row r="2">
      <c r="A2" s="7" t="s">
        <v>6</v>
      </c>
      <c r="B2" s="8"/>
      <c r="C2" s="8"/>
      <c r="D2" s="8"/>
      <c r="E2" s="8"/>
      <c r="F2" s="9"/>
      <c r="G2" s="8"/>
      <c r="H2" s="8"/>
      <c r="I2" s="8"/>
      <c r="J2" s="8"/>
      <c r="K2" s="8"/>
      <c r="L2" s="8"/>
      <c r="M2" s="8"/>
      <c r="N2" s="8"/>
      <c r="O2" s="8"/>
    </row>
    <row r="3">
      <c r="A3" s="10" t="s">
        <v>7</v>
      </c>
      <c r="B3" s="72">
        <v>34826.0</v>
      </c>
      <c r="C3" s="11">
        <f t="shared" ref="C3:M3" si="1">B7</f>
        <v>40407.74</v>
      </c>
      <c r="D3" s="11">
        <f t="shared" si="1"/>
        <v>41084.72</v>
      </c>
      <c r="E3" s="11">
        <f t="shared" si="1"/>
        <v>44677.69</v>
      </c>
      <c r="F3" s="11">
        <f t="shared" si="1"/>
        <v>35601</v>
      </c>
      <c r="G3" s="11">
        <f t="shared" si="1"/>
        <v>29069.5</v>
      </c>
      <c r="H3" s="11">
        <f t="shared" si="1"/>
        <v>29112</v>
      </c>
      <c r="I3" s="11" t="str">
        <f t="shared" si="1"/>
        <v/>
      </c>
      <c r="J3" s="11" t="str">
        <f t="shared" si="1"/>
        <v/>
      </c>
      <c r="K3" s="11" t="str">
        <f t="shared" si="1"/>
        <v/>
      </c>
      <c r="L3" s="11" t="str">
        <f t="shared" si="1"/>
        <v/>
      </c>
      <c r="M3" s="11" t="str">
        <f t="shared" si="1"/>
        <v/>
      </c>
      <c r="N3" s="14">
        <f>+SUM(J3:L3)</f>
        <v>0</v>
      </c>
      <c r="O3" s="16"/>
    </row>
    <row r="4">
      <c r="A4" s="10" t="s">
        <v>9</v>
      </c>
      <c r="B4" s="17">
        <v>358980.56</v>
      </c>
      <c r="C4" s="17">
        <v>403701.0</v>
      </c>
      <c r="D4" s="17">
        <v>398780.0</v>
      </c>
      <c r="E4" s="17">
        <v>431006.0</v>
      </c>
      <c r="F4" s="17">
        <v>452253.79</v>
      </c>
      <c r="G4" s="17">
        <v>436470.58</v>
      </c>
      <c r="H4" s="11"/>
      <c r="I4" s="17"/>
      <c r="J4" s="17"/>
      <c r="K4" s="11"/>
      <c r="L4" s="17"/>
      <c r="M4" s="17"/>
      <c r="N4" s="14">
        <f>sum(B4:M4)</f>
        <v>2481191.93</v>
      </c>
      <c r="O4" s="16"/>
    </row>
    <row r="5">
      <c r="A5" s="10" t="s">
        <v>10</v>
      </c>
      <c r="B5" s="17">
        <v>305.14</v>
      </c>
      <c r="C5" s="17">
        <v>-232.42</v>
      </c>
      <c r="D5" s="17">
        <v>0.0</v>
      </c>
      <c r="E5" s="17">
        <v>617.0</v>
      </c>
      <c r="F5" s="17">
        <v>127.66</v>
      </c>
      <c r="G5" s="17">
        <v>1840.43</v>
      </c>
      <c r="H5" s="17"/>
      <c r="I5" s="17"/>
      <c r="J5" s="17"/>
      <c r="K5" s="17"/>
      <c r="L5" s="17"/>
      <c r="M5" s="17"/>
      <c r="N5" s="14">
        <f t="shared" ref="N5:N6" si="2">+SUM(J5:L5)</f>
        <v>0</v>
      </c>
      <c r="O5" s="16"/>
    </row>
    <row r="6">
      <c r="A6" s="10" t="s">
        <v>11</v>
      </c>
      <c r="B6" s="17">
        <v>13917.07</v>
      </c>
      <c r="C6" s="17">
        <v>15769.19</v>
      </c>
      <c r="D6" s="17">
        <v>16562.0</v>
      </c>
      <c r="E6" s="17">
        <v>15466.0</v>
      </c>
      <c r="F6" s="17">
        <v>28717.49</v>
      </c>
      <c r="G6" s="17">
        <v>30067.0</v>
      </c>
      <c r="H6" s="17"/>
      <c r="I6" s="17"/>
      <c r="J6" s="17"/>
      <c r="K6" s="17"/>
      <c r="L6" s="17"/>
      <c r="M6" s="17"/>
      <c r="N6" s="14">
        <f t="shared" si="2"/>
        <v>0</v>
      </c>
      <c r="O6" s="16"/>
    </row>
    <row r="7">
      <c r="A7" s="10" t="s">
        <v>12</v>
      </c>
      <c r="B7" s="17">
        <v>40407.74</v>
      </c>
      <c r="C7" s="17">
        <v>41084.72</v>
      </c>
      <c r="D7" s="17">
        <v>44677.69</v>
      </c>
      <c r="E7" s="17">
        <v>35601.0</v>
      </c>
      <c r="F7" s="17">
        <v>29069.5</v>
      </c>
      <c r="G7" s="17">
        <v>29112.0</v>
      </c>
      <c r="H7" s="17"/>
      <c r="I7" s="17"/>
      <c r="J7" s="17"/>
      <c r="K7" s="17"/>
      <c r="L7" s="17"/>
      <c r="M7" s="17"/>
      <c r="N7" s="14">
        <f>sum(B7:M7)</f>
        <v>219952.65</v>
      </c>
      <c r="O7" s="16"/>
    </row>
    <row r="8">
      <c r="A8" s="8"/>
      <c r="B8" s="8"/>
      <c r="C8" s="8"/>
      <c r="D8" s="8"/>
      <c r="E8" s="8"/>
      <c r="F8" s="9"/>
      <c r="G8" s="8"/>
      <c r="H8" s="8"/>
      <c r="I8" s="8"/>
      <c r="J8" s="8"/>
      <c r="K8" s="8"/>
      <c r="L8" s="8"/>
      <c r="M8" s="8"/>
      <c r="N8" s="8"/>
      <c r="O8" s="8"/>
    </row>
    <row r="9">
      <c r="A9" s="18" t="s">
        <v>13</v>
      </c>
      <c r="B9" s="11">
        <f>1334894.42*1.05+35530.65*1.05</f>
        <v>1438946.324</v>
      </c>
      <c r="C9" s="11">
        <f>1530373.97*1.05+36488.76*1.05</f>
        <v>1645205.867</v>
      </c>
      <c r="D9" s="11">
        <f>1479924.29*1.05+36035.99*1.05</f>
        <v>1591758.294</v>
      </c>
      <c r="E9" s="11">
        <f>1592393.33*1.05+39546.44*1.05</f>
        <v>1713536.759</v>
      </c>
      <c r="F9" s="11">
        <f>1811478.97*1.05</f>
        <v>1902052.919</v>
      </c>
      <c r="G9" s="11">
        <f>1653240.94*1.05+45232.07*1.05</f>
        <v>1783396.661</v>
      </c>
      <c r="H9" s="11"/>
      <c r="I9" s="11"/>
      <c r="J9" s="11"/>
      <c r="K9" s="11"/>
      <c r="L9" s="11"/>
      <c r="M9" s="11"/>
      <c r="N9" s="14">
        <f t="shared" ref="N9:N12" si="3">+SUM(B9:M9)</f>
        <v>10074896.82</v>
      </c>
      <c r="O9" s="16"/>
    </row>
    <row r="10">
      <c r="A10" s="18" t="s">
        <v>14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4">
        <f t="shared" si="3"/>
        <v>0</v>
      </c>
      <c r="O10" s="16"/>
    </row>
    <row r="11">
      <c r="A11" s="18" t="s">
        <v>15</v>
      </c>
      <c r="B11" s="11">
        <f t="shared" ref="B11:M11" si="4">(B9+B10)/1.05*0.05</f>
        <v>68521.2535</v>
      </c>
      <c r="C11" s="11">
        <f t="shared" si="4"/>
        <v>78343.1365</v>
      </c>
      <c r="D11" s="11">
        <f t="shared" si="4"/>
        <v>75798.014</v>
      </c>
      <c r="E11" s="11">
        <f t="shared" si="4"/>
        <v>81596.9885</v>
      </c>
      <c r="F11" s="11">
        <f t="shared" si="4"/>
        <v>90573.9485</v>
      </c>
      <c r="G11" s="11">
        <f t="shared" si="4"/>
        <v>84923.6505</v>
      </c>
      <c r="H11" s="11">
        <f t="shared" si="4"/>
        <v>0</v>
      </c>
      <c r="I11" s="11">
        <f t="shared" si="4"/>
        <v>0</v>
      </c>
      <c r="J11" s="11">
        <f t="shared" si="4"/>
        <v>0</v>
      </c>
      <c r="K11" s="11">
        <f t="shared" si="4"/>
        <v>0</v>
      </c>
      <c r="L11" s="11">
        <f t="shared" si="4"/>
        <v>0</v>
      </c>
      <c r="M11" s="11">
        <f t="shared" si="4"/>
        <v>0</v>
      </c>
      <c r="N11" s="14">
        <f t="shared" si="3"/>
        <v>479756.9915</v>
      </c>
      <c r="O11" s="16"/>
    </row>
    <row r="12">
      <c r="A12" s="18" t="s">
        <v>16</v>
      </c>
      <c r="B12" s="11">
        <f>82836.46*1.18+44469.12*1.18+9617.35*1.18+1608.62*1.18+98.86*1.18</f>
        <v>163583.8838</v>
      </c>
      <c r="C12" s="11">
        <f>84885.15*1.18+52884.98*1.18+99.54*1.18+1317.38*1.18+21476.38*1.18</f>
        <v>189582.8474</v>
      </c>
      <c r="D12" s="11">
        <f>1874.42*1.18+66764.41*1.05+713.6*1.18+21.15*1.18+5.67*1.18+84678.35*1.18</f>
        <v>173108.5947</v>
      </c>
      <c r="E12" s="11">
        <f>91896.72*1.18+913.55*1.18+79263*1.18</f>
        <v>203046.4586</v>
      </c>
      <c r="F12" s="11">
        <f>101776.34*1.18+88147.52*1.18+2030.85*1.18</f>
        <v>226506.5578</v>
      </c>
      <c r="G12" s="11">
        <f>105047.39*1.18+83113.41*1.18+403.12*1.18+10.35*1.18</f>
        <v>222517.6386</v>
      </c>
      <c r="H12" s="11"/>
      <c r="I12" s="11"/>
      <c r="J12" s="11"/>
      <c r="K12" s="11"/>
      <c r="L12" s="11"/>
      <c r="M12" s="11"/>
      <c r="N12" s="14">
        <f t="shared" si="3"/>
        <v>1178345.981</v>
      </c>
      <c r="O12" s="16"/>
    </row>
    <row r="13">
      <c r="A13" s="19" t="s">
        <v>17</v>
      </c>
      <c r="B13" s="21">
        <f t="shared" ref="B13:M13" si="5">B9+B10-B11-B12</f>
        <v>1206841.186</v>
      </c>
      <c r="C13" s="21">
        <f t="shared" si="5"/>
        <v>1377279.883</v>
      </c>
      <c r="D13" s="21">
        <f t="shared" si="5"/>
        <v>1342851.685</v>
      </c>
      <c r="E13" s="21">
        <f t="shared" si="5"/>
        <v>1428893.311</v>
      </c>
      <c r="F13" s="22">
        <f t="shared" si="5"/>
        <v>1584972.412</v>
      </c>
      <c r="G13" s="22">
        <f t="shared" si="5"/>
        <v>1475955.371</v>
      </c>
      <c r="H13" s="21">
        <f t="shared" si="5"/>
        <v>0</v>
      </c>
      <c r="I13" s="21">
        <f t="shared" si="5"/>
        <v>0</v>
      </c>
      <c r="J13" s="21">
        <f t="shared" si="5"/>
        <v>0</v>
      </c>
      <c r="K13" s="21">
        <f t="shared" si="5"/>
        <v>0</v>
      </c>
      <c r="L13" s="21">
        <f t="shared" si="5"/>
        <v>0</v>
      </c>
      <c r="M13" s="21">
        <f t="shared" si="5"/>
        <v>0</v>
      </c>
      <c r="N13" s="21">
        <f t="shared" ref="N13:N29" si="7">sum(B13:M13)</f>
        <v>8416793.849</v>
      </c>
      <c r="O13" s="23"/>
    </row>
    <row r="14">
      <c r="A14" s="18" t="s">
        <v>20</v>
      </c>
      <c r="B14" s="24">
        <f t="shared" ref="B14:M14" si="6">+B3+B4-B5-B7</f>
        <v>353093.68</v>
      </c>
      <c r="C14" s="24">
        <f t="shared" si="6"/>
        <v>403256.44</v>
      </c>
      <c r="D14" s="24">
        <f t="shared" si="6"/>
        <v>395187.03</v>
      </c>
      <c r="E14" s="24">
        <f t="shared" si="6"/>
        <v>439465.69</v>
      </c>
      <c r="F14" s="24">
        <f t="shared" si="6"/>
        <v>458657.63</v>
      </c>
      <c r="G14" s="24">
        <f t="shared" si="6"/>
        <v>434587.65</v>
      </c>
      <c r="H14" s="24">
        <f t="shared" si="6"/>
        <v>29112</v>
      </c>
      <c r="I14" s="24">
        <f t="shared" si="6"/>
        <v>0</v>
      </c>
      <c r="J14" s="24">
        <f t="shared" si="6"/>
        <v>0</v>
      </c>
      <c r="K14" s="24">
        <f t="shared" si="6"/>
        <v>0</v>
      </c>
      <c r="L14" s="24">
        <f t="shared" si="6"/>
        <v>0</v>
      </c>
      <c r="M14" s="24">
        <f t="shared" si="6"/>
        <v>0</v>
      </c>
      <c r="N14" s="14">
        <f t="shared" si="7"/>
        <v>2513360.12</v>
      </c>
      <c r="O14" s="25">
        <f t="shared" ref="O14:O29" si="8">N14/$N$13</f>
        <v>0.2986125317</v>
      </c>
    </row>
    <row r="15">
      <c r="A15" s="18" t="s">
        <v>21</v>
      </c>
      <c r="B15" s="73">
        <v>59120.0</v>
      </c>
      <c r="C15" s="73">
        <v>70800.0</v>
      </c>
      <c r="D15" s="17">
        <v>70820.0</v>
      </c>
      <c r="E15" s="17">
        <v>68740.0</v>
      </c>
      <c r="F15" s="17">
        <f>69480</f>
        <v>69480</v>
      </c>
      <c r="G15" s="26">
        <v>69000.0</v>
      </c>
      <c r="H15" s="17"/>
      <c r="I15" s="17"/>
      <c r="J15" s="17"/>
      <c r="K15" s="11"/>
      <c r="L15" s="17"/>
      <c r="M15" s="11"/>
      <c r="N15" s="14">
        <f t="shared" si="7"/>
        <v>407960</v>
      </c>
      <c r="O15" s="25">
        <f t="shared" si="8"/>
        <v>0.04846976263</v>
      </c>
    </row>
    <row r="16">
      <c r="A16" s="18" t="s">
        <v>22</v>
      </c>
      <c r="B16" s="11">
        <f t="shared" ref="B16:G16" si="9">352.82</f>
        <v>352.82</v>
      </c>
      <c r="C16" s="11">
        <f t="shared" si="9"/>
        <v>352.82</v>
      </c>
      <c r="D16" s="11">
        <f t="shared" si="9"/>
        <v>352.82</v>
      </c>
      <c r="E16" s="11">
        <f t="shared" si="9"/>
        <v>352.82</v>
      </c>
      <c r="F16" s="11">
        <f t="shared" si="9"/>
        <v>352.82</v>
      </c>
      <c r="G16" s="11">
        <f t="shared" si="9"/>
        <v>352.82</v>
      </c>
      <c r="H16" s="11"/>
      <c r="I16" s="11"/>
      <c r="J16" s="11"/>
      <c r="K16" s="11"/>
      <c r="L16" s="11"/>
      <c r="M16" s="11"/>
      <c r="N16" s="14">
        <f t="shared" si="7"/>
        <v>2116.92</v>
      </c>
      <c r="O16" s="25">
        <f t="shared" si="8"/>
        <v>0.000251511447</v>
      </c>
    </row>
    <row r="17">
      <c r="A17" s="18" t="s">
        <v>23</v>
      </c>
      <c r="B17" s="11">
        <f>8832+15456</f>
        <v>24288</v>
      </c>
      <c r="C17" s="17">
        <f>22414+22414+25616</f>
        <v>70444</v>
      </c>
      <c r="D17" s="17">
        <v>68365.0</v>
      </c>
      <c r="E17" s="17">
        <v>70875.0</v>
      </c>
      <c r="F17" s="11">
        <f>67141</f>
        <v>67141</v>
      </c>
      <c r="G17" s="17">
        <f>61798</f>
        <v>61798</v>
      </c>
      <c r="H17" s="17"/>
      <c r="I17" s="17"/>
      <c r="J17" s="17"/>
      <c r="K17" s="17"/>
      <c r="L17" s="11"/>
      <c r="M17" s="11"/>
      <c r="N17" s="14">
        <f t="shared" si="7"/>
        <v>362911</v>
      </c>
      <c r="O17" s="25">
        <f t="shared" si="8"/>
        <v>0.04311748707</v>
      </c>
    </row>
    <row r="18">
      <c r="A18" s="18" t="s">
        <v>24</v>
      </c>
      <c r="B18" s="11">
        <f t="shared" ref="B18:F18" si="10">159536</f>
        <v>159536</v>
      </c>
      <c r="C18" s="11">
        <f t="shared" si="10"/>
        <v>159536</v>
      </c>
      <c r="D18" s="11">
        <f t="shared" si="10"/>
        <v>159536</v>
      </c>
      <c r="E18" s="11">
        <f t="shared" si="10"/>
        <v>159536</v>
      </c>
      <c r="F18" s="11">
        <f t="shared" si="10"/>
        <v>159536</v>
      </c>
      <c r="G18" s="17">
        <v>165917.0</v>
      </c>
      <c r="H18" s="11"/>
      <c r="I18" s="17"/>
      <c r="J18" s="17"/>
      <c r="K18" s="17"/>
      <c r="L18" s="17"/>
      <c r="M18" s="17"/>
      <c r="N18" s="14">
        <f t="shared" si="7"/>
        <v>963597</v>
      </c>
      <c r="O18" s="25">
        <f t="shared" si="8"/>
        <v>0.1144850423</v>
      </c>
    </row>
    <row r="19">
      <c r="A19" s="18" t="s">
        <v>25</v>
      </c>
      <c r="B19" s="17">
        <v>6352.0</v>
      </c>
      <c r="C19" s="17">
        <v>6352.0</v>
      </c>
      <c r="D19" s="17">
        <v>6352.0</v>
      </c>
      <c r="E19" s="17">
        <v>6352.0</v>
      </c>
      <c r="F19" s="17">
        <v>6352.0</v>
      </c>
      <c r="G19" s="17">
        <v>6352.0</v>
      </c>
      <c r="H19" s="17"/>
      <c r="I19" s="17"/>
      <c r="J19" s="17"/>
      <c r="K19" s="17"/>
      <c r="L19" s="17"/>
      <c r="M19" s="17"/>
      <c r="N19" s="14">
        <f t="shared" si="7"/>
        <v>38112</v>
      </c>
      <c r="O19" s="25">
        <f t="shared" si="8"/>
        <v>0.004528089993</v>
      </c>
    </row>
    <row r="20">
      <c r="A20" s="20" t="s">
        <v>42</v>
      </c>
      <c r="B20" s="11">
        <f>3100+170797</f>
        <v>173897</v>
      </c>
      <c r="C20" s="11">
        <f>3100+600+187387</f>
        <v>191087</v>
      </c>
      <c r="D20" s="11">
        <f>3100+200860.85</f>
        <v>203960.85</v>
      </c>
      <c r="E20" s="11">
        <f>3300+202123.84</f>
        <v>205423.84</v>
      </c>
      <c r="F20" s="11">
        <f>185779+3300</f>
        <v>189079</v>
      </c>
      <c r="G20" s="11">
        <f>3300+211917</f>
        <v>215217</v>
      </c>
      <c r="H20" s="11"/>
      <c r="I20" s="11"/>
      <c r="J20" s="11"/>
      <c r="K20" s="11"/>
      <c r="L20" s="11"/>
      <c r="M20" s="11"/>
      <c r="N20" s="14">
        <f t="shared" si="7"/>
        <v>1178664.69</v>
      </c>
      <c r="O20" s="25">
        <f t="shared" si="8"/>
        <v>0.140037253</v>
      </c>
    </row>
    <row r="21">
      <c r="A21" s="10" t="s">
        <v>27</v>
      </c>
      <c r="B21" s="17">
        <f t="shared" ref="B21:C21" si="11">2360+2560+2478</f>
        <v>7398</v>
      </c>
      <c r="C21" s="17">
        <f t="shared" si="11"/>
        <v>7398</v>
      </c>
      <c r="D21" s="11">
        <f>1200+2596+2726+1200</f>
        <v>7722</v>
      </c>
      <c r="E21" s="11">
        <f>2360+2596+2726+3000</f>
        <v>10682</v>
      </c>
      <c r="F21" s="11">
        <f t="shared" ref="F21:G21" si="12">2100+2596+2726+2360</f>
        <v>9782</v>
      </c>
      <c r="G21" s="11">
        <f t="shared" si="12"/>
        <v>9782</v>
      </c>
      <c r="H21" s="11"/>
      <c r="I21" s="11"/>
      <c r="J21" s="11"/>
      <c r="K21" s="11"/>
      <c r="L21" s="11"/>
      <c r="M21" s="11"/>
      <c r="N21" s="14">
        <f t="shared" si="7"/>
        <v>52764</v>
      </c>
      <c r="O21" s="25">
        <f t="shared" si="8"/>
        <v>0.006268895371</v>
      </c>
    </row>
    <row r="22">
      <c r="A22" s="30" t="s">
        <v>28</v>
      </c>
      <c r="B22" s="11">
        <f t="shared" ref="B22:G22" si="13">2516.16/3+9000/3+9813/12+7080/12</f>
        <v>5246.47</v>
      </c>
      <c r="C22" s="11">
        <f t="shared" si="13"/>
        <v>5246.47</v>
      </c>
      <c r="D22" s="11">
        <f t="shared" si="13"/>
        <v>5246.47</v>
      </c>
      <c r="E22" s="11">
        <f t="shared" si="13"/>
        <v>5246.47</v>
      </c>
      <c r="F22" s="11">
        <f t="shared" si="13"/>
        <v>5246.47</v>
      </c>
      <c r="G22" s="11">
        <f t="shared" si="13"/>
        <v>5246.47</v>
      </c>
      <c r="H22" s="11">
        <f t="shared" ref="H22:M22" si="14">9813/12</f>
        <v>817.75</v>
      </c>
      <c r="I22" s="11">
        <f t="shared" si="14"/>
        <v>817.75</v>
      </c>
      <c r="J22" s="11">
        <f t="shared" si="14"/>
        <v>817.75</v>
      </c>
      <c r="K22" s="11">
        <f t="shared" si="14"/>
        <v>817.75</v>
      </c>
      <c r="L22" s="11">
        <f t="shared" si="14"/>
        <v>817.75</v>
      </c>
      <c r="M22" s="11">
        <f t="shared" si="14"/>
        <v>817.75</v>
      </c>
      <c r="N22" s="14">
        <f t="shared" si="7"/>
        <v>36385.32</v>
      </c>
      <c r="O22" s="25">
        <f t="shared" si="8"/>
        <v>0.004322942994</v>
      </c>
    </row>
    <row r="23">
      <c r="A23" s="20" t="s">
        <v>29</v>
      </c>
      <c r="B23" s="32">
        <v>1078.0</v>
      </c>
      <c r="C23" s="17">
        <f t="shared" ref="C23:M23" si="15">1698</f>
        <v>1698</v>
      </c>
      <c r="D23" s="17">
        <f t="shared" si="15"/>
        <v>1698</v>
      </c>
      <c r="E23" s="17">
        <f t="shared" si="15"/>
        <v>1698</v>
      </c>
      <c r="F23" s="17">
        <f t="shared" si="15"/>
        <v>1698</v>
      </c>
      <c r="G23" s="17">
        <f t="shared" si="15"/>
        <v>1698</v>
      </c>
      <c r="H23" s="17">
        <f t="shared" si="15"/>
        <v>1698</v>
      </c>
      <c r="I23" s="17">
        <f t="shared" si="15"/>
        <v>1698</v>
      </c>
      <c r="J23" s="17">
        <f t="shared" si="15"/>
        <v>1698</v>
      </c>
      <c r="K23" s="17">
        <f t="shared" si="15"/>
        <v>1698</v>
      </c>
      <c r="L23" s="17">
        <f t="shared" si="15"/>
        <v>1698</v>
      </c>
      <c r="M23" s="17">
        <f t="shared" si="15"/>
        <v>1698</v>
      </c>
      <c r="N23" s="14">
        <f t="shared" si="7"/>
        <v>19756</v>
      </c>
      <c r="O23" s="25">
        <f t="shared" si="8"/>
        <v>0.002347212057</v>
      </c>
    </row>
    <row r="24">
      <c r="A24" s="18" t="s">
        <v>30</v>
      </c>
      <c r="B24" s="32">
        <v>1046.0</v>
      </c>
      <c r="C24" s="32">
        <v>983.0</v>
      </c>
      <c r="D24" s="32">
        <v>10416.0</v>
      </c>
      <c r="E24" s="34">
        <f>'Misc Exp'!J133</f>
        <v>29651</v>
      </c>
      <c r="F24" s="34">
        <f>'Misc Exp'!J90</f>
        <v>17949</v>
      </c>
      <c r="G24" s="34">
        <f>'Misc Exp'!J43</f>
        <v>4112</v>
      </c>
      <c r="H24" s="34"/>
      <c r="I24" s="34"/>
      <c r="J24" s="34"/>
      <c r="K24" s="34"/>
      <c r="L24" s="34"/>
      <c r="M24" s="34"/>
      <c r="N24" s="14">
        <f t="shared" si="7"/>
        <v>64157</v>
      </c>
      <c r="O24" s="25">
        <f t="shared" si="8"/>
        <v>0.007622498679</v>
      </c>
    </row>
    <row r="25">
      <c r="A25" s="18" t="s">
        <v>31</v>
      </c>
      <c r="B25" s="17">
        <v>11363.71</v>
      </c>
      <c r="C25" s="17">
        <f>29914.19</f>
        <v>29914.19</v>
      </c>
      <c r="D25" s="17">
        <v>9923.9</v>
      </c>
      <c r="E25" s="17">
        <f>'Misc Exp'!J126</f>
        <v>24999.18333</v>
      </c>
      <c r="F25" s="11">
        <f>'Misc Exp'!J84</f>
        <v>27372.4</v>
      </c>
      <c r="G25" s="17">
        <f>'Misc Exp'!J38</f>
        <v>22200.07</v>
      </c>
      <c r="H25" s="17"/>
      <c r="I25" s="17"/>
      <c r="J25" s="11"/>
      <c r="K25" s="17"/>
      <c r="L25" s="17"/>
      <c r="M25" s="17"/>
      <c r="N25" s="14">
        <f t="shared" si="7"/>
        <v>125773.4533</v>
      </c>
      <c r="O25" s="25">
        <f t="shared" si="8"/>
        <v>0.01494315479</v>
      </c>
    </row>
    <row r="26">
      <c r="A26" s="18" t="s">
        <v>32</v>
      </c>
      <c r="B26" s="17">
        <v>0.0</v>
      </c>
      <c r="C26" s="17">
        <v>0.0</v>
      </c>
      <c r="D26" s="17">
        <v>0.0</v>
      </c>
      <c r="E26" s="17">
        <v>0.0</v>
      </c>
      <c r="F26" s="17">
        <v>0.0</v>
      </c>
      <c r="G26" s="17">
        <v>0.0</v>
      </c>
      <c r="H26" s="11"/>
      <c r="I26" s="11"/>
      <c r="J26" s="11"/>
      <c r="K26" s="11"/>
      <c r="L26" s="11"/>
      <c r="M26" s="11"/>
      <c r="N26" s="14">
        <f t="shared" si="7"/>
        <v>0</v>
      </c>
      <c r="O26" s="25">
        <f t="shared" si="8"/>
        <v>0</v>
      </c>
    </row>
    <row r="27">
      <c r="A27" s="18" t="s">
        <v>33</v>
      </c>
      <c r="B27" s="11">
        <f>HO!D34</f>
        <v>267952.3469</v>
      </c>
      <c r="C27" s="11">
        <f>HO!H34</f>
        <v>289347.8745</v>
      </c>
      <c r="D27" s="11">
        <f>HO!L34</f>
        <v>294231.993</v>
      </c>
      <c r="E27" s="11">
        <f>HO!P34</f>
        <v>312559.6597</v>
      </c>
      <c r="F27" s="11">
        <f>HO!D53</f>
        <v>314681.0685</v>
      </c>
      <c r="G27" s="11">
        <f>HO!H53</f>
        <v>330684.8405</v>
      </c>
      <c r="H27" s="11" t="str">
        <f>HO!L53</f>
        <v>#DIV/0!</v>
      </c>
      <c r="I27" s="11" t="str">
        <f>HO!P53</f>
        <v>#DIV/0!</v>
      </c>
      <c r="J27" s="11" t="str">
        <f>HO!D72</f>
        <v>#DIV/0!</v>
      </c>
      <c r="K27" s="11" t="str">
        <f>HO!H72</f>
        <v>#DIV/0!</v>
      </c>
      <c r="L27" s="11" t="str">
        <f>HO!L72</f>
        <v>#DIV/0!</v>
      </c>
      <c r="M27" s="11" t="str">
        <f>HO!P72</f>
        <v>#DIV/0!</v>
      </c>
      <c r="N27" s="14" t="str">
        <f t="shared" si="7"/>
        <v>#DIV/0!</v>
      </c>
      <c r="O27" s="25" t="str">
        <f t="shared" si="8"/>
        <v>#DIV/0!</v>
      </c>
    </row>
    <row r="28">
      <c r="A28" s="35" t="s">
        <v>34</v>
      </c>
      <c r="B28" s="36">
        <f t="shared" ref="B28:M28" si="16">+SUM(B14:B27)</f>
        <v>1070724.027</v>
      </c>
      <c r="C28" s="36">
        <f t="shared" si="16"/>
        <v>1236415.794</v>
      </c>
      <c r="D28" s="36">
        <f t="shared" si="16"/>
        <v>1233812.063</v>
      </c>
      <c r="E28" s="36">
        <f t="shared" si="16"/>
        <v>1335581.663</v>
      </c>
      <c r="F28" s="48">
        <f t="shared" si="16"/>
        <v>1327327.388</v>
      </c>
      <c r="G28" s="36">
        <f t="shared" si="16"/>
        <v>1326947.851</v>
      </c>
      <c r="H28" s="36" t="str">
        <f t="shared" si="16"/>
        <v>#DIV/0!</v>
      </c>
      <c r="I28" s="36" t="str">
        <f t="shared" si="16"/>
        <v>#DIV/0!</v>
      </c>
      <c r="J28" s="36" t="str">
        <f t="shared" si="16"/>
        <v>#DIV/0!</v>
      </c>
      <c r="K28" s="36" t="str">
        <f t="shared" si="16"/>
        <v>#DIV/0!</v>
      </c>
      <c r="L28" s="36" t="str">
        <f t="shared" si="16"/>
        <v>#DIV/0!</v>
      </c>
      <c r="M28" s="36" t="str">
        <f t="shared" si="16"/>
        <v>#DIV/0!</v>
      </c>
      <c r="N28" s="36" t="str">
        <f t="shared" si="7"/>
        <v>#DIV/0!</v>
      </c>
      <c r="O28" s="37" t="str">
        <f t="shared" si="8"/>
        <v>#DIV/0!</v>
      </c>
    </row>
    <row r="29">
      <c r="A29" s="38" t="s">
        <v>35</v>
      </c>
      <c r="B29" s="39">
        <f t="shared" ref="B29:M29" si="17">B13-B28</f>
        <v>136117.1593</v>
      </c>
      <c r="C29" s="39">
        <f t="shared" si="17"/>
        <v>140864.0881</v>
      </c>
      <c r="D29" s="39">
        <f t="shared" si="17"/>
        <v>109039.6223</v>
      </c>
      <c r="E29" s="39">
        <f t="shared" si="17"/>
        <v>93311.64838</v>
      </c>
      <c r="F29" s="39">
        <f t="shared" si="17"/>
        <v>257645.0237</v>
      </c>
      <c r="G29" s="39">
        <f t="shared" si="17"/>
        <v>149007.5209</v>
      </c>
      <c r="H29" s="39" t="str">
        <f t="shared" si="17"/>
        <v>#DIV/0!</v>
      </c>
      <c r="I29" s="39" t="str">
        <f t="shared" si="17"/>
        <v>#DIV/0!</v>
      </c>
      <c r="J29" s="39" t="str">
        <f t="shared" si="17"/>
        <v>#DIV/0!</v>
      </c>
      <c r="K29" s="39" t="str">
        <f t="shared" si="17"/>
        <v>#DIV/0!</v>
      </c>
      <c r="L29" s="39" t="str">
        <f t="shared" si="17"/>
        <v>#DIV/0!</v>
      </c>
      <c r="M29" s="39" t="str">
        <f t="shared" si="17"/>
        <v>#DIV/0!</v>
      </c>
      <c r="N29" s="39" t="str">
        <f t="shared" si="7"/>
        <v>#DIV/0!</v>
      </c>
      <c r="O29" s="40" t="str">
        <f t="shared" si="8"/>
        <v>#DIV/0!</v>
      </c>
    </row>
    <row r="30">
      <c r="A30" s="41" t="s">
        <v>36</v>
      </c>
      <c r="B30" s="42">
        <f t="shared" ref="B30:M30" si="18">(B14/B13)</f>
        <v>0.2925767566</v>
      </c>
      <c r="C30" s="42">
        <f t="shared" si="18"/>
        <v>0.2927919336</v>
      </c>
      <c r="D30" s="42">
        <f t="shared" si="18"/>
        <v>0.2942894099</v>
      </c>
      <c r="E30" s="42">
        <f t="shared" si="18"/>
        <v>0.3075566849</v>
      </c>
      <c r="F30" s="43">
        <f t="shared" si="18"/>
        <v>0.2893789359</v>
      </c>
      <c r="G30" s="42">
        <f t="shared" si="18"/>
        <v>0.2944449801</v>
      </c>
      <c r="H30" s="42" t="str">
        <f t="shared" si="18"/>
        <v>#DIV/0!</v>
      </c>
      <c r="I30" s="42" t="str">
        <f t="shared" si="18"/>
        <v>#DIV/0!</v>
      </c>
      <c r="J30" s="42" t="str">
        <f t="shared" si="18"/>
        <v>#DIV/0!</v>
      </c>
      <c r="K30" s="42" t="str">
        <f t="shared" si="18"/>
        <v>#DIV/0!</v>
      </c>
      <c r="L30" s="42" t="str">
        <f t="shared" si="18"/>
        <v>#DIV/0!</v>
      </c>
      <c r="M30" s="42" t="str">
        <f t="shared" si="18"/>
        <v>#DIV/0!</v>
      </c>
      <c r="N30" s="44"/>
      <c r="O30" s="44"/>
    </row>
    <row r="32"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</row>
    <row r="33">
      <c r="A33" s="46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</row>
    <row r="34">
      <c r="A34" s="46"/>
      <c r="B34" s="47"/>
      <c r="C34" s="47"/>
      <c r="D34" s="47"/>
      <c r="E34" s="47"/>
    </row>
    <row r="35">
      <c r="A35" s="6"/>
      <c r="B35" s="47"/>
      <c r="C35" s="47"/>
      <c r="D35" s="47"/>
      <c r="E35" s="47"/>
    </row>
    <row r="36">
      <c r="A36" s="46"/>
      <c r="B36" s="47"/>
      <c r="C36" s="47"/>
      <c r="D36" s="47"/>
      <c r="E36" s="47"/>
    </row>
  </sheetData>
  <mergeCells count="1">
    <mergeCell ref="N1:O1"/>
  </mergeCells>
  <drawing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</cols>
  <sheetData>
    <row r="1">
      <c r="A1" s="1" t="s">
        <v>48</v>
      </c>
      <c r="B1" s="3">
        <f>Summary!C1</f>
        <v>46113</v>
      </c>
      <c r="C1" s="3">
        <f>Summary!D1</f>
        <v>46143</v>
      </c>
      <c r="D1" s="3">
        <f>Summary!E1</f>
        <v>46174</v>
      </c>
      <c r="E1" s="3">
        <f>Summary!F1</f>
        <v>46204</v>
      </c>
      <c r="F1" s="3">
        <f>Summary!G1</f>
        <v>46235</v>
      </c>
      <c r="G1" s="3">
        <f>Summary!H1</f>
        <v>46266</v>
      </c>
      <c r="H1" s="3">
        <f>Summary!I1</f>
        <v>46296</v>
      </c>
      <c r="I1" s="3">
        <f>Summary!J1</f>
        <v>46327</v>
      </c>
      <c r="J1" s="3">
        <f>Summary!K1</f>
        <v>46357</v>
      </c>
      <c r="K1" s="3">
        <f>Summary!L1</f>
        <v>46388</v>
      </c>
      <c r="L1" s="3">
        <f>Summary!M1</f>
        <v>46419</v>
      </c>
      <c r="M1" s="3">
        <f>Summary!N1</f>
        <v>46447</v>
      </c>
      <c r="N1" s="57" t="s">
        <v>5</v>
      </c>
      <c r="O1" s="5"/>
    </row>
    <row r="2">
      <c r="A2" s="7" t="s">
        <v>6</v>
      </c>
      <c r="B2" s="8"/>
      <c r="C2" s="8"/>
      <c r="D2" s="8"/>
      <c r="E2" s="8"/>
      <c r="F2" s="9"/>
      <c r="G2" s="8"/>
      <c r="H2" s="8"/>
      <c r="I2" s="8"/>
      <c r="J2" s="8"/>
      <c r="K2" s="8"/>
      <c r="L2" s="8"/>
      <c r="M2" s="8"/>
      <c r="N2" s="59"/>
      <c r="O2" s="59"/>
    </row>
    <row r="3">
      <c r="A3" s="10" t="s">
        <v>7</v>
      </c>
      <c r="B3" s="72">
        <v>42775.0</v>
      </c>
      <c r="C3" s="13">
        <f t="shared" ref="C3:M3" si="1">B7</f>
        <v>49260.08</v>
      </c>
      <c r="D3" s="11">
        <f t="shared" si="1"/>
        <v>45210.94</v>
      </c>
      <c r="E3" s="11">
        <f t="shared" si="1"/>
        <v>44903</v>
      </c>
      <c r="F3" s="11">
        <f t="shared" si="1"/>
        <v>32962</v>
      </c>
      <c r="G3" s="11">
        <f t="shared" si="1"/>
        <v>41371</v>
      </c>
      <c r="H3" s="11">
        <f t="shared" si="1"/>
        <v>41268</v>
      </c>
      <c r="I3" s="11" t="str">
        <f t="shared" si="1"/>
        <v/>
      </c>
      <c r="J3" s="11" t="str">
        <f t="shared" si="1"/>
        <v/>
      </c>
      <c r="K3" s="11" t="str">
        <f t="shared" si="1"/>
        <v/>
      </c>
      <c r="L3" s="11" t="str">
        <f t="shared" si="1"/>
        <v/>
      </c>
      <c r="M3" s="11" t="str">
        <f t="shared" si="1"/>
        <v/>
      </c>
      <c r="N3" s="14">
        <f>+SUM(J3:L3)</f>
        <v>0</v>
      </c>
      <c r="O3" s="60"/>
    </row>
    <row r="4">
      <c r="A4" s="10" t="s">
        <v>9</v>
      </c>
      <c r="B4" s="15">
        <v>576251.31</v>
      </c>
      <c r="C4" s="15">
        <v>620133.58</v>
      </c>
      <c r="D4" s="17">
        <v>605345.0</v>
      </c>
      <c r="E4" s="17">
        <v>611396.0</v>
      </c>
      <c r="F4" s="17">
        <v>674094.52</v>
      </c>
      <c r="G4" s="17">
        <v>591238.98</v>
      </c>
      <c r="H4" s="17"/>
      <c r="I4" s="17"/>
      <c r="J4" s="17"/>
      <c r="K4" s="17"/>
      <c r="L4" s="17"/>
      <c r="M4" s="17"/>
      <c r="N4" s="14">
        <f>sum(B4:M4)</f>
        <v>3678459.39</v>
      </c>
      <c r="O4" s="60"/>
    </row>
    <row r="5">
      <c r="A5" s="10" t="s">
        <v>10</v>
      </c>
      <c r="B5" s="15">
        <v>2905.24</v>
      </c>
      <c r="C5" s="15">
        <v>1347.91</v>
      </c>
      <c r="D5" s="17">
        <v>98.75</v>
      </c>
      <c r="E5" s="17">
        <v>649.0</v>
      </c>
      <c r="F5" s="17">
        <v>1158.0</v>
      </c>
      <c r="G5" s="17">
        <v>2160.4</v>
      </c>
      <c r="H5" s="17"/>
      <c r="I5" s="17"/>
      <c r="J5" s="17"/>
      <c r="K5" s="17"/>
      <c r="L5" s="17"/>
      <c r="M5" s="17"/>
      <c r="N5" s="14">
        <f t="shared" ref="N5:N6" si="2">+SUM(J5:L5)</f>
        <v>0</v>
      </c>
      <c r="O5" s="60"/>
    </row>
    <row r="6">
      <c r="A6" s="10" t="s">
        <v>11</v>
      </c>
      <c r="B6" s="15">
        <v>22698.2</v>
      </c>
      <c r="C6" s="15">
        <v>23405.85</v>
      </c>
      <c r="D6" s="17">
        <v>23805.0</v>
      </c>
      <c r="E6" s="17">
        <v>25975.0</v>
      </c>
      <c r="F6" s="17">
        <v>26507.0</v>
      </c>
      <c r="G6" s="17">
        <v>27194.0</v>
      </c>
      <c r="H6" s="17"/>
      <c r="I6" s="17"/>
      <c r="J6" s="17"/>
      <c r="K6" s="17"/>
      <c r="L6" s="17"/>
      <c r="M6" s="17"/>
      <c r="N6" s="14">
        <f t="shared" si="2"/>
        <v>0</v>
      </c>
      <c r="O6" s="60"/>
    </row>
    <row r="7">
      <c r="A7" s="10" t="s">
        <v>12</v>
      </c>
      <c r="B7" s="15">
        <v>49260.08</v>
      </c>
      <c r="C7" s="15">
        <v>45210.94</v>
      </c>
      <c r="D7" s="17">
        <v>44903.0</v>
      </c>
      <c r="E7" s="17">
        <v>32962.0</v>
      </c>
      <c r="F7" s="17">
        <v>41371.0</v>
      </c>
      <c r="G7" s="17">
        <v>41268.0</v>
      </c>
      <c r="H7" s="17"/>
      <c r="I7" s="17"/>
      <c r="J7" s="17"/>
      <c r="K7" s="17"/>
      <c r="L7" s="17"/>
      <c r="M7" s="17"/>
      <c r="N7" s="14">
        <f>sum(B7:M7)</f>
        <v>254975.02</v>
      </c>
      <c r="O7" s="60"/>
    </row>
    <row r="8">
      <c r="A8" s="8"/>
      <c r="B8" s="61"/>
      <c r="C8" s="61"/>
      <c r="D8" s="8"/>
      <c r="E8" s="8"/>
      <c r="F8" s="9"/>
      <c r="G8" s="8"/>
      <c r="H8" s="8"/>
      <c r="I8" s="8"/>
      <c r="J8" s="8"/>
      <c r="K8" s="8"/>
      <c r="L8" s="8"/>
      <c r="M8" s="8"/>
      <c r="N8" s="59"/>
      <c r="O8" s="59"/>
    </row>
    <row r="9">
      <c r="A9" s="18" t="s">
        <v>13</v>
      </c>
      <c r="B9" s="13">
        <f>2470922.82*1.05+34561.38*1.05</f>
        <v>2630758.41</v>
      </c>
      <c r="C9" s="13">
        <f>2688845.21*1.05+31444.11*1.05</f>
        <v>2856303.786</v>
      </c>
      <c r="D9" s="11">
        <f>2506372.74*1.05+30138.86*1.05</f>
        <v>2663337.18</v>
      </c>
      <c r="E9" s="11">
        <f>2577742.46*1.05+32051.15*1.05</f>
        <v>2740283.291</v>
      </c>
      <c r="F9" s="11">
        <f>2864382.33*1.05</f>
        <v>3007601.447</v>
      </c>
      <c r="G9" s="11">
        <f>2441866.4*1.05+31897*1.105</f>
        <v>2599205.905</v>
      </c>
      <c r="H9" s="11"/>
      <c r="I9" s="11"/>
      <c r="J9" s="11"/>
      <c r="K9" s="11"/>
      <c r="L9" s="11"/>
      <c r="M9" s="11"/>
      <c r="N9" s="14">
        <f t="shared" ref="N9:N12" si="3">+SUM(B9:M9)</f>
        <v>16497490.02</v>
      </c>
      <c r="O9" s="60"/>
    </row>
    <row r="10">
      <c r="A10" s="18" t="s">
        <v>14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4">
        <f t="shared" si="3"/>
        <v>0</v>
      </c>
      <c r="O10" s="60"/>
    </row>
    <row r="11">
      <c r="A11" s="18" t="s">
        <v>15</v>
      </c>
      <c r="B11" s="13">
        <f t="shared" ref="B11:M11" si="4">(B9+B10)/1.05*0.05</f>
        <v>125274.21</v>
      </c>
      <c r="C11" s="11">
        <f t="shared" si="4"/>
        <v>136014.466</v>
      </c>
      <c r="D11" s="11">
        <f t="shared" si="4"/>
        <v>126825.58</v>
      </c>
      <c r="E11" s="11">
        <f t="shared" si="4"/>
        <v>130489.6805</v>
      </c>
      <c r="F11" s="11">
        <f t="shared" si="4"/>
        <v>143219.1165</v>
      </c>
      <c r="G11" s="11">
        <f t="shared" si="4"/>
        <v>123771.7098</v>
      </c>
      <c r="H11" s="11">
        <f t="shared" si="4"/>
        <v>0</v>
      </c>
      <c r="I11" s="11">
        <f t="shared" si="4"/>
        <v>0</v>
      </c>
      <c r="J11" s="11">
        <f t="shared" si="4"/>
        <v>0</v>
      </c>
      <c r="K11" s="11">
        <f t="shared" si="4"/>
        <v>0</v>
      </c>
      <c r="L11" s="11">
        <f t="shared" si="4"/>
        <v>0</v>
      </c>
      <c r="M11" s="11">
        <f t="shared" si="4"/>
        <v>0</v>
      </c>
      <c r="N11" s="14">
        <f t="shared" si="3"/>
        <v>785594.7628</v>
      </c>
      <c r="O11" s="60"/>
    </row>
    <row r="12">
      <c r="A12" s="18" t="s">
        <v>16</v>
      </c>
      <c r="B12" s="13">
        <f>82426.71*1.18+60223.11*1.18+9374.77*1.18+3920.75*1.18+5.67*1.18</f>
        <v>184022.1918</v>
      </c>
      <c r="C12" s="13">
        <f>76130.54*1.18+48673.52*1.18+678.75*1.18+7154.4*1.18+18079.63*1.18</f>
        <v>177845.8712</v>
      </c>
      <c r="D12" s="17">
        <f>72075.26*1.18+63122.23*1.18+2795.69*1.18</f>
        <v>162831.9524</v>
      </c>
      <c r="E12" s="11">
        <f>77597*1.18+4423.92*1.18+22.95*1.18+66867*1.18</f>
        <v>175714.8266</v>
      </c>
      <c r="F12" s="11">
        <f>81126.94*1.18+66426.52*1.18+5020.23*1.18</f>
        <v>180036.9542</v>
      </c>
      <c r="G12" s="11">
        <f>76824.82*1.18+66124.5*1.18+2.92*1.18</f>
        <v>168683.6432</v>
      </c>
      <c r="H12" s="11"/>
      <c r="I12" s="11"/>
      <c r="J12" s="11"/>
      <c r="K12" s="11"/>
      <c r="L12" s="11"/>
      <c r="M12" s="11"/>
      <c r="N12" s="14">
        <f t="shared" si="3"/>
        <v>1049135.439</v>
      </c>
      <c r="O12" s="60"/>
    </row>
    <row r="13">
      <c r="A13" s="19" t="s">
        <v>17</v>
      </c>
      <c r="B13" s="21">
        <f t="shared" ref="B13:M13" si="5">B9+B10-B11-B12</f>
        <v>2321462.008</v>
      </c>
      <c r="C13" s="21">
        <f t="shared" si="5"/>
        <v>2542443.449</v>
      </c>
      <c r="D13" s="21">
        <f t="shared" si="5"/>
        <v>2373679.648</v>
      </c>
      <c r="E13" s="21">
        <f t="shared" si="5"/>
        <v>2434078.783</v>
      </c>
      <c r="F13" s="22">
        <f t="shared" si="5"/>
        <v>2684345.376</v>
      </c>
      <c r="G13" s="22">
        <f t="shared" si="5"/>
        <v>2306750.552</v>
      </c>
      <c r="H13" s="21">
        <f t="shared" si="5"/>
        <v>0</v>
      </c>
      <c r="I13" s="21">
        <f t="shared" si="5"/>
        <v>0</v>
      </c>
      <c r="J13" s="21">
        <f t="shared" si="5"/>
        <v>0</v>
      </c>
      <c r="K13" s="21">
        <f t="shared" si="5"/>
        <v>0</v>
      </c>
      <c r="L13" s="21">
        <f t="shared" si="5"/>
        <v>0</v>
      </c>
      <c r="M13" s="21">
        <f t="shared" si="5"/>
        <v>0</v>
      </c>
      <c r="N13" s="21">
        <f t="shared" ref="N13:N29" si="7">sum(B13:M13)</f>
        <v>14662759.82</v>
      </c>
      <c r="O13" s="68"/>
    </row>
    <row r="14">
      <c r="A14" s="18" t="s">
        <v>20</v>
      </c>
      <c r="B14" s="24">
        <f t="shared" ref="B14:M14" si="6">+B3+B4-B5-B7</f>
        <v>566860.99</v>
      </c>
      <c r="C14" s="24">
        <f t="shared" si="6"/>
        <v>622834.81</v>
      </c>
      <c r="D14" s="24">
        <f t="shared" si="6"/>
        <v>605554.19</v>
      </c>
      <c r="E14" s="24">
        <f t="shared" si="6"/>
        <v>622688</v>
      </c>
      <c r="F14" s="24">
        <f t="shared" si="6"/>
        <v>664527.52</v>
      </c>
      <c r="G14" s="24">
        <f t="shared" si="6"/>
        <v>589181.58</v>
      </c>
      <c r="H14" s="24">
        <f t="shared" si="6"/>
        <v>41268</v>
      </c>
      <c r="I14" s="24">
        <f t="shared" si="6"/>
        <v>0</v>
      </c>
      <c r="J14" s="24">
        <f t="shared" si="6"/>
        <v>0</v>
      </c>
      <c r="K14" s="24">
        <f t="shared" si="6"/>
        <v>0</v>
      </c>
      <c r="L14" s="24">
        <f t="shared" si="6"/>
        <v>0</v>
      </c>
      <c r="M14" s="24">
        <f t="shared" si="6"/>
        <v>0</v>
      </c>
      <c r="N14" s="14">
        <f t="shared" si="7"/>
        <v>3712915.09</v>
      </c>
      <c r="O14" s="25">
        <f t="shared" ref="O14:O29" si="8">N14/$N$13</f>
        <v>0.2532207536</v>
      </c>
    </row>
    <row r="15">
      <c r="A15" s="18" t="s">
        <v>21</v>
      </c>
      <c r="B15" s="17">
        <v>79068.55</v>
      </c>
      <c r="C15" s="17">
        <v>79793.18</v>
      </c>
      <c r="D15" s="11">
        <f>76311</f>
        <v>76311</v>
      </c>
      <c r="E15" s="17">
        <v>70952.0</v>
      </c>
      <c r="F15" s="17">
        <v>69341.0</v>
      </c>
      <c r="G15" s="17">
        <v>68580.0</v>
      </c>
      <c r="H15" s="17"/>
      <c r="I15" s="11"/>
      <c r="J15" s="11"/>
      <c r="K15" s="11"/>
      <c r="L15" s="11"/>
      <c r="M15" s="17"/>
      <c r="N15" s="14">
        <f t="shared" si="7"/>
        <v>444045.73</v>
      </c>
      <c r="O15" s="25">
        <f t="shared" si="8"/>
        <v>0.03028391214</v>
      </c>
    </row>
    <row r="16">
      <c r="A16" s="18" t="s">
        <v>22</v>
      </c>
      <c r="B16" s="17">
        <f t="shared" ref="B16:D16" si="9">291+352.82</f>
        <v>643.82</v>
      </c>
      <c r="C16" s="11">
        <f t="shared" si="9"/>
        <v>643.82</v>
      </c>
      <c r="D16" s="17">
        <f t="shared" si="9"/>
        <v>643.82</v>
      </c>
      <c r="E16" s="11">
        <f>352.82+291</f>
        <v>643.82</v>
      </c>
      <c r="F16" s="11">
        <f>291+3540/12+352.82</f>
        <v>938.82</v>
      </c>
      <c r="G16" s="11">
        <f>3540/12+352.82</f>
        <v>647.82</v>
      </c>
      <c r="H16" s="11">
        <f t="shared" ref="H16:M16" si="10">3540/12</f>
        <v>295</v>
      </c>
      <c r="I16" s="11">
        <f t="shared" si="10"/>
        <v>295</v>
      </c>
      <c r="J16" s="11">
        <f t="shared" si="10"/>
        <v>295</v>
      </c>
      <c r="K16" s="11">
        <f t="shared" si="10"/>
        <v>295</v>
      </c>
      <c r="L16" s="11">
        <f t="shared" si="10"/>
        <v>295</v>
      </c>
      <c r="M16" s="11">
        <f t="shared" si="10"/>
        <v>295</v>
      </c>
      <c r="N16" s="14">
        <f t="shared" si="7"/>
        <v>5931.92</v>
      </c>
      <c r="O16" s="25">
        <f t="shared" si="8"/>
        <v>0.0004045568552</v>
      </c>
    </row>
    <row r="17">
      <c r="A17" s="18" t="s">
        <v>23</v>
      </c>
      <c r="B17" s="11">
        <f>4416+26496</f>
        <v>30912</v>
      </c>
      <c r="C17" s="17">
        <f>32020+32020+38424</f>
        <v>102464</v>
      </c>
      <c r="D17" s="17">
        <v>104176.0</v>
      </c>
      <c r="E17" s="17">
        <v>92445.0</v>
      </c>
      <c r="F17" s="11">
        <f>89520</f>
        <v>89520</v>
      </c>
      <c r="G17" s="17">
        <f>28090+36517+28090</f>
        <v>92697</v>
      </c>
      <c r="H17" s="17"/>
      <c r="I17" s="11"/>
      <c r="J17" s="17"/>
      <c r="K17" s="17"/>
      <c r="L17" s="11"/>
      <c r="M17" s="11"/>
      <c r="N17" s="14">
        <f t="shared" si="7"/>
        <v>512214</v>
      </c>
      <c r="O17" s="25">
        <f t="shared" si="8"/>
        <v>0.03493298713</v>
      </c>
    </row>
    <row r="18">
      <c r="A18" s="18" t="s">
        <v>24</v>
      </c>
      <c r="B18" s="11">
        <f t="shared" ref="B18:G18" si="11">257830</f>
        <v>257830</v>
      </c>
      <c r="C18" s="11">
        <f t="shared" si="11"/>
        <v>257830</v>
      </c>
      <c r="D18" s="11">
        <f t="shared" si="11"/>
        <v>257830</v>
      </c>
      <c r="E18" s="11">
        <f t="shared" si="11"/>
        <v>257830</v>
      </c>
      <c r="F18" s="11">
        <f t="shared" si="11"/>
        <v>257830</v>
      </c>
      <c r="G18" s="11">
        <f t="shared" si="11"/>
        <v>257830</v>
      </c>
      <c r="H18" s="17"/>
      <c r="I18" s="17"/>
      <c r="J18" s="17"/>
      <c r="K18" s="17"/>
      <c r="L18" s="17"/>
      <c r="M18" s="17"/>
      <c r="N18" s="14">
        <f t="shared" si="7"/>
        <v>1546980</v>
      </c>
      <c r="O18" s="25">
        <f t="shared" si="8"/>
        <v>0.1055040128</v>
      </c>
    </row>
    <row r="19">
      <c r="A19" s="18" t="s">
        <v>25</v>
      </c>
      <c r="B19" s="17">
        <v>5726.0</v>
      </c>
      <c r="C19" s="17">
        <v>5726.0</v>
      </c>
      <c r="D19" s="17">
        <v>5726.0</v>
      </c>
      <c r="E19" s="17">
        <v>5726.0</v>
      </c>
      <c r="F19" s="11">
        <f t="shared" ref="F19:M19" si="12">69207/12</f>
        <v>5767.25</v>
      </c>
      <c r="G19" s="11">
        <f t="shared" si="12"/>
        <v>5767.25</v>
      </c>
      <c r="H19" s="11">
        <f t="shared" si="12"/>
        <v>5767.25</v>
      </c>
      <c r="I19" s="11">
        <f t="shared" si="12"/>
        <v>5767.25</v>
      </c>
      <c r="J19" s="11">
        <f t="shared" si="12"/>
        <v>5767.25</v>
      </c>
      <c r="K19" s="11">
        <f t="shared" si="12"/>
        <v>5767.25</v>
      </c>
      <c r="L19" s="11">
        <f t="shared" si="12"/>
        <v>5767.25</v>
      </c>
      <c r="M19" s="11">
        <f t="shared" si="12"/>
        <v>5767.25</v>
      </c>
      <c r="N19" s="14">
        <f t="shared" si="7"/>
        <v>69042</v>
      </c>
      <c r="O19" s="25">
        <f t="shared" si="8"/>
        <v>0.004708663367</v>
      </c>
    </row>
    <row r="20">
      <c r="A20" s="20" t="s">
        <v>26</v>
      </c>
      <c r="B20" s="11">
        <f>23364+319810</f>
        <v>343174</v>
      </c>
      <c r="C20" s="17">
        <f>23364+328574+36923</f>
        <v>388861</v>
      </c>
      <c r="D20" s="17">
        <f>41250+348148.15</f>
        <v>389398.15</v>
      </c>
      <c r="E20" s="17">
        <f>37500+24229+343233.76+25123</f>
        <v>430085.76</v>
      </c>
      <c r="F20" s="17">
        <f>346325+25960+37500+41538</f>
        <v>451323</v>
      </c>
      <c r="G20" s="17">
        <f>25960+37500+45000+366199.35</f>
        <v>474659.35</v>
      </c>
      <c r="H20" s="11"/>
      <c r="I20" s="11"/>
      <c r="J20" s="11"/>
      <c r="K20" s="11"/>
      <c r="L20" s="11"/>
      <c r="M20" s="11"/>
      <c r="N20" s="14">
        <f t="shared" si="7"/>
        <v>2477501.26</v>
      </c>
      <c r="O20" s="25">
        <f t="shared" si="8"/>
        <v>0.1689655489</v>
      </c>
    </row>
    <row r="21">
      <c r="A21" s="10" t="s">
        <v>27</v>
      </c>
      <c r="B21" s="11">
        <f>2400+2950+2850+2596+2478</f>
        <v>13274</v>
      </c>
      <c r="C21" s="17">
        <f t="shared" ref="C21:D21" si="13">4460+2596+2796+2400+2950</f>
        <v>15202</v>
      </c>
      <c r="D21" s="17">
        <f t="shared" si="13"/>
        <v>15202</v>
      </c>
      <c r="E21" s="17">
        <f>2950+5322+2440+2596+2726</f>
        <v>16034</v>
      </c>
      <c r="F21" s="11">
        <f t="shared" ref="F21:G21" si="14">2400+2596+2726+2950</f>
        <v>10672</v>
      </c>
      <c r="G21" s="11">
        <f t="shared" si="14"/>
        <v>10672</v>
      </c>
      <c r="H21" s="11"/>
      <c r="I21" s="11"/>
      <c r="J21" s="11"/>
      <c r="K21" s="11"/>
      <c r="L21" s="11"/>
      <c r="M21" s="11"/>
      <c r="N21" s="14">
        <f t="shared" si="7"/>
        <v>81056</v>
      </c>
      <c r="O21" s="25">
        <f t="shared" si="8"/>
        <v>0.005528017987</v>
      </c>
    </row>
    <row r="22">
      <c r="A22" s="30" t="s">
        <v>28</v>
      </c>
      <c r="B22" s="11">
        <f t="shared" ref="B22:G22" si="15">2516.16/3+9813/12+7080/12</f>
        <v>2246.47</v>
      </c>
      <c r="C22" s="11">
        <f t="shared" si="15"/>
        <v>2246.47</v>
      </c>
      <c r="D22" s="11">
        <f t="shared" si="15"/>
        <v>2246.47</v>
      </c>
      <c r="E22" s="11">
        <f t="shared" si="15"/>
        <v>2246.47</v>
      </c>
      <c r="F22" s="11">
        <f t="shared" si="15"/>
        <v>2246.47</v>
      </c>
      <c r="G22" s="11">
        <f t="shared" si="15"/>
        <v>2246.47</v>
      </c>
      <c r="H22" s="11">
        <f t="shared" ref="H22:M22" si="16">9813/12</f>
        <v>817.75</v>
      </c>
      <c r="I22" s="11">
        <f t="shared" si="16"/>
        <v>817.75</v>
      </c>
      <c r="J22" s="11">
        <f t="shared" si="16"/>
        <v>817.75</v>
      </c>
      <c r="K22" s="11">
        <f t="shared" si="16"/>
        <v>817.75</v>
      </c>
      <c r="L22" s="11">
        <f t="shared" si="16"/>
        <v>817.75</v>
      </c>
      <c r="M22" s="11">
        <f t="shared" si="16"/>
        <v>817.75</v>
      </c>
      <c r="N22" s="60">
        <f t="shared" si="7"/>
        <v>18385.32</v>
      </c>
      <c r="O22" s="25">
        <f t="shared" si="8"/>
        <v>0.001253878549</v>
      </c>
    </row>
    <row r="23">
      <c r="A23" s="20" t="s">
        <v>29</v>
      </c>
      <c r="B23" s="32">
        <v>879.0</v>
      </c>
      <c r="C23" s="17">
        <f t="shared" ref="C23:M23" si="17">1698</f>
        <v>1698</v>
      </c>
      <c r="D23" s="17">
        <f t="shared" si="17"/>
        <v>1698</v>
      </c>
      <c r="E23" s="17">
        <f t="shared" si="17"/>
        <v>1698</v>
      </c>
      <c r="F23" s="17">
        <f t="shared" si="17"/>
        <v>1698</v>
      </c>
      <c r="G23" s="17">
        <f t="shared" si="17"/>
        <v>1698</v>
      </c>
      <c r="H23" s="17">
        <f t="shared" si="17"/>
        <v>1698</v>
      </c>
      <c r="I23" s="17">
        <f t="shared" si="17"/>
        <v>1698</v>
      </c>
      <c r="J23" s="17">
        <f t="shared" si="17"/>
        <v>1698</v>
      </c>
      <c r="K23" s="17">
        <f t="shared" si="17"/>
        <v>1698</v>
      </c>
      <c r="L23" s="17">
        <f t="shared" si="17"/>
        <v>1698</v>
      </c>
      <c r="M23" s="17">
        <f t="shared" si="17"/>
        <v>1698</v>
      </c>
      <c r="N23" s="71">
        <f t="shared" si="7"/>
        <v>19557</v>
      </c>
      <c r="O23" s="25">
        <f t="shared" si="8"/>
        <v>0.001333787107</v>
      </c>
    </row>
    <row r="24">
      <c r="A24" s="18" t="s">
        <v>30</v>
      </c>
      <c r="B24" s="32">
        <v>3315.0</v>
      </c>
      <c r="C24" s="32">
        <v>5400.0</v>
      </c>
      <c r="D24" s="32">
        <v>22207.0</v>
      </c>
      <c r="E24" s="34">
        <f>'Misc Exp'!G133</f>
        <v>8491</v>
      </c>
      <c r="F24" s="34">
        <f>'Misc Exp'!G90</f>
        <v>41904</v>
      </c>
      <c r="G24" s="34">
        <f>'Misc Exp'!G43</f>
        <v>25633</v>
      </c>
      <c r="H24" s="34"/>
      <c r="I24" s="34"/>
      <c r="J24" s="34"/>
      <c r="K24" s="34"/>
      <c r="L24" s="34"/>
      <c r="M24" s="34"/>
      <c r="N24" s="14">
        <f t="shared" si="7"/>
        <v>106950</v>
      </c>
      <c r="O24" s="25">
        <f t="shared" si="8"/>
        <v>0.007293988399</v>
      </c>
    </row>
    <row r="25">
      <c r="A25" s="18" t="s">
        <v>31</v>
      </c>
      <c r="B25" s="17">
        <v>17491.34</v>
      </c>
      <c r="C25" s="17">
        <f>27091.6</f>
        <v>27091.6</v>
      </c>
      <c r="D25" s="17">
        <v>23140.25</v>
      </c>
      <c r="E25" s="11">
        <f>'Misc Exp'!G126</f>
        <v>28679.52333</v>
      </c>
      <c r="F25" s="17">
        <f>'Misc Exp'!G84</f>
        <v>13655.5</v>
      </c>
      <c r="G25" s="17">
        <f>'Misc Exp'!G38</f>
        <v>27117.72</v>
      </c>
      <c r="H25" s="17"/>
      <c r="I25" s="17"/>
      <c r="J25" s="17"/>
      <c r="K25" s="17"/>
      <c r="L25" s="17"/>
      <c r="M25" s="11"/>
      <c r="N25" s="14">
        <f t="shared" si="7"/>
        <v>137175.9333</v>
      </c>
      <c r="O25" s="25">
        <f t="shared" si="8"/>
        <v>0.0093553966</v>
      </c>
    </row>
    <row r="26">
      <c r="A26" s="18" t="s">
        <v>32</v>
      </c>
      <c r="B26" s="17">
        <v>0.0</v>
      </c>
      <c r="C26" s="17">
        <v>0.0</v>
      </c>
      <c r="D26" s="17">
        <v>0.0</v>
      </c>
      <c r="E26" s="17">
        <v>0.0</v>
      </c>
      <c r="F26" s="17">
        <v>0.0</v>
      </c>
      <c r="G26" s="17">
        <v>0.0</v>
      </c>
      <c r="H26" s="11"/>
      <c r="I26" s="11"/>
      <c r="J26" s="11"/>
      <c r="K26" s="11"/>
      <c r="L26" s="11"/>
      <c r="M26" s="11"/>
      <c r="N26" s="14">
        <f t="shared" si="7"/>
        <v>0</v>
      </c>
      <c r="O26" s="25">
        <f t="shared" si="8"/>
        <v>0</v>
      </c>
    </row>
    <row r="27">
      <c r="A27" s="18" t="s">
        <v>33</v>
      </c>
      <c r="B27" s="11">
        <f>HO!D38</f>
        <v>515429.2051</v>
      </c>
      <c r="C27" s="11">
        <f>HO!H38</f>
        <v>534132.9799</v>
      </c>
      <c r="D27" s="11">
        <f>HO!L38</f>
        <v>520096.5237</v>
      </c>
      <c r="E27" s="11">
        <f>HO!P38</f>
        <v>532436.4178</v>
      </c>
      <c r="F27" s="11">
        <f>HO!D57</f>
        <v>532951.0246</v>
      </c>
      <c r="G27" s="11">
        <f>HO!H57</f>
        <v>516822.8344</v>
      </c>
      <c r="H27" s="11" t="str">
        <f>HO!L57</f>
        <v>#DIV/0!</v>
      </c>
      <c r="I27" s="11" t="str">
        <f>HO!P57</f>
        <v>#DIV/0!</v>
      </c>
      <c r="J27" s="11" t="str">
        <f>HO!D76</f>
        <v>#DIV/0!</v>
      </c>
      <c r="K27" s="11" t="str">
        <f>HO!H76</f>
        <v>#DIV/0!</v>
      </c>
      <c r="L27" s="11" t="str">
        <f>HO!L76</f>
        <v>#DIV/0!</v>
      </c>
      <c r="M27" s="11" t="str">
        <f>HO!P76</f>
        <v>#DIV/0!</v>
      </c>
      <c r="N27" s="14" t="str">
        <f t="shared" si="7"/>
        <v>#DIV/0!</v>
      </c>
      <c r="O27" s="25" t="str">
        <f t="shared" si="8"/>
        <v>#DIV/0!</v>
      </c>
    </row>
    <row r="28">
      <c r="A28" s="35" t="s">
        <v>34</v>
      </c>
      <c r="B28" s="36">
        <f t="shared" ref="B28:M28" si="18">+SUM(B14:B27)</f>
        <v>1836850.375</v>
      </c>
      <c r="C28" s="36">
        <f t="shared" si="18"/>
        <v>2043923.86</v>
      </c>
      <c r="D28" s="36">
        <f t="shared" si="18"/>
        <v>2024229.404</v>
      </c>
      <c r="E28" s="36">
        <f t="shared" si="18"/>
        <v>2069955.991</v>
      </c>
      <c r="F28" s="36">
        <f t="shared" si="18"/>
        <v>2142374.585</v>
      </c>
      <c r="G28" s="36">
        <f t="shared" si="18"/>
        <v>2073553.024</v>
      </c>
      <c r="H28" s="36" t="str">
        <f t="shared" si="18"/>
        <v>#DIV/0!</v>
      </c>
      <c r="I28" s="36" t="str">
        <f t="shared" si="18"/>
        <v>#DIV/0!</v>
      </c>
      <c r="J28" s="36" t="str">
        <f t="shared" si="18"/>
        <v>#DIV/0!</v>
      </c>
      <c r="K28" s="36" t="str">
        <f t="shared" si="18"/>
        <v>#DIV/0!</v>
      </c>
      <c r="L28" s="36" t="str">
        <f t="shared" si="18"/>
        <v>#DIV/0!</v>
      </c>
      <c r="M28" s="36" t="str">
        <f t="shared" si="18"/>
        <v>#DIV/0!</v>
      </c>
      <c r="N28" s="36" t="str">
        <f t="shared" si="7"/>
        <v>#DIV/0!</v>
      </c>
      <c r="O28" s="37" t="str">
        <f t="shared" si="8"/>
        <v>#DIV/0!</v>
      </c>
    </row>
    <row r="29">
      <c r="A29" s="38" t="s">
        <v>35</v>
      </c>
      <c r="B29" s="39">
        <f t="shared" ref="B29:M29" si="19">B13-B28</f>
        <v>484611.6331</v>
      </c>
      <c r="C29" s="39">
        <f t="shared" si="19"/>
        <v>498519.5889</v>
      </c>
      <c r="D29" s="39">
        <f t="shared" si="19"/>
        <v>349450.2439</v>
      </c>
      <c r="E29" s="39">
        <f t="shared" si="19"/>
        <v>364122.7922</v>
      </c>
      <c r="F29" s="39">
        <f t="shared" si="19"/>
        <v>541970.7912</v>
      </c>
      <c r="G29" s="39">
        <f t="shared" si="19"/>
        <v>233197.5277</v>
      </c>
      <c r="H29" s="39" t="str">
        <f t="shared" si="19"/>
        <v>#DIV/0!</v>
      </c>
      <c r="I29" s="39" t="str">
        <f t="shared" si="19"/>
        <v>#DIV/0!</v>
      </c>
      <c r="J29" s="39" t="str">
        <f t="shared" si="19"/>
        <v>#DIV/0!</v>
      </c>
      <c r="K29" s="39" t="str">
        <f t="shared" si="19"/>
        <v>#DIV/0!</v>
      </c>
      <c r="L29" s="39" t="str">
        <f t="shared" si="19"/>
        <v>#DIV/0!</v>
      </c>
      <c r="M29" s="39" t="str">
        <f t="shared" si="19"/>
        <v>#DIV/0!</v>
      </c>
      <c r="N29" s="39" t="str">
        <f t="shared" si="7"/>
        <v>#DIV/0!</v>
      </c>
      <c r="O29" s="40" t="str">
        <f t="shared" si="8"/>
        <v>#DIV/0!</v>
      </c>
    </row>
    <row r="30">
      <c r="A30" s="41" t="s">
        <v>36</v>
      </c>
      <c r="B30" s="42">
        <f t="shared" ref="B30:M30" si="20">(B14/B13)</f>
        <v>0.2441827555</v>
      </c>
      <c r="C30" s="42">
        <f t="shared" si="20"/>
        <v>0.2449748923</v>
      </c>
      <c r="D30" s="42">
        <f t="shared" si="20"/>
        <v>0.2551120117</v>
      </c>
      <c r="E30" s="42">
        <f t="shared" si="20"/>
        <v>0.2558208075</v>
      </c>
      <c r="F30" s="43">
        <f t="shared" si="20"/>
        <v>0.2475566393</v>
      </c>
      <c r="G30" s="42">
        <f t="shared" si="20"/>
        <v>0.2554162519</v>
      </c>
      <c r="H30" s="42" t="str">
        <f t="shared" si="20"/>
        <v>#DIV/0!</v>
      </c>
      <c r="I30" s="42" t="str">
        <f t="shared" si="20"/>
        <v>#DIV/0!</v>
      </c>
      <c r="J30" s="42" t="str">
        <f t="shared" si="20"/>
        <v>#DIV/0!</v>
      </c>
      <c r="K30" s="42" t="str">
        <f t="shared" si="20"/>
        <v>#DIV/0!</v>
      </c>
      <c r="L30" s="42" t="str">
        <f t="shared" si="20"/>
        <v>#DIV/0!</v>
      </c>
      <c r="M30" s="42" t="str">
        <f t="shared" si="20"/>
        <v>#DIV/0!</v>
      </c>
      <c r="N30" s="67"/>
      <c r="O30" s="67"/>
    </row>
    <row r="32"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</row>
    <row r="33">
      <c r="A33" s="46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</row>
    <row r="34">
      <c r="A34" s="46"/>
      <c r="B34" s="47"/>
      <c r="C34" s="47"/>
      <c r="D34" s="47"/>
      <c r="E34" s="47"/>
    </row>
    <row r="35">
      <c r="A35" s="6"/>
      <c r="B35" s="47"/>
      <c r="C35" s="47"/>
      <c r="D35" s="47"/>
      <c r="E35" s="47"/>
    </row>
    <row r="36">
      <c r="A36" s="46"/>
      <c r="B36" s="47"/>
      <c r="C36" s="47"/>
      <c r="D36" s="47"/>
      <c r="E36" s="47"/>
    </row>
  </sheetData>
  <mergeCells count="1">
    <mergeCell ref="N1:O1"/>
  </mergeCells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15" max="15" width="8.5"/>
  </cols>
  <sheetData>
    <row r="1">
      <c r="A1" s="1" t="s">
        <v>49</v>
      </c>
      <c r="B1" s="3">
        <f>Summary!C1</f>
        <v>46113</v>
      </c>
      <c r="C1" s="3">
        <f>Summary!D1</f>
        <v>46143</v>
      </c>
      <c r="D1" s="3">
        <f>Summary!E1</f>
        <v>46174</v>
      </c>
      <c r="E1" s="3">
        <f>Summary!F1</f>
        <v>46204</v>
      </c>
      <c r="F1" s="3">
        <f>Summary!G1</f>
        <v>46235</v>
      </c>
      <c r="G1" s="3">
        <f>Summary!H1</f>
        <v>46266</v>
      </c>
      <c r="H1" s="3">
        <f>Summary!I1</f>
        <v>46296</v>
      </c>
      <c r="I1" s="3">
        <f>Summary!J1</f>
        <v>46327</v>
      </c>
      <c r="J1" s="3">
        <f>Summary!K1</f>
        <v>46357</v>
      </c>
      <c r="K1" s="3">
        <f>Summary!L1</f>
        <v>46388</v>
      </c>
      <c r="L1" s="3">
        <f>Summary!M1</f>
        <v>46419</v>
      </c>
      <c r="M1" s="3">
        <f>Summary!N1</f>
        <v>46447</v>
      </c>
      <c r="N1" s="4" t="s">
        <v>5</v>
      </c>
      <c r="O1" s="5"/>
    </row>
    <row r="2">
      <c r="A2" s="7" t="s">
        <v>6</v>
      </c>
      <c r="B2" s="8"/>
      <c r="C2" s="8"/>
      <c r="D2" s="8"/>
      <c r="E2" s="8"/>
      <c r="F2" s="9"/>
      <c r="G2" s="8"/>
      <c r="H2" s="8"/>
      <c r="I2" s="8"/>
      <c r="J2" s="8"/>
      <c r="K2" s="8"/>
      <c r="L2" s="8"/>
      <c r="M2" s="8"/>
      <c r="N2" s="21"/>
      <c r="O2" s="21"/>
    </row>
    <row r="3">
      <c r="A3" s="10" t="s">
        <v>7</v>
      </c>
      <c r="B3" s="72">
        <v>19436.0</v>
      </c>
      <c r="C3" s="13">
        <f t="shared" ref="C3:M3" si="1">B7</f>
        <v>21020.61</v>
      </c>
      <c r="D3" s="13">
        <f t="shared" si="1"/>
        <v>21614.93</v>
      </c>
      <c r="E3" s="13">
        <f t="shared" si="1"/>
        <v>22425</v>
      </c>
      <c r="F3" s="13">
        <f t="shared" si="1"/>
        <v>18629</v>
      </c>
      <c r="G3" s="13">
        <f t="shared" si="1"/>
        <v>20114</v>
      </c>
      <c r="H3" s="13">
        <f t="shared" si="1"/>
        <v>22463.08</v>
      </c>
      <c r="I3" s="13" t="str">
        <f t="shared" si="1"/>
        <v/>
      </c>
      <c r="J3" s="13" t="str">
        <f t="shared" si="1"/>
        <v/>
      </c>
      <c r="K3" s="13" t="str">
        <f t="shared" si="1"/>
        <v/>
      </c>
      <c r="L3" s="13" t="str">
        <f t="shared" si="1"/>
        <v/>
      </c>
      <c r="M3" s="13" t="str">
        <f t="shared" si="1"/>
        <v/>
      </c>
      <c r="N3" s="14">
        <f>+SUM(J3:L3)</f>
        <v>0</v>
      </c>
      <c r="O3" s="16"/>
    </row>
    <row r="4">
      <c r="A4" s="10" t="s">
        <v>9</v>
      </c>
      <c r="B4" s="15">
        <v>209773.31</v>
      </c>
      <c r="C4" s="15">
        <v>244982.15</v>
      </c>
      <c r="D4" s="17">
        <f>237813-457</f>
        <v>237356</v>
      </c>
      <c r="E4" s="17">
        <v>251214.0</v>
      </c>
      <c r="F4" s="17">
        <v>267151.0</v>
      </c>
      <c r="G4" s="17">
        <v>229930.0</v>
      </c>
      <c r="H4" s="11"/>
      <c r="I4" s="17"/>
      <c r="J4" s="17"/>
      <c r="K4" s="17"/>
      <c r="L4" s="11"/>
      <c r="M4" s="17"/>
      <c r="N4" s="14">
        <f>sum(B4:M4)</f>
        <v>1440406.46</v>
      </c>
      <c r="O4" s="16"/>
    </row>
    <row r="5">
      <c r="A5" s="10" t="s">
        <v>10</v>
      </c>
      <c r="B5" s="15">
        <v>717.04</v>
      </c>
      <c r="C5" s="15">
        <v>1998.13</v>
      </c>
      <c r="D5" s="17">
        <v>42.68</v>
      </c>
      <c r="E5" s="17">
        <v>696.0</v>
      </c>
      <c r="F5" s="17">
        <v>455.0</v>
      </c>
      <c r="G5" s="17">
        <v>4218.0</v>
      </c>
      <c r="H5" s="17"/>
      <c r="I5" s="17"/>
      <c r="J5" s="17"/>
      <c r="K5" s="17"/>
      <c r="L5" s="17"/>
      <c r="M5" s="17"/>
      <c r="N5" s="14">
        <f t="shared" ref="N5:N6" si="2">+SUM(J5:L5)</f>
        <v>0</v>
      </c>
      <c r="O5" s="16"/>
    </row>
    <row r="6">
      <c r="A6" s="10" t="s">
        <v>11</v>
      </c>
      <c r="B6" s="15">
        <v>5630.17</v>
      </c>
      <c r="C6" s="15">
        <v>7688.64</v>
      </c>
      <c r="D6" s="17">
        <v>7215.0</v>
      </c>
      <c r="E6" s="17">
        <v>8380.0</v>
      </c>
      <c r="F6" s="17">
        <v>11904.0</v>
      </c>
      <c r="G6" s="17">
        <v>15090.99</v>
      </c>
      <c r="H6" s="17"/>
      <c r="I6" s="17"/>
      <c r="J6" s="17"/>
      <c r="K6" s="17"/>
      <c r="L6" s="17"/>
      <c r="M6" s="17"/>
      <c r="N6" s="14">
        <f t="shared" si="2"/>
        <v>0</v>
      </c>
      <c r="O6" s="16"/>
    </row>
    <row r="7">
      <c r="A7" s="10" t="s">
        <v>12</v>
      </c>
      <c r="B7" s="15">
        <v>21020.61</v>
      </c>
      <c r="C7" s="15">
        <v>21614.93</v>
      </c>
      <c r="D7" s="17">
        <v>22425.0</v>
      </c>
      <c r="E7" s="17">
        <v>18629.0</v>
      </c>
      <c r="F7" s="17">
        <v>20114.0</v>
      </c>
      <c r="G7" s="17">
        <v>22463.08</v>
      </c>
      <c r="H7" s="17"/>
      <c r="I7" s="17"/>
      <c r="J7" s="17"/>
      <c r="K7" s="17"/>
      <c r="L7" s="11"/>
      <c r="M7" s="17"/>
      <c r="N7" s="14">
        <f>sum(B7:M7)</f>
        <v>126266.62</v>
      </c>
      <c r="O7" s="16"/>
    </row>
    <row r="8">
      <c r="A8" s="8"/>
      <c r="B8" s="61"/>
      <c r="C8" s="61"/>
      <c r="D8" s="8"/>
      <c r="E8" s="8"/>
      <c r="F8" s="9"/>
      <c r="G8" s="8"/>
      <c r="H8" s="8"/>
      <c r="I8" s="8"/>
      <c r="J8" s="8"/>
      <c r="K8" s="8"/>
      <c r="L8" s="8"/>
      <c r="M8" s="8"/>
      <c r="N8" s="21"/>
      <c r="O8" s="21"/>
    </row>
    <row r="9">
      <c r="A9" s="18" t="s">
        <v>13</v>
      </c>
      <c r="B9" s="13">
        <f>769688.55*1.05+37355.18*1.05</f>
        <v>847395.9165</v>
      </c>
      <c r="C9" s="13">
        <f>844376.03*1.05+42017.77*1.05</f>
        <v>930713.49</v>
      </c>
      <c r="D9" s="11">
        <f>800254.2*1.05+41061.23*1.05</f>
        <v>883381.2015</v>
      </c>
      <c r="E9" s="17">
        <f>828279.37*1.05+42186*1.05</f>
        <v>913988.6385</v>
      </c>
      <c r="F9" s="11">
        <f>896749.33*1.05</f>
        <v>941586.7965</v>
      </c>
      <c r="G9" s="11">
        <f>725488.9*1.05+37587.25*1.05</f>
        <v>801229.9575</v>
      </c>
      <c r="H9" s="11"/>
      <c r="I9" s="11"/>
      <c r="J9" s="11"/>
      <c r="K9" s="11"/>
      <c r="L9" s="11"/>
      <c r="M9" s="11"/>
      <c r="N9" s="14">
        <f t="shared" ref="N9:N12" si="3">+SUM(B9:M9)</f>
        <v>5318296.001</v>
      </c>
      <c r="O9" s="16"/>
    </row>
    <row r="10">
      <c r="A10" s="18" t="s">
        <v>14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4">
        <f t="shared" si="3"/>
        <v>0</v>
      </c>
      <c r="O10" s="16"/>
    </row>
    <row r="11">
      <c r="A11" s="18" t="s">
        <v>15</v>
      </c>
      <c r="B11" s="13">
        <f t="shared" ref="B11:M11" si="4">(B9+B10)/1.05*0.05</f>
        <v>40352.1865</v>
      </c>
      <c r="C11" s="11">
        <f t="shared" si="4"/>
        <v>44319.69</v>
      </c>
      <c r="D11" s="11">
        <f t="shared" si="4"/>
        <v>42065.7715</v>
      </c>
      <c r="E11" s="11">
        <f t="shared" si="4"/>
        <v>43523.2685</v>
      </c>
      <c r="F11" s="11">
        <f t="shared" si="4"/>
        <v>44837.4665</v>
      </c>
      <c r="G11" s="11">
        <f t="shared" si="4"/>
        <v>38153.8075</v>
      </c>
      <c r="H11" s="11">
        <f t="shared" si="4"/>
        <v>0</v>
      </c>
      <c r="I11" s="11">
        <f t="shared" si="4"/>
        <v>0</v>
      </c>
      <c r="J11" s="11">
        <f t="shared" si="4"/>
        <v>0</v>
      </c>
      <c r="K11" s="11">
        <f t="shared" si="4"/>
        <v>0</v>
      </c>
      <c r="L11" s="11">
        <f t="shared" si="4"/>
        <v>0</v>
      </c>
      <c r="M11" s="11">
        <f t="shared" si="4"/>
        <v>0</v>
      </c>
      <c r="N11" s="14">
        <f t="shared" si="3"/>
        <v>253252.1905</v>
      </c>
      <c r="O11" s="16"/>
    </row>
    <row r="12">
      <c r="A12" s="18" t="s">
        <v>16</v>
      </c>
      <c r="B12" s="13">
        <f>86055.82*1.18+57752.8*1.18+15268.27*1.18+5.67*1.18</f>
        <v>187717.4208</v>
      </c>
      <c r="C12" s="15">
        <f>96713.6*1.18+56069.04*1.18+22218.8*1.18</f>
        <v>206501.6992</v>
      </c>
      <c r="D12" s="17">
        <f>94663.84*1.18+72991.91*1.18</f>
        <v>197833.785</v>
      </c>
      <c r="E12" s="11">
        <f>97006*1.18+74751*1.18</f>
        <v>202673.26</v>
      </c>
      <c r="F12" s="11">
        <f>96967.35*1.18+81686.79*1.18</f>
        <v>210811.8852</v>
      </c>
      <c r="G12" s="11">
        <f>86743.5*1.18+67960.11*1.18</f>
        <v>182550.2598</v>
      </c>
      <c r="H12" s="11"/>
      <c r="I12" s="11"/>
      <c r="J12" s="11"/>
      <c r="K12" s="11"/>
      <c r="L12" s="11"/>
      <c r="M12" s="11"/>
      <c r="N12" s="14">
        <f t="shared" si="3"/>
        <v>1188088.31</v>
      </c>
      <c r="O12" s="16"/>
    </row>
    <row r="13">
      <c r="A13" s="19" t="s">
        <v>17</v>
      </c>
      <c r="B13" s="62">
        <f t="shared" ref="B13:M13" si="5">B9+B10-B11-B12</f>
        <v>619326.3092</v>
      </c>
      <c r="C13" s="62">
        <f t="shared" si="5"/>
        <v>679892.1008</v>
      </c>
      <c r="D13" s="21">
        <f t="shared" si="5"/>
        <v>643481.645</v>
      </c>
      <c r="E13" s="21">
        <f t="shared" si="5"/>
        <v>667792.11</v>
      </c>
      <c r="F13" s="22">
        <f t="shared" si="5"/>
        <v>685937.4448</v>
      </c>
      <c r="G13" s="22">
        <f t="shared" si="5"/>
        <v>580525.8902</v>
      </c>
      <c r="H13" s="21">
        <f t="shared" si="5"/>
        <v>0</v>
      </c>
      <c r="I13" s="21">
        <f t="shared" si="5"/>
        <v>0</v>
      </c>
      <c r="J13" s="21">
        <f t="shared" si="5"/>
        <v>0</v>
      </c>
      <c r="K13" s="21">
        <f t="shared" si="5"/>
        <v>0</v>
      </c>
      <c r="L13" s="21">
        <f t="shared" si="5"/>
        <v>0</v>
      </c>
      <c r="M13" s="21">
        <f t="shared" si="5"/>
        <v>0</v>
      </c>
      <c r="N13" s="21">
        <f t="shared" ref="N13:N29" si="7">sum(B13:M13)</f>
        <v>3876955.5</v>
      </c>
      <c r="O13" s="21"/>
    </row>
    <row r="14">
      <c r="A14" s="18" t="s">
        <v>20</v>
      </c>
      <c r="B14" s="56">
        <f t="shared" ref="B14:M14" si="6">+B3+B4-B5-B7</f>
        <v>207471.66</v>
      </c>
      <c r="C14" s="56">
        <f t="shared" si="6"/>
        <v>242389.7</v>
      </c>
      <c r="D14" s="24">
        <f t="shared" si="6"/>
        <v>236503.25</v>
      </c>
      <c r="E14" s="24">
        <f t="shared" si="6"/>
        <v>254314</v>
      </c>
      <c r="F14" s="24">
        <f t="shared" si="6"/>
        <v>265211</v>
      </c>
      <c r="G14" s="24">
        <f t="shared" si="6"/>
        <v>223362.92</v>
      </c>
      <c r="H14" s="24">
        <f t="shared" si="6"/>
        <v>22463.08</v>
      </c>
      <c r="I14" s="24">
        <f t="shared" si="6"/>
        <v>0</v>
      </c>
      <c r="J14" s="24">
        <f t="shared" si="6"/>
        <v>0</v>
      </c>
      <c r="K14" s="24">
        <f t="shared" si="6"/>
        <v>0</v>
      </c>
      <c r="L14" s="24">
        <f t="shared" si="6"/>
        <v>0</v>
      </c>
      <c r="M14" s="24">
        <f t="shared" si="6"/>
        <v>0</v>
      </c>
      <c r="N14" s="14">
        <f t="shared" si="7"/>
        <v>1451715.61</v>
      </c>
      <c r="O14" s="25">
        <f t="shared" ref="O14:O27" si="8">N14/$N$13</f>
        <v>0.3744473234</v>
      </c>
    </row>
    <row r="15">
      <c r="A15" s="18" t="s">
        <v>21</v>
      </c>
      <c r="B15" s="56">
        <f>41558.4</f>
        <v>41558.4</v>
      </c>
      <c r="C15" s="17">
        <f>43508.4</f>
        <v>43508.4</v>
      </c>
      <c r="D15" s="11">
        <f>41636</f>
        <v>41636</v>
      </c>
      <c r="E15" s="17">
        <v>44896.0</v>
      </c>
      <c r="F15" s="17">
        <v>45396.0</v>
      </c>
      <c r="G15" s="17">
        <f>40981</f>
        <v>40981</v>
      </c>
      <c r="H15" s="17"/>
      <c r="I15" s="17"/>
      <c r="J15" s="17"/>
      <c r="K15" s="11"/>
      <c r="L15" s="17"/>
      <c r="M15" s="17"/>
      <c r="N15" s="14">
        <f t="shared" si="7"/>
        <v>257975.8</v>
      </c>
      <c r="O15" s="25">
        <f t="shared" si="8"/>
        <v>0.0665408205</v>
      </c>
    </row>
    <row r="16">
      <c r="A16" s="18" t="s">
        <v>22</v>
      </c>
      <c r="B16" s="15">
        <f t="shared" ref="B16:D16" si="9">1003+352.82</f>
        <v>1355.82</v>
      </c>
      <c r="C16" s="17">
        <f t="shared" si="9"/>
        <v>1355.82</v>
      </c>
      <c r="D16" s="17">
        <f t="shared" si="9"/>
        <v>1355.82</v>
      </c>
      <c r="E16" s="11">
        <f t="shared" ref="E16:G16" si="10">352.82+1003</f>
        <v>1355.82</v>
      </c>
      <c r="F16" s="11">
        <f t="shared" si="10"/>
        <v>1355.82</v>
      </c>
      <c r="G16" s="11">
        <f t="shared" si="10"/>
        <v>1355.82</v>
      </c>
      <c r="H16" s="11"/>
      <c r="I16" s="11"/>
      <c r="J16" s="11"/>
      <c r="K16" s="17"/>
      <c r="L16" s="11"/>
      <c r="M16" s="11"/>
      <c r="N16" s="14">
        <f t="shared" si="7"/>
        <v>8134.92</v>
      </c>
      <c r="O16" s="25">
        <f t="shared" si="8"/>
        <v>0.002098275309</v>
      </c>
    </row>
    <row r="17">
      <c r="A17" s="18" t="s">
        <v>23</v>
      </c>
      <c r="B17" s="15">
        <v>0.0</v>
      </c>
      <c r="C17" s="17">
        <v>0.0</v>
      </c>
      <c r="D17" s="17">
        <v>0.0</v>
      </c>
      <c r="E17" s="17">
        <v>0.0</v>
      </c>
      <c r="F17" s="17">
        <v>0.0</v>
      </c>
      <c r="G17" s="17">
        <v>0.0</v>
      </c>
      <c r="H17" s="11"/>
      <c r="I17" s="11"/>
      <c r="J17" s="11"/>
      <c r="K17" s="11"/>
      <c r="L17" s="11"/>
      <c r="M17" s="11"/>
      <c r="N17" s="14">
        <f t="shared" si="7"/>
        <v>0</v>
      </c>
      <c r="O17" s="25">
        <f t="shared" si="8"/>
        <v>0</v>
      </c>
    </row>
    <row r="18">
      <c r="A18" s="18" t="s">
        <v>24</v>
      </c>
      <c r="B18" s="15">
        <f>18880</f>
        <v>18880</v>
      </c>
      <c r="C18" s="17">
        <v>18880.0</v>
      </c>
      <c r="D18" s="17">
        <v>18880.0</v>
      </c>
      <c r="E18" s="17">
        <v>18880.0</v>
      </c>
      <c r="F18" s="17">
        <v>18880.0</v>
      </c>
      <c r="G18" s="17">
        <v>18880.0</v>
      </c>
      <c r="H18" s="17"/>
      <c r="I18" s="17"/>
      <c r="J18" s="17"/>
      <c r="K18" s="17"/>
      <c r="L18" s="17"/>
      <c r="M18" s="17"/>
      <c r="N18" s="14">
        <f t="shared" si="7"/>
        <v>113280</v>
      </c>
      <c r="O18" s="25">
        <f t="shared" si="8"/>
        <v>0.02921880326</v>
      </c>
    </row>
    <row r="19">
      <c r="A19" s="18" t="s">
        <v>25</v>
      </c>
      <c r="B19" s="15">
        <v>3761.0</v>
      </c>
      <c r="C19" s="15">
        <v>3761.0</v>
      </c>
      <c r="D19" s="15">
        <v>3761.0</v>
      </c>
      <c r="E19" s="15">
        <v>3761.0</v>
      </c>
      <c r="F19" s="15">
        <v>3761.0</v>
      </c>
      <c r="G19" s="15">
        <v>3761.0</v>
      </c>
      <c r="H19" s="11"/>
      <c r="I19" s="11"/>
      <c r="J19" s="11"/>
      <c r="K19" s="11"/>
      <c r="L19" s="11"/>
      <c r="M19" s="11"/>
      <c r="N19" s="14">
        <f t="shared" si="7"/>
        <v>22566</v>
      </c>
      <c r="O19" s="25">
        <f t="shared" si="8"/>
        <v>0.00582054656</v>
      </c>
    </row>
    <row r="20">
      <c r="A20" s="20" t="s">
        <v>26</v>
      </c>
      <c r="B20" s="15">
        <f>97962</f>
        <v>97962</v>
      </c>
      <c r="C20" s="11">
        <f t="shared" ref="C20:D20" si="11">100611</f>
        <v>100611</v>
      </c>
      <c r="D20" s="11">
        <f t="shared" si="11"/>
        <v>100611</v>
      </c>
      <c r="E20" s="11">
        <f>102890.56</f>
        <v>102890.56</v>
      </c>
      <c r="F20" s="17">
        <v>102891.0</v>
      </c>
      <c r="G20" s="17">
        <v>102891.0</v>
      </c>
      <c r="H20" s="11"/>
      <c r="I20" s="11"/>
      <c r="J20" s="11"/>
      <c r="K20" s="11"/>
      <c r="L20" s="11"/>
      <c r="M20" s="11"/>
      <c r="N20" s="14">
        <f t="shared" si="7"/>
        <v>607856.56</v>
      </c>
      <c r="O20" s="25">
        <f t="shared" si="8"/>
        <v>0.1567870872</v>
      </c>
    </row>
    <row r="21">
      <c r="A21" s="10" t="s">
        <v>27</v>
      </c>
      <c r="B21" s="15">
        <f t="shared" ref="B21:C21" si="12">1200+2360+1239</f>
        <v>4799</v>
      </c>
      <c r="C21" s="15">
        <f t="shared" si="12"/>
        <v>4799</v>
      </c>
      <c r="D21" s="17">
        <f>1363+2360</f>
        <v>3723</v>
      </c>
      <c r="E21" s="17">
        <f>2360+1363</f>
        <v>3723</v>
      </c>
      <c r="F21" s="11">
        <f t="shared" ref="F21:G21" si="13">1363+2360</f>
        <v>3723</v>
      </c>
      <c r="G21" s="11">
        <f t="shared" si="13"/>
        <v>3723</v>
      </c>
      <c r="H21" s="11"/>
      <c r="I21" s="11"/>
      <c r="J21" s="11"/>
      <c r="K21" s="11"/>
      <c r="L21" s="11"/>
      <c r="M21" s="11"/>
      <c r="N21" s="14">
        <f t="shared" si="7"/>
        <v>24490</v>
      </c>
      <c r="O21" s="25">
        <f t="shared" si="8"/>
        <v>0.006316812251</v>
      </c>
    </row>
    <row r="22">
      <c r="A22" s="30" t="s">
        <v>28</v>
      </c>
      <c r="B22" s="13">
        <f t="shared" ref="B22:G22" si="14">2516.16/3</f>
        <v>838.72</v>
      </c>
      <c r="C22" s="11">
        <f t="shared" si="14"/>
        <v>838.72</v>
      </c>
      <c r="D22" s="11">
        <f t="shared" si="14"/>
        <v>838.72</v>
      </c>
      <c r="E22" s="11">
        <f t="shared" si="14"/>
        <v>838.72</v>
      </c>
      <c r="F22" s="11">
        <f t="shared" si="14"/>
        <v>838.72</v>
      </c>
      <c r="G22" s="11">
        <f t="shared" si="14"/>
        <v>838.72</v>
      </c>
      <c r="H22" s="11"/>
      <c r="I22" s="11"/>
      <c r="J22" s="11"/>
      <c r="K22" s="11"/>
      <c r="L22" s="11"/>
      <c r="M22" s="11"/>
      <c r="N22" s="14">
        <f t="shared" si="7"/>
        <v>5032.32</v>
      </c>
      <c r="O22" s="25">
        <f t="shared" si="8"/>
        <v>0.001298008192</v>
      </c>
    </row>
    <row r="23">
      <c r="A23" s="20" t="s">
        <v>29</v>
      </c>
      <c r="B23" s="80">
        <v>805.0</v>
      </c>
      <c r="C23" s="17">
        <f t="shared" ref="C23:M23" si="15">1698</f>
        <v>1698</v>
      </c>
      <c r="D23" s="17">
        <f t="shared" si="15"/>
        <v>1698</v>
      </c>
      <c r="E23" s="17">
        <f t="shared" si="15"/>
        <v>1698</v>
      </c>
      <c r="F23" s="17">
        <f t="shared" si="15"/>
        <v>1698</v>
      </c>
      <c r="G23" s="17">
        <f t="shared" si="15"/>
        <v>1698</v>
      </c>
      <c r="H23" s="17">
        <f t="shared" si="15"/>
        <v>1698</v>
      </c>
      <c r="I23" s="17">
        <f t="shared" si="15"/>
        <v>1698</v>
      </c>
      <c r="J23" s="17">
        <f t="shared" si="15"/>
        <v>1698</v>
      </c>
      <c r="K23" s="17">
        <f t="shared" si="15"/>
        <v>1698</v>
      </c>
      <c r="L23" s="17">
        <f t="shared" si="15"/>
        <v>1698</v>
      </c>
      <c r="M23" s="17">
        <f t="shared" si="15"/>
        <v>1698</v>
      </c>
      <c r="N23" s="14">
        <f t="shared" si="7"/>
        <v>19483</v>
      </c>
      <c r="O23" s="25">
        <f t="shared" si="8"/>
        <v>0.005025334957</v>
      </c>
    </row>
    <row r="24">
      <c r="A24" s="18" t="s">
        <v>30</v>
      </c>
      <c r="B24" s="80">
        <v>5605.83</v>
      </c>
      <c r="C24" s="32">
        <v>0.0</v>
      </c>
      <c r="D24" s="32">
        <v>0.0</v>
      </c>
      <c r="E24" s="32">
        <f>'Misc Exp'!N133</f>
        <v>297</v>
      </c>
      <c r="F24" s="11">
        <f>'Misc Exp'!N90</f>
        <v>8850</v>
      </c>
      <c r="G24" s="17">
        <f>'Misc Exp'!N43</f>
        <v>0</v>
      </c>
      <c r="H24" s="17"/>
      <c r="I24" s="17"/>
      <c r="J24" s="17"/>
      <c r="K24" s="17"/>
      <c r="L24" s="11"/>
      <c r="M24" s="17"/>
      <c r="N24" s="14">
        <f t="shared" si="7"/>
        <v>14752.83</v>
      </c>
      <c r="O24" s="25">
        <f t="shared" si="8"/>
        <v>0.003805261629</v>
      </c>
    </row>
    <row r="25">
      <c r="A25" s="18" t="s">
        <v>31</v>
      </c>
      <c r="B25" s="15">
        <f>22334/12</f>
        <v>1861.166667</v>
      </c>
      <c r="C25" s="17">
        <f>22334/12+34158.86</f>
        <v>36020.02667</v>
      </c>
      <c r="D25" s="17">
        <f>22334/12</f>
        <v>1861.166667</v>
      </c>
      <c r="E25" s="17">
        <f>22334/12+'Misc Exp'!N126</f>
        <v>35171.18</v>
      </c>
      <c r="F25" s="17">
        <f>22334/12+'Misc Exp'!N84</f>
        <v>7373.706667</v>
      </c>
      <c r="G25" s="17">
        <f>22334/12+'Misc Exp'!N38</f>
        <v>11338.95667</v>
      </c>
      <c r="H25" s="17">
        <f t="shared" ref="H25:M25" si="16">22334/12</f>
        <v>1861.166667</v>
      </c>
      <c r="I25" s="17">
        <f t="shared" si="16"/>
        <v>1861.166667</v>
      </c>
      <c r="J25" s="17">
        <f t="shared" si="16"/>
        <v>1861.166667</v>
      </c>
      <c r="K25" s="17">
        <f t="shared" si="16"/>
        <v>1861.166667</v>
      </c>
      <c r="L25" s="17">
        <f t="shared" si="16"/>
        <v>1861.166667</v>
      </c>
      <c r="M25" s="17">
        <f t="shared" si="16"/>
        <v>1861.166667</v>
      </c>
      <c r="N25" s="14">
        <f t="shared" si="7"/>
        <v>104793.2033</v>
      </c>
      <c r="O25" s="25">
        <f t="shared" si="8"/>
        <v>0.02702976687</v>
      </c>
    </row>
    <row r="26">
      <c r="A26" s="18" t="s">
        <v>32</v>
      </c>
      <c r="B26" s="15">
        <v>0.0</v>
      </c>
      <c r="C26" s="17">
        <v>0.0</v>
      </c>
      <c r="D26" s="17">
        <v>0.0</v>
      </c>
      <c r="E26" s="17">
        <v>0.0</v>
      </c>
      <c r="F26" s="17">
        <v>0.0</v>
      </c>
      <c r="G26" s="17">
        <v>0.0</v>
      </c>
      <c r="H26" s="11"/>
      <c r="I26" s="11"/>
      <c r="J26" s="11"/>
      <c r="K26" s="11"/>
      <c r="L26" s="11"/>
      <c r="M26" s="11"/>
      <c r="N26" s="14">
        <f t="shared" si="7"/>
        <v>0</v>
      </c>
      <c r="O26" s="25">
        <f t="shared" si="8"/>
        <v>0</v>
      </c>
    </row>
    <row r="27">
      <c r="A27" s="18" t="s">
        <v>33</v>
      </c>
      <c r="B27" s="13">
        <f>HO!D37</f>
        <v>137507.6853</v>
      </c>
      <c r="C27" s="11">
        <f>HO!H37</f>
        <v>142836.1343</v>
      </c>
      <c r="D27" s="11">
        <f>HO!L37</f>
        <v>140993.1483</v>
      </c>
      <c r="E27" s="11">
        <f>HO!P37</f>
        <v>146074.499</v>
      </c>
      <c r="F27" s="11">
        <f>HO!D56</f>
        <v>136186.2998</v>
      </c>
      <c r="G27" s="11">
        <f>HO!H56</f>
        <v>130065.6613</v>
      </c>
      <c r="H27" s="11" t="str">
        <f>HO!L56</f>
        <v>#DIV/0!</v>
      </c>
      <c r="I27" s="11" t="str">
        <f>HO!P56</f>
        <v>#DIV/0!</v>
      </c>
      <c r="J27" s="11" t="str">
        <f>HO!D75</f>
        <v>#DIV/0!</v>
      </c>
      <c r="K27" s="11" t="str">
        <f>HO!H75</f>
        <v>#DIV/0!</v>
      </c>
      <c r="L27" s="11" t="str">
        <f>HO!L75</f>
        <v>#DIV/0!</v>
      </c>
      <c r="M27" s="11" t="str">
        <f>HO!P75</f>
        <v>#DIV/0!</v>
      </c>
      <c r="N27" s="14" t="str">
        <f t="shared" si="7"/>
        <v>#DIV/0!</v>
      </c>
      <c r="O27" s="25" t="str">
        <f t="shared" si="8"/>
        <v>#DIV/0!</v>
      </c>
    </row>
    <row r="28">
      <c r="A28" s="35" t="s">
        <v>34</v>
      </c>
      <c r="B28" s="36">
        <f t="shared" ref="B28:M28" si="17">+SUM(B14:B27)</f>
        <v>522406.282</v>
      </c>
      <c r="C28" s="36">
        <f t="shared" si="17"/>
        <v>596697.8009</v>
      </c>
      <c r="D28" s="36">
        <f t="shared" si="17"/>
        <v>551861.105</v>
      </c>
      <c r="E28" s="36">
        <f t="shared" si="17"/>
        <v>613899.779</v>
      </c>
      <c r="F28" s="48">
        <f t="shared" si="17"/>
        <v>596164.5464</v>
      </c>
      <c r="G28" s="36">
        <f t="shared" si="17"/>
        <v>538896.078</v>
      </c>
      <c r="H28" s="36" t="str">
        <f t="shared" si="17"/>
        <v>#DIV/0!</v>
      </c>
      <c r="I28" s="36" t="str">
        <f t="shared" si="17"/>
        <v>#DIV/0!</v>
      </c>
      <c r="J28" s="36" t="str">
        <f t="shared" si="17"/>
        <v>#DIV/0!</v>
      </c>
      <c r="K28" s="36" t="str">
        <f t="shared" si="17"/>
        <v>#DIV/0!</v>
      </c>
      <c r="L28" s="36" t="str">
        <f t="shared" si="17"/>
        <v>#DIV/0!</v>
      </c>
      <c r="M28" s="36" t="str">
        <f t="shared" si="17"/>
        <v>#DIV/0!</v>
      </c>
      <c r="N28" s="36" t="str">
        <f t="shared" si="7"/>
        <v>#DIV/0!</v>
      </c>
      <c r="O28" s="37" t="str">
        <f>N28/N13</f>
        <v>#DIV/0!</v>
      </c>
    </row>
    <row r="29">
      <c r="A29" s="38" t="s">
        <v>35</v>
      </c>
      <c r="B29" s="39">
        <f t="shared" ref="B29:M29" si="18">B13-B28</f>
        <v>96920.02724</v>
      </c>
      <c r="C29" s="39">
        <f t="shared" si="18"/>
        <v>83194.29986</v>
      </c>
      <c r="D29" s="39">
        <f t="shared" si="18"/>
        <v>91620.54</v>
      </c>
      <c r="E29" s="39">
        <f t="shared" si="18"/>
        <v>53892.33096</v>
      </c>
      <c r="F29" s="39">
        <f t="shared" si="18"/>
        <v>89772.89837</v>
      </c>
      <c r="G29" s="39">
        <f t="shared" si="18"/>
        <v>41629.81224</v>
      </c>
      <c r="H29" s="39" t="str">
        <f t="shared" si="18"/>
        <v>#DIV/0!</v>
      </c>
      <c r="I29" s="39" t="str">
        <f t="shared" si="18"/>
        <v>#DIV/0!</v>
      </c>
      <c r="J29" s="39" t="str">
        <f t="shared" si="18"/>
        <v>#DIV/0!</v>
      </c>
      <c r="K29" s="39" t="str">
        <f t="shared" si="18"/>
        <v>#DIV/0!</v>
      </c>
      <c r="L29" s="39" t="str">
        <f t="shared" si="18"/>
        <v>#DIV/0!</v>
      </c>
      <c r="M29" s="39" t="str">
        <f t="shared" si="18"/>
        <v>#DIV/0!</v>
      </c>
      <c r="N29" s="39" t="str">
        <f t="shared" si="7"/>
        <v>#DIV/0!</v>
      </c>
      <c r="O29" s="40" t="str">
        <f>N29/N13</f>
        <v>#DIV/0!</v>
      </c>
    </row>
    <row r="30">
      <c r="A30" s="41" t="s">
        <v>36</v>
      </c>
      <c r="B30" s="42">
        <f t="shared" ref="B30:M30" si="19">(B14/B13)</f>
        <v>0.3349957154</v>
      </c>
      <c r="C30" s="42">
        <f t="shared" si="19"/>
        <v>0.3565120108</v>
      </c>
      <c r="D30" s="42">
        <f t="shared" si="19"/>
        <v>0.3675369015</v>
      </c>
      <c r="E30" s="42">
        <f t="shared" si="19"/>
        <v>0.3808280993</v>
      </c>
      <c r="F30" s="43">
        <f t="shared" si="19"/>
        <v>0.3866402133</v>
      </c>
      <c r="G30" s="42">
        <f t="shared" si="19"/>
        <v>0.3847596184</v>
      </c>
      <c r="H30" s="42" t="str">
        <f t="shared" si="19"/>
        <v>#DIV/0!</v>
      </c>
      <c r="I30" s="42" t="str">
        <f t="shared" si="19"/>
        <v>#DIV/0!</v>
      </c>
      <c r="J30" s="42" t="str">
        <f t="shared" si="19"/>
        <v>#DIV/0!</v>
      </c>
      <c r="K30" s="42" t="str">
        <f t="shared" si="19"/>
        <v>#DIV/0!</v>
      </c>
      <c r="L30" s="42" t="str">
        <f t="shared" si="19"/>
        <v>#DIV/0!</v>
      </c>
      <c r="M30" s="42" t="str">
        <f t="shared" si="19"/>
        <v>#DIV/0!</v>
      </c>
      <c r="N30" s="44"/>
      <c r="O30" s="44"/>
    </row>
    <row r="32"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</row>
    <row r="33">
      <c r="A33" s="46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</row>
    <row r="34">
      <c r="A34" s="46"/>
      <c r="B34" s="47"/>
      <c r="C34" s="47"/>
      <c r="D34" s="47"/>
      <c r="E34" s="47"/>
    </row>
    <row r="35">
      <c r="A35" s="6"/>
      <c r="B35" s="47"/>
      <c r="C35" s="47"/>
      <c r="D35" s="47"/>
      <c r="E35" s="47"/>
    </row>
    <row r="36">
      <c r="A36" s="46"/>
      <c r="B36" s="47"/>
      <c r="C36" s="47"/>
      <c r="D36" s="47"/>
      <c r="E36" s="47"/>
    </row>
    <row r="39">
      <c r="H39" s="82"/>
    </row>
    <row r="41">
      <c r="G41" s="82"/>
      <c r="H41" s="82"/>
    </row>
  </sheetData>
  <mergeCells count="1">
    <mergeCell ref="N1:O1"/>
  </mergeCells>
  <drawing r:id="rId4"/>
  <legacy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15" max="15" width="9.88"/>
  </cols>
  <sheetData>
    <row r="1">
      <c r="A1" s="1" t="s">
        <v>51</v>
      </c>
      <c r="B1" s="3">
        <f>Summary!C1</f>
        <v>46113</v>
      </c>
      <c r="C1" s="3">
        <f>Summary!D1</f>
        <v>46143</v>
      </c>
      <c r="D1" s="3">
        <f>Summary!E1</f>
        <v>46174</v>
      </c>
      <c r="E1" s="3">
        <f>Summary!F1</f>
        <v>46204</v>
      </c>
      <c r="F1" s="3">
        <f>Summary!G1</f>
        <v>46235</v>
      </c>
      <c r="G1" s="3">
        <f>Summary!H1</f>
        <v>46266</v>
      </c>
      <c r="H1" s="3">
        <f>Summary!I1</f>
        <v>46296</v>
      </c>
      <c r="I1" s="3">
        <f>Summary!J1</f>
        <v>46327</v>
      </c>
      <c r="J1" s="3">
        <f>Summary!K1</f>
        <v>46357</v>
      </c>
      <c r="K1" s="3">
        <f>Summary!L1</f>
        <v>46388</v>
      </c>
      <c r="L1" s="3">
        <f>Summary!M1</f>
        <v>46419</v>
      </c>
      <c r="M1" s="3">
        <f>Summary!N1</f>
        <v>46447</v>
      </c>
      <c r="N1" s="4" t="s">
        <v>5</v>
      </c>
      <c r="O1" s="5"/>
    </row>
    <row r="2">
      <c r="A2" s="7" t="s">
        <v>6</v>
      </c>
      <c r="B2" s="8"/>
      <c r="C2" s="8"/>
      <c r="D2" s="8"/>
      <c r="E2" s="8"/>
      <c r="F2" s="9"/>
      <c r="G2" s="8"/>
      <c r="H2" s="8"/>
      <c r="I2" s="8"/>
      <c r="J2" s="8"/>
      <c r="K2" s="8"/>
      <c r="L2" s="8"/>
      <c r="M2" s="8"/>
      <c r="N2" s="8"/>
      <c r="O2" s="8"/>
    </row>
    <row r="3">
      <c r="A3" s="10" t="s">
        <v>7</v>
      </c>
      <c r="B3" s="72">
        <v>27910.0</v>
      </c>
      <c r="C3" s="13">
        <f t="shared" ref="C3:M3" si="1">B7</f>
        <v>40786.52</v>
      </c>
      <c r="D3" s="13">
        <f t="shared" si="1"/>
        <v>39038.96</v>
      </c>
      <c r="E3" s="11">
        <f t="shared" si="1"/>
        <v>49439</v>
      </c>
      <c r="F3" s="11">
        <f t="shared" si="1"/>
        <v>36808</v>
      </c>
      <c r="G3" s="11">
        <f t="shared" si="1"/>
        <v>42108</v>
      </c>
      <c r="H3" s="11">
        <f t="shared" si="1"/>
        <v>27220</v>
      </c>
      <c r="I3" s="11" t="str">
        <f t="shared" si="1"/>
        <v/>
      </c>
      <c r="J3" s="11" t="str">
        <f t="shared" si="1"/>
        <v/>
      </c>
      <c r="K3" s="11" t="str">
        <f t="shared" si="1"/>
        <v/>
      </c>
      <c r="L3" s="11" t="str">
        <f t="shared" si="1"/>
        <v/>
      </c>
      <c r="M3" s="11" t="str">
        <f t="shared" si="1"/>
        <v/>
      </c>
      <c r="N3" s="14">
        <f>+SUM(J3:L3)</f>
        <v>0</v>
      </c>
      <c r="O3" s="16"/>
    </row>
    <row r="4">
      <c r="A4" s="10" t="s">
        <v>9</v>
      </c>
      <c r="B4" s="15">
        <v>322224.42</v>
      </c>
      <c r="C4" s="15">
        <v>327727.76</v>
      </c>
      <c r="D4" s="15">
        <f>316922-374</f>
        <v>316548</v>
      </c>
      <c r="E4" s="17">
        <v>309819.0</v>
      </c>
      <c r="F4" s="17">
        <v>396749.93</v>
      </c>
      <c r="G4" s="17">
        <v>325187.15</v>
      </c>
      <c r="H4" s="17"/>
      <c r="I4" s="17"/>
      <c r="J4" s="17"/>
      <c r="K4" s="17"/>
      <c r="L4" s="17"/>
      <c r="M4" s="17"/>
      <c r="N4" s="14">
        <f>sum(B4:M4)</f>
        <v>1998256.26</v>
      </c>
      <c r="O4" s="16"/>
    </row>
    <row r="5">
      <c r="A5" s="10" t="s">
        <v>10</v>
      </c>
      <c r="B5" s="15">
        <v>527.4</v>
      </c>
      <c r="C5" s="15">
        <v>1039.8</v>
      </c>
      <c r="D5" s="15">
        <v>1155.0</v>
      </c>
      <c r="E5" s="17">
        <v>2451.0</v>
      </c>
      <c r="F5" s="17">
        <v>1513.0</v>
      </c>
      <c r="G5" s="17">
        <v>898.71</v>
      </c>
      <c r="H5" s="17"/>
      <c r="I5" s="17"/>
      <c r="J5" s="17"/>
      <c r="K5" s="17"/>
      <c r="L5" s="17"/>
      <c r="M5" s="17"/>
      <c r="N5" s="14">
        <f t="shared" ref="N5:N6" si="2">+SUM(J5:L5)</f>
        <v>0</v>
      </c>
      <c r="O5" s="16"/>
    </row>
    <row r="6">
      <c r="A6" s="10" t="s">
        <v>11</v>
      </c>
      <c r="B6" s="15">
        <v>11145.91</v>
      </c>
      <c r="C6" s="15">
        <v>12011.2</v>
      </c>
      <c r="D6" s="15">
        <v>12346.0</v>
      </c>
      <c r="E6" s="17">
        <v>11727.0</v>
      </c>
      <c r="F6" s="17">
        <v>15937.0</v>
      </c>
      <c r="G6" s="17">
        <v>15517.54</v>
      </c>
      <c r="H6" s="17"/>
      <c r="I6" s="17"/>
      <c r="J6" s="17"/>
      <c r="K6" s="17"/>
      <c r="L6" s="17"/>
      <c r="M6" s="17"/>
      <c r="N6" s="14">
        <f t="shared" si="2"/>
        <v>0</v>
      </c>
      <c r="O6" s="16"/>
    </row>
    <row r="7">
      <c r="A7" s="10" t="s">
        <v>12</v>
      </c>
      <c r="B7" s="15">
        <v>40786.52</v>
      </c>
      <c r="C7" s="15">
        <v>39038.96</v>
      </c>
      <c r="D7" s="15">
        <v>49439.0</v>
      </c>
      <c r="E7" s="17">
        <v>36808.0</v>
      </c>
      <c r="F7" s="17">
        <v>42108.0</v>
      </c>
      <c r="G7" s="17">
        <v>27220.0</v>
      </c>
      <c r="H7" s="17"/>
      <c r="I7" s="17"/>
      <c r="J7" s="17"/>
      <c r="K7" s="17"/>
      <c r="L7" s="17"/>
      <c r="M7" s="17"/>
      <c r="N7" s="14">
        <f>sum(B7:M7)</f>
        <v>235400.48</v>
      </c>
      <c r="O7" s="16"/>
    </row>
    <row r="8">
      <c r="A8" s="8"/>
      <c r="B8" s="8"/>
      <c r="C8" s="8"/>
      <c r="D8" s="8"/>
      <c r="E8" s="8"/>
      <c r="F8" s="9"/>
      <c r="G8" s="8"/>
      <c r="H8" s="8"/>
      <c r="I8" s="8"/>
      <c r="J8" s="8"/>
      <c r="K8" s="8"/>
      <c r="L8" s="8"/>
      <c r="M8" s="8"/>
      <c r="N8" s="8"/>
      <c r="O8" s="8"/>
    </row>
    <row r="9">
      <c r="A9" s="18" t="s">
        <v>13</v>
      </c>
      <c r="B9" s="13">
        <f>1216198.46*1.05+30585.5*1.05</f>
        <v>1309123.158</v>
      </c>
      <c r="C9" s="11">
        <f>1254552.57*1.05+31713.83*1.05</f>
        <v>1350579.72</v>
      </c>
      <c r="D9" s="11">
        <f>1219484.47*1.05+32807.81*1.05</f>
        <v>1314906.894</v>
      </c>
      <c r="E9" s="11">
        <f>1272990.14*1.05+33869*1.05</f>
        <v>1372202.097</v>
      </c>
      <c r="F9" s="11">
        <f>1453073.39*1.05</f>
        <v>1525727.06</v>
      </c>
      <c r="G9" s="11">
        <f>1248887.67*1.05+32102.47*1.05</f>
        <v>1345039.647</v>
      </c>
      <c r="H9" s="11"/>
      <c r="I9" s="11"/>
      <c r="J9" s="11"/>
      <c r="K9" s="11"/>
      <c r="L9" s="11"/>
      <c r="M9" s="11"/>
      <c r="N9" s="14">
        <f t="shared" ref="N9:N12" si="3">+SUM(B9:M9)</f>
        <v>8217578.576</v>
      </c>
      <c r="O9" s="16"/>
    </row>
    <row r="10">
      <c r="A10" s="18" t="s">
        <v>14</v>
      </c>
      <c r="B10" s="15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4">
        <f t="shared" si="3"/>
        <v>0</v>
      </c>
      <c r="O10" s="16"/>
    </row>
    <row r="11">
      <c r="A11" s="18" t="s">
        <v>15</v>
      </c>
      <c r="B11" s="13">
        <f t="shared" ref="B11:M11" si="4">(B9+B10)/1.05*0.05</f>
        <v>62339.198</v>
      </c>
      <c r="C11" s="11">
        <f t="shared" si="4"/>
        <v>64313.32</v>
      </c>
      <c r="D11" s="11">
        <f t="shared" si="4"/>
        <v>62614.614</v>
      </c>
      <c r="E11" s="11">
        <f t="shared" si="4"/>
        <v>65342.957</v>
      </c>
      <c r="F11" s="11">
        <f t="shared" si="4"/>
        <v>72653.6695</v>
      </c>
      <c r="G11" s="11">
        <f t="shared" si="4"/>
        <v>64049.507</v>
      </c>
      <c r="H11" s="11">
        <f t="shared" si="4"/>
        <v>0</v>
      </c>
      <c r="I11" s="11">
        <f t="shared" si="4"/>
        <v>0</v>
      </c>
      <c r="J11" s="11">
        <f t="shared" si="4"/>
        <v>0</v>
      </c>
      <c r="K11" s="11">
        <f t="shared" si="4"/>
        <v>0</v>
      </c>
      <c r="L11" s="11">
        <f t="shared" si="4"/>
        <v>0</v>
      </c>
      <c r="M11" s="11">
        <f t="shared" si="4"/>
        <v>0</v>
      </c>
      <c r="N11" s="14">
        <f t="shared" si="3"/>
        <v>391313.2655</v>
      </c>
      <c r="O11" s="16"/>
    </row>
    <row r="12">
      <c r="A12" s="18" t="s">
        <v>16</v>
      </c>
      <c r="B12" s="15">
        <f>71144.64*1.18+53263.03*1.18+11161.37*1.18+337.04*1.18</f>
        <v>160369.1744</v>
      </c>
      <c r="C12" s="17">
        <f>73401.17*1.18+43615.84*1.18+47.49*1.18+176.93*1.18+17958.42*1.18</f>
        <v>159535.823</v>
      </c>
      <c r="D12" s="11">
        <f>341.13*1.18+67901.55*1.18+426.48*1.18+76039.2*1.18</f>
        <v>170755.8648</v>
      </c>
      <c r="E12" s="11">
        <f>78804.9*1.18+163.58*1.18+72843.53*1.18</f>
        <v>179138.1718</v>
      </c>
      <c r="F12" s="11">
        <f>86663.08*1.18+78505.67*1.18+85.55*1.18</f>
        <v>195000.074</v>
      </c>
      <c r="G12" s="11">
        <f>74446.03*1.18+73875.21*1.18+152.09*1.18+36.99*1.18</f>
        <v>175242.1776</v>
      </c>
      <c r="H12" s="11"/>
      <c r="I12" s="11"/>
      <c r="J12" s="11"/>
      <c r="K12" s="11"/>
      <c r="L12" s="11"/>
      <c r="M12" s="11"/>
      <c r="N12" s="14">
        <f t="shared" si="3"/>
        <v>1040041.286</v>
      </c>
      <c r="O12" s="16"/>
    </row>
    <row r="13">
      <c r="A13" s="19" t="s">
        <v>17</v>
      </c>
      <c r="B13" s="21">
        <f t="shared" ref="B13:M13" si="5">B9+B10-B11-B12</f>
        <v>1086414.786</v>
      </c>
      <c r="C13" s="21">
        <f t="shared" si="5"/>
        <v>1126730.577</v>
      </c>
      <c r="D13" s="21">
        <f t="shared" si="5"/>
        <v>1081536.415</v>
      </c>
      <c r="E13" s="21">
        <f t="shared" si="5"/>
        <v>1127720.968</v>
      </c>
      <c r="F13" s="22">
        <f t="shared" si="5"/>
        <v>1258073.316</v>
      </c>
      <c r="G13" s="22">
        <f t="shared" si="5"/>
        <v>1105747.962</v>
      </c>
      <c r="H13" s="21">
        <f t="shared" si="5"/>
        <v>0</v>
      </c>
      <c r="I13" s="21">
        <f t="shared" si="5"/>
        <v>0</v>
      </c>
      <c r="J13" s="21">
        <f t="shared" si="5"/>
        <v>0</v>
      </c>
      <c r="K13" s="21">
        <f t="shared" si="5"/>
        <v>0</v>
      </c>
      <c r="L13" s="21">
        <f t="shared" si="5"/>
        <v>0</v>
      </c>
      <c r="M13" s="21">
        <f t="shared" si="5"/>
        <v>0</v>
      </c>
      <c r="N13" s="21">
        <f t="shared" ref="N13:N29" si="7">sum(B13:M13)</f>
        <v>6786224.024</v>
      </c>
      <c r="O13" s="23"/>
    </row>
    <row r="14">
      <c r="A14" s="18" t="s">
        <v>20</v>
      </c>
      <c r="B14" s="24">
        <f t="shared" ref="B14:M14" si="6">+B3+B4-B5-B7</f>
        <v>308820.5</v>
      </c>
      <c r="C14" s="24">
        <f t="shared" si="6"/>
        <v>328435.52</v>
      </c>
      <c r="D14" s="24">
        <f t="shared" si="6"/>
        <v>304992.96</v>
      </c>
      <c r="E14" s="24">
        <f t="shared" si="6"/>
        <v>319999</v>
      </c>
      <c r="F14" s="24">
        <f t="shared" si="6"/>
        <v>389936.93</v>
      </c>
      <c r="G14" s="24">
        <f t="shared" si="6"/>
        <v>339176.44</v>
      </c>
      <c r="H14" s="24">
        <f t="shared" si="6"/>
        <v>27220</v>
      </c>
      <c r="I14" s="24">
        <f t="shared" si="6"/>
        <v>0</v>
      </c>
      <c r="J14" s="24">
        <f t="shared" si="6"/>
        <v>0</v>
      </c>
      <c r="K14" s="24">
        <f t="shared" si="6"/>
        <v>0</v>
      </c>
      <c r="L14" s="24">
        <f t="shared" si="6"/>
        <v>0</v>
      </c>
      <c r="M14" s="24">
        <f t="shared" si="6"/>
        <v>0</v>
      </c>
      <c r="N14" s="14">
        <f t="shared" si="7"/>
        <v>2018581.35</v>
      </c>
      <c r="O14" s="25">
        <f t="shared" ref="O14:O27" si="8">N14/$N$13</f>
        <v>0.2974528018</v>
      </c>
    </row>
    <row r="15">
      <c r="A15" s="18" t="s">
        <v>21</v>
      </c>
      <c r="B15" s="83">
        <f>54730+2970</f>
        <v>57700</v>
      </c>
      <c r="C15" s="17">
        <f>60590+7800</f>
        <v>68390</v>
      </c>
      <c r="D15" s="17">
        <f>57630+8390</f>
        <v>66020</v>
      </c>
      <c r="E15" s="17">
        <f>57480+9190</f>
        <v>66670</v>
      </c>
      <c r="F15" s="17">
        <f>55540+8580</f>
        <v>64120</v>
      </c>
      <c r="G15" s="26">
        <v>65000.0</v>
      </c>
      <c r="H15" s="17"/>
      <c r="I15" s="11"/>
      <c r="J15" s="17"/>
      <c r="K15" s="11"/>
      <c r="L15" s="17"/>
      <c r="M15" s="11"/>
      <c r="N15" s="14">
        <f t="shared" si="7"/>
        <v>387900</v>
      </c>
      <c r="O15" s="25">
        <f t="shared" si="8"/>
        <v>0.05715991671</v>
      </c>
    </row>
    <row r="16">
      <c r="A16" s="18" t="s">
        <v>22</v>
      </c>
      <c r="B16" s="84">
        <f t="shared" ref="B16:D16" si="9">352.82</f>
        <v>352.82</v>
      </c>
      <c r="C16" s="84">
        <f t="shared" si="9"/>
        <v>352.82</v>
      </c>
      <c r="D16" s="84">
        <f t="shared" si="9"/>
        <v>352.82</v>
      </c>
      <c r="E16" s="11">
        <f>352.82+4300/12</f>
        <v>711.1533333</v>
      </c>
      <c r="F16" s="11">
        <f t="shared" ref="F16:G16" si="10">4300/12+352.82</f>
        <v>711.1533333</v>
      </c>
      <c r="G16" s="11">
        <f t="shared" si="10"/>
        <v>711.1533333</v>
      </c>
      <c r="H16" s="11">
        <f t="shared" ref="H16:M16" si="11">4300/12</f>
        <v>358.3333333</v>
      </c>
      <c r="I16" s="11">
        <f t="shared" si="11"/>
        <v>358.3333333</v>
      </c>
      <c r="J16" s="11">
        <f t="shared" si="11"/>
        <v>358.3333333</v>
      </c>
      <c r="K16" s="11">
        <f t="shared" si="11"/>
        <v>358.3333333</v>
      </c>
      <c r="L16" s="11">
        <f t="shared" si="11"/>
        <v>358.3333333</v>
      </c>
      <c r="M16" s="11">
        <f t="shared" si="11"/>
        <v>358.3333333</v>
      </c>
      <c r="N16" s="14">
        <f t="shared" si="7"/>
        <v>5341.92</v>
      </c>
      <c r="O16" s="25">
        <f t="shared" si="8"/>
        <v>0.000787171184</v>
      </c>
    </row>
    <row r="17">
      <c r="A17" s="18" t="s">
        <v>23</v>
      </c>
      <c r="B17" s="84">
        <f>11040+6624</f>
        <v>17664</v>
      </c>
      <c r="C17" s="17">
        <f>19212+22414+19212</f>
        <v>60838</v>
      </c>
      <c r="D17" s="17">
        <v>52088.0</v>
      </c>
      <c r="E17" s="17">
        <v>58549.0</v>
      </c>
      <c r="F17" s="17">
        <f>50355.5</f>
        <v>50355.5</v>
      </c>
      <c r="G17" s="17">
        <f>53371</f>
        <v>53371</v>
      </c>
      <c r="H17" s="17"/>
      <c r="I17" s="11"/>
      <c r="J17" s="17"/>
      <c r="K17" s="17"/>
      <c r="L17" s="11"/>
      <c r="M17" s="11"/>
      <c r="N17" s="14">
        <f t="shared" si="7"/>
        <v>292865.5</v>
      </c>
      <c r="O17" s="25">
        <f t="shared" si="8"/>
        <v>0.04315588447</v>
      </c>
    </row>
    <row r="18">
      <c r="A18" s="18" t="s">
        <v>24</v>
      </c>
      <c r="B18" s="84">
        <f t="shared" ref="B18:G18" si="12">42280.58+42280.58</f>
        <v>84561.16</v>
      </c>
      <c r="C18" s="11">
        <f t="shared" si="12"/>
        <v>84561.16</v>
      </c>
      <c r="D18" s="11">
        <f t="shared" si="12"/>
        <v>84561.16</v>
      </c>
      <c r="E18" s="11">
        <f t="shared" si="12"/>
        <v>84561.16</v>
      </c>
      <c r="F18" s="11">
        <f t="shared" si="12"/>
        <v>84561.16</v>
      </c>
      <c r="G18" s="11">
        <f t="shared" si="12"/>
        <v>84561.16</v>
      </c>
      <c r="H18" s="11"/>
      <c r="I18" s="11"/>
      <c r="J18" s="11"/>
      <c r="K18" s="11"/>
      <c r="L18" s="11"/>
      <c r="M18" s="11"/>
      <c r="N18" s="14">
        <f t="shared" si="7"/>
        <v>507366.96</v>
      </c>
      <c r="O18" s="25">
        <f t="shared" si="8"/>
        <v>0.07476425154</v>
      </c>
    </row>
    <row r="19">
      <c r="A19" s="18" t="s">
        <v>25</v>
      </c>
      <c r="B19" s="83">
        <v>5767.0</v>
      </c>
      <c r="C19" s="83">
        <v>5767.0</v>
      </c>
      <c r="D19" s="83">
        <v>5767.0</v>
      </c>
      <c r="E19" s="83">
        <v>5767.0</v>
      </c>
      <c r="F19" s="83">
        <v>5767.0</v>
      </c>
      <c r="G19" s="83">
        <v>5767.0</v>
      </c>
      <c r="H19" s="17"/>
      <c r="I19" s="17"/>
      <c r="J19" s="17"/>
      <c r="K19" s="17"/>
      <c r="L19" s="17"/>
      <c r="M19" s="17"/>
      <c r="N19" s="14">
        <f t="shared" si="7"/>
        <v>34602</v>
      </c>
      <c r="O19" s="25">
        <f t="shared" si="8"/>
        <v>0.005098859082</v>
      </c>
    </row>
    <row r="20">
      <c r="A20" s="20" t="s">
        <v>26</v>
      </c>
      <c r="B20" s="84">
        <f>197466</f>
        <v>197466</v>
      </c>
      <c r="C20" s="11">
        <f>204020</f>
        <v>204020</v>
      </c>
      <c r="D20" s="11">
        <f>187306</f>
        <v>187306</v>
      </c>
      <c r="E20" s="11">
        <f>188837.35</f>
        <v>188837.35</v>
      </c>
      <c r="F20" s="11">
        <f>196060</f>
        <v>196060</v>
      </c>
      <c r="G20" s="11">
        <f>188234</f>
        <v>188234</v>
      </c>
      <c r="H20" s="11"/>
      <c r="I20" s="11"/>
      <c r="J20" s="11"/>
      <c r="K20" s="11"/>
      <c r="L20" s="11"/>
      <c r="M20" s="11"/>
      <c r="N20" s="14">
        <f t="shared" si="7"/>
        <v>1161923.35</v>
      </c>
      <c r="O20" s="25">
        <f t="shared" si="8"/>
        <v>0.1712179477</v>
      </c>
    </row>
    <row r="21">
      <c r="A21" s="10" t="s">
        <v>27</v>
      </c>
      <c r="B21" s="83">
        <f t="shared" ref="B21:C21" si="13">3100+5145+3717+2956+450</f>
        <v>15368</v>
      </c>
      <c r="C21" s="83">
        <f t="shared" si="13"/>
        <v>15368</v>
      </c>
      <c r="D21" s="17">
        <f>2596+4089+5145</f>
        <v>11830</v>
      </c>
      <c r="E21" s="11">
        <f>5145+2596+4089+2400</f>
        <v>14230</v>
      </c>
      <c r="F21" s="11">
        <f t="shared" ref="F21:G21" si="14">2596+4089+5145</f>
        <v>11830</v>
      </c>
      <c r="G21" s="11">
        <f t="shared" si="14"/>
        <v>11830</v>
      </c>
      <c r="H21" s="11"/>
      <c r="I21" s="11"/>
      <c r="J21" s="11"/>
      <c r="K21" s="11"/>
      <c r="L21" s="11"/>
      <c r="M21" s="11"/>
      <c r="N21" s="14">
        <f t="shared" si="7"/>
        <v>80456</v>
      </c>
      <c r="O21" s="25">
        <f t="shared" si="8"/>
        <v>0.01185578309</v>
      </c>
    </row>
    <row r="22">
      <c r="A22" s="30" t="s">
        <v>28</v>
      </c>
      <c r="B22" s="84">
        <f t="shared" ref="B22:G22" si="15">2516.16/3+9813/12+7080/12</f>
        <v>2246.47</v>
      </c>
      <c r="C22" s="84">
        <f t="shared" si="15"/>
        <v>2246.47</v>
      </c>
      <c r="D22" s="84">
        <f t="shared" si="15"/>
        <v>2246.47</v>
      </c>
      <c r="E22" s="84">
        <f t="shared" si="15"/>
        <v>2246.47</v>
      </c>
      <c r="F22" s="84">
        <f t="shared" si="15"/>
        <v>2246.47</v>
      </c>
      <c r="G22" s="84">
        <f t="shared" si="15"/>
        <v>2246.47</v>
      </c>
      <c r="H22" s="11">
        <f t="shared" ref="H22:M22" si="16">9813/12</f>
        <v>817.75</v>
      </c>
      <c r="I22" s="11">
        <f t="shared" si="16"/>
        <v>817.75</v>
      </c>
      <c r="J22" s="11">
        <f t="shared" si="16"/>
        <v>817.75</v>
      </c>
      <c r="K22" s="11">
        <f t="shared" si="16"/>
        <v>817.75</v>
      </c>
      <c r="L22" s="11">
        <f t="shared" si="16"/>
        <v>817.75</v>
      </c>
      <c r="M22" s="11">
        <f t="shared" si="16"/>
        <v>817.75</v>
      </c>
      <c r="N22" s="14">
        <f t="shared" si="7"/>
        <v>18385.32</v>
      </c>
      <c r="O22" s="25">
        <f t="shared" si="8"/>
        <v>0.002709212065</v>
      </c>
    </row>
    <row r="23">
      <c r="A23" s="20" t="s">
        <v>29</v>
      </c>
      <c r="B23" s="89">
        <f t="shared" ref="B23:M23" si="17">7885/12+1083/12</f>
        <v>747.3333333</v>
      </c>
      <c r="C23" s="32">
        <f t="shared" si="17"/>
        <v>747.3333333</v>
      </c>
      <c r="D23" s="32">
        <f t="shared" si="17"/>
        <v>747.3333333</v>
      </c>
      <c r="E23" s="32">
        <f t="shared" si="17"/>
        <v>747.3333333</v>
      </c>
      <c r="F23" s="32">
        <f t="shared" si="17"/>
        <v>747.3333333</v>
      </c>
      <c r="G23" s="32">
        <f t="shared" si="17"/>
        <v>747.3333333</v>
      </c>
      <c r="H23" s="32">
        <f t="shared" si="17"/>
        <v>747.3333333</v>
      </c>
      <c r="I23" s="32">
        <f t="shared" si="17"/>
        <v>747.3333333</v>
      </c>
      <c r="J23" s="32">
        <f t="shared" si="17"/>
        <v>747.3333333</v>
      </c>
      <c r="K23" s="32">
        <f t="shared" si="17"/>
        <v>747.3333333</v>
      </c>
      <c r="L23" s="32">
        <f t="shared" si="17"/>
        <v>747.3333333</v>
      </c>
      <c r="M23" s="32">
        <f t="shared" si="17"/>
        <v>747.3333333</v>
      </c>
      <c r="N23" s="14">
        <f t="shared" si="7"/>
        <v>8968</v>
      </c>
      <c r="O23" s="25">
        <f t="shared" si="8"/>
        <v>0.00132150073</v>
      </c>
    </row>
    <row r="24">
      <c r="A24" s="18" t="s">
        <v>30</v>
      </c>
      <c r="B24" s="89">
        <f>1680</f>
        <v>1680</v>
      </c>
      <c r="C24" s="32">
        <v>6933.0</v>
      </c>
      <c r="D24" s="32">
        <v>27230.0</v>
      </c>
      <c r="E24" s="34">
        <f>'Misc Exp'!E133</f>
        <v>7680</v>
      </c>
      <c r="F24" s="34">
        <f>'Misc Exp'!E90</f>
        <v>16857</v>
      </c>
      <c r="G24" s="34">
        <f>'Misc Exp'!E43</f>
        <v>1950</v>
      </c>
      <c r="H24" s="34"/>
      <c r="I24" s="34"/>
      <c r="J24" s="34"/>
      <c r="K24" s="34"/>
      <c r="L24" s="34"/>
      <c r="M24" s="34"/>
      <c r="N24" s="14">
        <f t="shared" si="7"/>
        <v>62330</v>
      </c>
      <c r="O24" s="25">
        <f t="shared" si="8"/>
        <v>0.009184783729</v>
      </c>
    </row>
    <row r="25">
      <c r="A25" s="18" t="s">
        <v>31</v>
      </c>
      <c r="B25" s="83">
        <f>21934/12+8743.66</f>
        <v>10571.49333</v>
      </c>
      <c r="C25" s="17">
        <f>21934/12+19715</f>
        <v>21542.83333</v>
      </c>
      <c r="D25" s="17">
        <f>21934/12+7823.6</f>
        <v>9651.433333</v>
      </c>
      <c r="E25" s="17">
        <f>21934/12+'Misc Exp'!E126</f>
        <v>22414.11667</v>
      </c>
      <c r="F25" s="17">
        <f>21934/12+'Misc Exp'!E84</f>
        <v>9254.703333</v>
      </c>
      <c r="G25" s="17">
        <f>21934/12+'Misc Exp'!E38</f>
        <v>17706.86333</v>
      </c>
      <c r="H25" s="17">
        <f t="shared" ref="H25:M25" si="18">21934/12</f>
        <v>1827.833333</v>
      </c>
      <c r="I25" s="17">
        <f t="shared" si="18"/>
        <v>1827.833333</v>
      </c>
      <c r="J25" s="17">
        <f t="shared" si="18"/>
        <v>1827.833333</v>
      </c>
      <c r="K25" s="17">
        <f t="shared" si="18"/>
        <v>1827.833333</v>
      </c>
      <c r="L25" s="17">
        <f t="shared" si="18"/>
        <v>1827.833333</v>
      </c>
      <c r="M25" s="17">
        <f t="shared" si="18"/>
        <v>1827.833333</v>
      </c>
      <c r="N25" s="14">
        <f t="shared" si="7"/>
        <v>102108.4433</v>
      </c>
      <c r="O25" s="25">
        <f t="shared" si="8"/>
        <v>0.01504642979</v>
      </c>
    </row>
    <row r="26">
      <c r="A26" s="18" t="s">
        <v>32</v>
      </c>
      <c r="B26" s="17">
        <v>0.0</v>
      </c>
      <c r="C26" s="17">
        <v>0.0</v>
      </c>
      <c r="D26" s="17">
        <v>0.0</v>
      </c>
      <c r="E26" s="17">
        <v>0.0</v>
      </c>
      <c r="F26" s="17">
        <v>0.0</v>
      </c>
      <c r="G26" s="17">
        <v>0.0</v>
      </c>
      <c r="H26" s="11"/>
      <c r="I26" s="11"/>
      <c r="J26" s="11"/>
      <c r="K26" s="11"/>
      <c r="L26" s="11"/>
      <c r="M26" s="11"/>
      <c r="N26" s="14">
        <f t="shared" si="7"/>
        <v>0</v>
      </c>
      <c r="O26" s="25">
        <f t="shared" si="8"/>
        <v>0</v>
      </c>
    </row>
    <row r="27">
      <c r="A27" s="18" t="s">
        <v>33</v>
      </c>
      <c r="B27" s="84">
        <f>HO!D36</f>
        <v>241214.3328</v>
      </c>
      <c r="C27" s="11">
        <f>HO!H36</f>
        <v>236710.8543</v>
      </c>
      <c r="D27" s="11">
        <f>HO!L36</f>
        <v>236975.2508</v>
      </c>
      <c r="E27" s="11">
        <f>HO!P36</f>
        <v>246680.4759</v>
      </c>
      <c r="F27" s="11">
        <f>HO!D55</f>
        <v>249778.3887</v>
      </c>
      <c r="G27" s="11">
        <f>HO!H55</f>
        <v>247740.6131</v>
      </c>
      <c r="H27" s="11" t="str">
        <f>HO!L55</f>
        <v>#DIV/0!</v>
      </c>
      <c r="I27" s="11" t="str">
        <f>HO!P55</f>
        <v>#DIV/0!</v>
      </c>
      <c r="J27" s="11" t="str">
        <f>HO!D74</f>
        <v>#DIV/0!</v>
      </c>
      <c r="K27" s="11" t="str">
        <f>HO!H74</f>
        <v>#DIV/0!</v>
      </c>
      <c r="L27" s="11" t="str">
        <f>HO!L74</f>
        <v>#DIV/0!</v>
      </c>
      <c r="M27" s="11" t="str">
        <f>HO!P74</f>
        <v>#DIV/0!</v>
      </c>
      <c r="N27" s="14" t="str">
        <f t="shared" si="7"/>
        <v>#DIV/0!</v>
      </c>
      <c r="O27" s="25" t="str">
        <f t="shared" si="8"/>
        <v>#DIV/0!</v>
      </c>
    </row>
    <row r="28">
      <c r="A28" s="35" t="s">
        <v>34</v>
      </c>
      <c r="B28" s="36">
        <f t="shared" ref="B28:M28" si="19">+SUM(B14:B27)</f>
        <v>944159.1094</v>
      </c>
      <c r="C28" s="36">
        <f t="shared" si="19"/>
        <v>1035912.991</v>
      </c>
      <c r="D28" s="36">
        <f t="shared" si="19"/>
        <v>989768.4275</v>
      </c>
      <c r="E28" s="36">
        <f t="shared" si="19"/>
        <v>1019093.059</v>
      </c>
      <c r="F28" s="48">
        <f t="shared" si="19"/>
        <v>1082225.639</v>
      </c>
      <c r="G28" s="36">
        <f t="shared" si="19"/>
        <v>1019042.033</v>
      </c>
      <c r="H28" s="36" t="str">
        <f t="shared" si="19"/>
        <v>#DIV/0!</v>
      </c>
      <c r="I28" s="36" t="str">
        <f t="shared" si="19"/>
        <v>#DIV/0!</v>
      </c>
      <c r="J28" s="36" t="str">
        <f t="shared" si="19"/>
        <v>#DIV/0!</v>
      </c>
      <c r="K28" s="36" t="str">
        <f t="shared" si="19"/>
        <v>#DIV/0!</v>
      </c>
      <c r="L28" s="36" t="str">
        <f t="shared" si="19"/>
        <v>#DIV/0!</v>
      </c>
      <c r="M28" s="36" t="str">
        <f t="shared" si="19"/>
        <v>#DIV/0!</v>
      </c>
      <c r="N28" s="36" t="str">
        <f t="shared" si="7"/>
        <v>#DIV/0!</v>
      </c>
      <c r="O28" s="37" t="str">
        <f>N28/N13</f>
        <v>#DIV/0!</v>
      </c>
    </row>
    <row r="29">
      <c r="A29" s="38" t="s">
        <v>35</v>
      </c>
      <c r="B29" s="39">
        <f t="shared" ref="B29:M29" si="20">B13-B28</f>
        <v>142255.6762</v>
      </c>
      <c r="C29" s="39">
        <f t="shared" si="20"/>
        <v>90817.58607</v>
      </c>
      <c r="D29" s="39">
        <f t="shared" si="20"/>
        <v>91767.98772</v>
      </c>
      <c r="E29" s="39">
        <f t="shared" si="20"/>
        <v>108627.909</v>
      </c>
      <c r="F29" s="39">
        <f t="shared" si="20"/>
        <v>175847.6773</v>
      </c>
      <c r="G29" s="39">
        <f t="shared" si="20"/>
        <v>86705.9293</v>
      </c>
      <c r="H29" s="39" t="str">
        <f t="shared" si="20"/>
        <v>#DIV/0!</v>
      </c>
      <c r="I29" s="39" t="str">
        <f t="shared" si="20"/>
        <v>#DIV/0!</v>
      </c>
      <c r="J29" s="39" t="str">
        <f t="shared" si="20"/>
        <v>#DIV/0!</v>
      </c>
      <c r="K29" s="39" t="str">
        <f t="shared" si="20"/>
        <v>#DIV/0!</v>
      </c>
      <c r="L29" s="39" t="str">
        <f t="shared" si="20"/>
        <v>#DIV/0!</v>
      </c>
      <c r="M29" s="39" t="str">
        <f t="shared" si="20"/>
        <v>#DIV/0!</v>
      </c>
      <c r="N29" s="39" t="str">
        <f t="shared" si="7"/>
        <v>#DIV/0!</v>
      </c>
      <c r="O29" s="40" t="str">
        <f>N29/N13</f>
        <v>#DIV/0!</v>
      </c>
    </row>
    <row r="30">
      <c r="A30" s="41" t="s">
        <v>36</v>
      </c>
      <c r="B30" s="42">
        <f t="shared" ref="B30:M30" si="21">(B14/B13)</f>
        <v>0.2842565327</v>
      </c>
      <c r="C30" s="42">
        <f t="shared" si="21"/>
        <v>0.2914942815</v>
      </c>
      <c r="D30" s="42">
        <f t="shared" si="21"/>
        <v>0.2819997142</v>
      </c>
      <c r="E30" s="42">
        <f t="shared" si="21"/>
        <v>0.2837572494</v>
      </c>
      <c r="F30" s="43">
        <f t="shared" si="21"/>
        <v>0.3099476994</v>
      </c>
      <c r="G30" s="42">
        <f t="shared" si="21"/>
        <v>0.306739376</v>
      </c>
      <c r="H30" s="42" t="str">
        <f t="shared" si="21"/>
        <v>#DIV/0!</v>
      </c>
      <c r="I30" s="42" t="str">
        <f t="shared" si="21"/>
        <v>#DIV/0!</v>
      </c>
      <c r="J30" s="42" t="str">
        <f t="shared" si="21"/>
        <v>#DIV/0!</v>
      </c>
      <c r="K30" s="42" t="str">
        <f t="shared" si="21"/>
        <v>#DIV/0!</v>
      </c>
      <c r="L30" s="42" t="str">
        <f t="shared" si="21"/>
        <v>#DIV/0!</v>
      </c>
      <c r="M30" s="42" t="str">
        <f t="shared" si="21"/>
        <v>#DIV/0!</v>
      </c>
      <c r="N30" s="44"/>
      <c r="O30" s="44"/>
    </row>
    <row r="32"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</row>
    <row r="33">
      <c r="A33" s="46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</row>
    <row r="34">
      <c r="A34" s="46"/>
      <c r="B34" s="47"/>
      <c r="C34" s="47"/>
      <c r="D34" s="47"/>
      <c r="E34" s="47"/>
    </row>
    <row r="35">
      <c r="A35" s="6"/>
      <c r="B35" s="47"/>
      <c r="C35" s="47"/>
      <c r="D35" s="47"/>
      <c r="E35" s="47"/>
    </row>
    <row r="36">
      <c r="A36" s="46"/>
      <c r="B36" s="47"/>
      <c r="C36" s="47"/>
      <c r="D36" s="47"/>
      <c r="E36" s="47"/>
    </row>
  </sheetData>
  <mergeCells count="1">
    <mergeCell ref="N1:O1"/>
  </mergeCells>
  <drawing r:id="rId4"/>
  <legacy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15" max="15" width="9.88"/>
  </cols>
  <sheetData>
    <row r="1">
      <c r="A1" s="1" t="s">
        <v>52</v>
      </c>
      <c r="B1" s="3">
        <f>Summary!C1</f>
        <v>46113</v>
      </c>
      <c r="C1" s="3">
        <f>Summary!D1</f>
        <v>46143</v>
      </c>
      <c r="D1" s="3">
        <f>Summary!E1</f>
        <v>46174</v>
      </c>
      <c r="E1" s="3">
        <f>Summary!F1</f>
        <v>46204</v>
      </c>
      <c r="F1" s="3">
        <f>Summary!G1</f>
        <v>46235</v>
      </c>
      <c r="G1" s="3">
        <f>Summary!H1</f>
        <v>46266</v>
      </c>
      <c r="H1" s="3">
        <f>Summary!I1</f>
        <v>46296</v>
      </c>
      <c r="I1" s="3">
        <f>Summary!J1</f>
        <v>46327</v>
      </c>
      <c r="J1" s="3">
        <f>Summary!K1</f>
        <v>46357</v>
      </c>
      <c r="K1" s="3">
        <f>Summary!L1</f>
        <v>46388</v>
      </c>
      <c r="L1" s="3">
        <f>Summary!M1</f>
        <v>46419</v>
      </c>
      <c r="M1" s="3">
        <f>Summary!N1</f>
        <v>46447</v>
      </c>
      <c r="N1" s="4" t="s">
        <v>5</v>
      </c>
      <c r="O1" s="5"/>
    </row>
    <row r="2">
      <c r="A2" s="7" t="s">
        <v>6</v>
      </c>
      <c r="B2" s="8"/>
      <c r="C2" s="8"/>
      <c r="D2" s="8"/>
      <c r="E2" s="8"/>
      <c r="F2" s="9"/>
      <c r="G2" s="8"/>
      <c r="H2" s="8"/>
      <c r="I2" s="8"/>
      <c r="J2" s="8"/>
      <c r="K2" s="8"/>
      <c r="L2" s="8"/>
      <c r="M2" s="8"/>
      <c r="N2" s="8"/>
      <c r="O2" s="8"/>
    </row>
    <row r="3">
      <c r="A3" s="10" t="s">
        <v>7</v>
      </c>
      <c r="B3" s="85">
        <v>23040.0</v>
      </c>
      <c r="C3" s="86">
        <f t="shared" ref="C3:M3" si="1">B7</f>
        <v>24932.46</v>
      </c>
      <c r="D3" s="11">
        <f t="shared" si="1"/>
        <v>21614.93</v>
      </c>
      <c r="E3" s="11">
        <f t="shared" si="1"/>
        <v>25343</v>
      </c>
      <c r="F3" s="11">
        <f t="shared" si="1"/>
        <v>23427</v>
      </c>
      <c r="G3" s="11">
        <f t="shared" si="1"/>
        <v>25030.9</v>
      </c>
      <c r="H3" s="11">
        <f t="shared" si="1"/>
        <v>27434.27</v>
      </c>
      <c r="I3" s="11" t="str">
        <f t="shared" si="1"/>
        <v/>
      </c>
      <c r="J3" s="11" t="str">
        <f t="shared" si="1"/>
        <v/>
      </c>
      <c r="K3" s="11" t="str">
        <f t="shared" si="1"/>
        <v/>
      </c>
      <c r="L3" s="11" t="str">
        <f t="shared" si="1"/>
        <v/>
      </c>
      <c r="M3" s="11" t="str">
        <f t="shared" si="1"/>
        <v/>
      </c>
      <c r="N3" s="14">
        <f>+SUM(J3:L3)</f>
        <v>0</v>
      </c>
      <c r="O3" s="16"/>
    </row>
    <row r="4">
      <c r="A4" s="10" t="s">
        <v>9</v>
      </c>
      <c r="B4" s="87">
        <f>313579.86</f>
        <v>313579.86</v>
      </c>
      <c r="C4" s="87">
        <v>244982.0</v>
      </c>
      <c r="D4" s="17">
        <v>332658.81</v>
      </c>
      <c r="E4" s="17">
        <v>339375.0</v>
      </c>
      <c r="F4" s="17">
        <v>361798.99</v>
      </c>
      <c r="G4" s="17">
        <v>349072.71</v>
      </c>
      <c r="H4" s="17"/>
      <c r="I4" s="17"/>
      <c r="J4" s="17"/>
      <c r="K4" s="17"/>
      <c r="L4" s="17"/>
      <c r="M4" s="17"/>
      <c r="N4" s="14">
        <f>sum(B4:M4)</f>
        <v>1941467.37</v>
      </c>
      <c r="O4" s="16"/>
    </row>
    <row r="5">
      <c r="A5" s="10" t="s">
        <v>10</v>
      </c>
      <c r="B5" s="87">
        <f>921.61</f>
        <v>921.61</v>
      </c>
      <c r="C5" s="87">
        <v>1998.0</v>
      </c>
      <c r="D5" s="17">
        <v>207.32</v>
      </c>
      <c r="E5" s="17">
        <v>51.67</v>
      </c>
      <c r="F5" s="17">
        <v>839.0</v>
      </c>
      <c r="G5" s="17">
        <v>694.0</v>
      </c>
      <c r="H5" s="17"/>
      <c r="I5" s="17"/>
      <c r="J5" s="17"/>
      <c r="K5" s="17"/>
      <c r="L5" s="17"/>
      <c r="M5" s="17"/>
      <c r="N5" s="14">
        <f t="shared" ref="N5:N6" si="2">+SUM(J5:L5)</f>
        <v>0</v>
      </c>
      <c r="O5" s="16"/>
    </row>
    <row r="6">
      <c r="A6" s="10" t="s">
        <v>11</v>
      </c>
      <c r="B6" s="87">
        <v>9327.27</v>
      </c>
      <c r="C6" s="87">
        <v>7688.64</v>
      </c>
      <c r="D6" s="17">
        <v>12263.0</v>
      </c>
      <c r="E6" s="17">
        <v>12490.0</v>
      </c>
      <c r="F6" s="17">
        <v>11561.52</v>
      </c>
      <c r="G6" s="17">
        <v>22913.0</v>
      </c>
      <c r="H6" s="17"/>
      <c r="I6" s="17"/>
      <c r="J6" s="17"/>
      <c r="K6" s="17"/>
      <c r="L6" s="17"/>
      <c r="M6" s="17"/>
      <c r="N6" s="14">
        <f t="shared" si="2"/>
        <v>0</v>
      </c>
      <c r="O6" s="16"/>
    </row>
    <row r="7">
      <c r="A7" s="10" t="s">
        <v>12</v>
      </c>
      <c r="B7" s="87">
        <v>24932.46</v>
      </c>
      <c r="C7" s="87">
        <v>21614.93</v>
      </c>
      <c r="D7" s="17">
        <v>25343.0</v>
      </c>
      <c r="E7" s="17">
        <v>23427.0</v>
      </c>
      <c r="F7" s="17">
        <v>25030.9</v>
      </c>
      <c r="G7" s="17">
        <v>27434.27</v>
      </c>
      <c r="H7" s="17"/>
      <c r="I7" s="17"/>
      <c r="J7" s="17"/>
      <c r="K7" s="17"/>
      <c r="L7" s="17"/>
      <c r="M7" s="17"/>
      <c r="N7" s="14">
        <f>sum(B7:M7)</f>
        <v>147782.56</v>
      </c>
      <c r="O7" s="16"/>
    </row>
    <row r="8">
      <c r="A8" s="8"/>
      <c r="B8" s="88"/>
      <c r="C8" s="88"/>
      <c r="D8" s="8"/>
      <c r="E8" s="8"/>
      <c r="F8" s="9"/>
      <c r="G8" s="8"/>
      <c r="H8" s="8"/>
      <c r="I8" s="8"/>
      <c r="J8" s="8"/>
      <c r="K8" s="8"/>
      <c r="L8" s="8"/>
      <c r="M8" s="8"/>
      <c r="N8" s="8"/>
      <c r="O8" s="8"/>
    </row>
    <row r="9">
      <c r="A9" s="18" t="s">
        <v>13</v>
      </c>
      <c r="B9" s="86">
        <f>1274252.75*1.05+22870.89*1.05</f>
        <v>1361979.822</v>
      </c>
      <c r="C9" s="86">
        <f>1385703.46*1.05+26558.92*1.05</f>
        <v>1482875.499</v>
      </c>
      <c r="D9" s="11">
        <f>1296705.26*1.05+28185.39*1.05</f>
        <v>1391135.183</v>
      </c>
      <c r="E9" s="11">
        <f>1309159.77*1.05+28333.42*1.05</f>
        <v>1404367.85</v>
      </c>
      <c r="F9" s="11">
        <f>1421589.51*1.05</f>
        <v>1492668.986</v>
      </c>
      <c r="G9" s="11">
        <f>1389454.12*1.05+29185.64*1.05</f>
        <v>1489571.748</v>
      </c>
      <c r="H9" s="11"/>
      <c r="I9" s="11"/>
      <c r="J9" s="11"/>
      <c r="K9" s="11"/>
      <c r="L9" s="11"/>
      <c r="M9" s="11"/>
      <c r="N9" s="14">
        <f t="shared" ref="N9:N12" si="3">+SUM(B9:M9)</f>
        <v>8622599.087</v>
      </c>
      <c r="O9" s="16"/>
    </row>
    <row r="10">
      <c r="A10" s="18" t="s">
        <v>14</v>
      </c>
      <c r="B10" s="15"/>
      <c r="C10" s="15"/>
      <c r="D10" s="15"/>
      <c r="E10" s="15"/>
      <c r="F10" s="15"/>
      <c r="G10" s="15"/>
      <c r="H10" s="17"/>
      <c r="I10" s="17"/>
      <c r="J10" s="17"/>
      <c r="K10" s="17"/>
      <c r="L10" s="17"/>
      <c r="M10" s="17"/>
      <c r="N10" s="14">
        <f t="shared" si="3"/>
        <v>0</v>
      </c>
      <c r="O10" s="16"/>
    </row>
    <row r="11">
      <c r="A11" s="18" t="s">
        <v>15</v>
      </c>
      <c r="B11" s="11">
        <f t="shared" ref="B11:M11" si="4">(B9+B10)/1.05*0.05</f>
        <v>64856.182</v>
      </c>
      <c r="C11" s="11">
        <f t="shared" si="4"/>
        <v>70613.119</v>
      </c>
      <c r="D11" s="11">
        <f t="shared" si="4"/>
        <v>66244.5325</v>
      </c>
      <c r="E11" s="11">
        <f t="shared" si="4"/>
        <v>66874.6595</v>
      </c>
      <c r="F11" s="11">
        <f t="shared" si="4"/>
        <v>71079.4755</v>
      </c>
      <c r="G11" s="11">
        <f t="shared" si="4"/>
        <v>70931.988</v>
      </c>
      <c r="H11" s="11">
        <f t="shared" si="4"/>
        <v>0</v>
      </c>
      <c r="I11" s="11">
        <f t="shared" si="4"/>
        <v>0</v>
      </c>
      <c r="J11" s="11">
        <f t="shared" si="4"/>
        <v>0</v>
      </c>
      <c r="K11" s="11">
        <f t="shared" si="4"/>
        <v>0</v>
      </c>
      <c r="L11" s="11">
        <f t="shared" si="4"/>
        <v>0</v>
      </c>
      <c r="M11" s="11">
        <f t="shared" si="4"/>
        <v>0</v>
      </c>
      <c r="N11" s="14">
        <f t="shared" si="3"/>
        <v>410599.9565</v>
      </c>
      <c r="O11" s="16"/>
    </row>
    <row r="12">
      <c r="A12" s="18" t="s">
        <v>16</v>
      </c>
      <c r="B12" s="15">
        <f>53221.17*1.18+41738.6*1.18+12562.02*1.18+1288.64*1.18</f>
        <v>128396.3074</v>
      </c>
      <c r="C12" s="86">
        <f>62028.96*1.18+48226.45*1.18+1625.09*1.18+15699.71*1.18</f>
        <v>150544.6478</v>
      </c>
      <c r="D12" s="11">
        <f>66112.99*1.18+50012.05*1.05+835.89*1.18</f>
        <v>131512.3309</v>
      </c>
      <c r="E12" s="11">
        <f>66077.13*1.18+559.81*1.18+58624.99*1.18</f>
        <v>147809.0774</v>
      </c>
      <c r="F12" s="11">
        <f>68241.08*1.18+65733.57*1.18+686.29*1.18</f>
        <v>158899.9092</v>
      </c>
      <c r="G12" s="11">
        <f>67918.03*1.18+63726.81*1.18+783.67*1.18</f>
        <v>156265.6418</v>
      </c>
      <c r="H12" s="11"/>
      <c r="I12" s="11"/>
      <c r="J12" s="11"/>
      <c r="K12" s="11"/>
      <c r="L12" s="11"/>
      <c r="M12" s="11"/>
      <c r="N12" s="14">
        <f t="shared" si="3"/>
        <v>873427.9145</v>
      </c>
      <c r="O12" s="16"/>
    </row>
    <row r="13">
      <c r="A13" s="19" t="s">
        <v>17</v>
      </c>
      <c r="B13" s="21">
        <f t="shared" ref="B13:M13" si="5">B9+B10-B11-B12</f>
        <v>1168727.333</v>
      </c>
      <c r="C13" s="21">
        <f t="shared" si="5"/>
        <v>1261717.732</v>
      </c>
      <c r="D13" s="21">
        <f t="shared" si="5"/>
        <v>1193378.319</v>
      </c>
      <c r="E13" s="21">
        <f t="shared" si="5"/>
        <v>1189684.113</v>
      </c>
      <c r="F13" s="22">
        <f t="shared" si="5"/>
        <v>1262689.601</v>
      </c>
      <c r="G13" s="22">
        <f t="shared" si="5"/>
        <v>1262374.118</v>
      </c>
      <c r="H13" s="21">
        <f t="shared" si="5"/>
        <v>0</v>
      </c>
      <c r="I13" s="21">
        <f t="shared" si="5"/>
        <v>0</v>
      </c>
      <c r="J13" s="21">
        <f t="shared" si="5"/>
        <v>0</v>
      </c>
      <c r="K13" s="21">
        <f t="shared" si="5"/>
        <v>0</v>
      </c>
      <c r="L13" s="21">
        <f t="shared" si="5"/>
        <v>0</v>
      </c>
      <c r="M13" s="21">
        <f t="shared" si="5"/>
        <v>0</v>
      </c>
      <c r="N13" s="21">
        <f t="shared" ref="N13:N29" si="7">sum(B13:M13)</f>
        <v>7338571.216</v>
      </c>
      <c r="O13" s="23">
        <f>N13/$N$7</f>
        <v>49.65789749</v>
      </c>
    </row>
    <row r="14">
      <c r="A14" s="18" t="s">
        <v>20</v>
      </c>
      <c r="B14" s="90">
        <f t="shared" ref="B14:M14" si="6">+B3+B4-B5-B7</f>
        <v>310765.79</v>
      </c>
      <c r="C14" s="90">
        <f t="shared" si="6"/>
        <v>246301.53</v>
      </c>
      <c r="D14" s="24">
        <f t="shared" si="6"/>
        <v>328723.42</v>
      </c>
      <c r="E14" s="24">
        <f t="shared" si="6"/>
        <v>341239.33</v>
      </c>
      <c r="F14" s="24">
        <f t="shared" si="6"/>
        <v>359356.09</v>
      </c>
      <c r="G14" s="24">
        <f t="shared" si="6"/>
        <v>345975.34</v>
      </c>
      <c r="H14" s="24">
        <f t="shared" si="6"/>
        <v>27434.27</v>
      </c>
      <c r="I14" s="24">
        <f t="shared" si="6"/>
        <v>0</v>
      </c>
      <c r="J14" s="24">
        <f t="shared" si="6"/>
        <v>0</v>
      </c>
      <c r="K14" s="24">
        <f t="shared" si="6"/>
        <v>0</v>
      </c>
      <c r="L14" s="24">
        <f t="shared" si="6"/>
        <v>0</v>
      </c>
      <c r="M14" s="24">
        <f t="shared" si="6"/>
        <v>0</v>
      </c>
      <c r="N14" s="14">
        <f t="shared" si="7"/>
        <v>1959795.77</v>
      </c>
      <c r="O14" s="25">
        <f t="shared" ref="O14:O27" si="8">N14/$N$13</f>
        <v>0.2670541325</v>
      </c>
    </row>
    <row r="15">
      <c r="A15" s="18" t="s">
        <v>21</v>
      </c>
      <c r="B15" s="87">
        <f>72892.84</f>
        <v>72892.84</v>
      </c>
      <c r="C15" s="87">
        <v>84970.0</v>
      </c>
      <c r="D15" s="17">
        <v>82560.0</v>
      </c>
      <c r="E15" s="17">
        <v>73540.0</v>
      </c>
      <c r="F15" s="17">
        <v>74720.0</v>
      </c>
      <c r="G15" s="26">
        <v>74000.0</v>
      </c>
      <c r="H15" s="17"/>
      <c r="I15" s="17"/>
      <c r="J15" s="17"/>
      <c r="K15" s="17"/>
      <c r="L15" s="17"/>
      <c r="M15" s="11"/>
      <c r="N15" s="14">
        <f t="shared" si="7"/>
        <v>462682.84</v>
      </c>
      <c r="O15" s="25">
        <f t="shared" si="8"/>
        <v>0.06304808203</v>
      </c>
    </row>
    <row r="16">
      <c r="A16" s="18" t="s">
        <v>22</v>
      </c>
      <c r="B16" s="26">
        <v>1027.0</v>
      </c>
      <c r="C16" s="26">
        <v>1027.0</v>
      </c>
      <c r="D16" s="26">
        <v>1027.0</v>
      </c>
      <c r="E16" s="26">
        <v>1027.0</v>
      </c>
      <c r="F16" s="26">
        <v>1027.0</v>
      </c>
      <c r="G16" s="26">
        <v>1027.0</v>
      </c>
      <c r="H16" s="11"/>
      <c r="I16" s="11"/>
      <c r="J16" s="11"/>
      <c r="K16" s="11"/>
      <c r="L16" s="11"/>
      <c r="M16" s="11"/>
      <c r="N16" s="14">
        <f t="shared" si="7"/>
        <v>6162</v>
      </c>
      <c r="O16" s="25">
        <f t="shared" si="8"/>
        <v>0.0008396729853</v>
      </c>
    </row>
    <row r="17">
      <c r="A17" s="18" t="s">
        <v>23</v>
      </c>
      <c r="B17" s="17">
        <v>0.0</v>
      </c>
      <c r="C17" s="17">
        <v>0.0</v>
      </c>
      <c r="D17" s="17">
        <v>0.0</v>
      </c>
      <c r="E17" s="17">
        <v>0.0</v>
      </c>
      <c r="F17" s="17">
        <v>0.0</v>
      </c>
      <c r="G17" s="17">
        <v>0.0</v>
      </c>
      <c r="H17" s="11"/>
      <c r="I17" s="11"/>
      <c r="J17" s="11"/>
      <c r="K17" s="11"/>
      <c r="L17" s="11"/>
      <c r="M17" s="11"/>
      <c r="N17" s="14">
        <f t="shared" si="7"/>
        <v>0</v>
      </c>
      <c r="O17" s="25">
        <f t="shared" si="8"/>
        <v>0</v>
      </c>
    </row>
    <row r="18">
      <c r="A18" s="18" t="s">
        <v>24</v>
      </c>
      <c r="B18" s="11">
        <f t="shared" ref="B18:G18" si="9">74340</f>
        <v>74340</v>
      </c>
      <c r="C18" s="11">
        <f t="shared" si="9"/>
        <v>74340</v>
      </c>
      <c r="D18" s="11">
        <f t="shared" si="9"/>
        <v>74340</v>
      </c>
      <c r="E18" s="11">
        <f t="shared" si="9"/>
        <v>74340</v>
      </c>
      <c r="F18" s="11">
        <f t="shared" si="9"/>
        <v>74340</v>
      </c>
      <c r="G18" s="11">
        <f t="shared" si="9"/>
        <v>74340</v>
      </c>
      <c r="H18" s="11"/>
      <c r="I18" s="11"/>
      <c r="J18" s="11"/>
      <c r="K18" s="11"/>
      <c r="L18" s="11"/>
      <c r="M18" s="11"/>
      <c r="N18" s="14">
        <f t="shared" si="7"/>
        <v>446040</v>
      </c>
      <c r="O18" s="25">
        <f t="shared" si="8"/>
        <v>0.06078022368</v>
      </c>
    </row>
    <row r="19">
      <c r="A19" s="18" t="s">
        <v>25</v>
      </c>
      <c r="B19" s="17">
        <v>7355.0</v>
      </c>
      <c r="C19" s="17">
        <v>7355.0</v>
      </c>
      <c r="D19" s="17">
        <v>7355.0</v>
      </c>
      <c r="E19" s="17">
        <v>7355.0</v>
      </c>
      <c r="F19" s="17">
        <v>7355.0</v>
      </c>
      <c r="G19" s="17">
        <v>7355.0</v>
      </c>
      <c r="H19" s="17"/>
      <c r="I19" s="17"/>
      <c r="J19" s="17"/>
      <c r="K19" s="17"/>
      <c r="L19" s="17"/>
      <c r="M19" s="17"/>
      <c r="N19" s="14">
        <f t="shared" si="7"/>
        <v>44130</v>
      </c>
      <c r="O19" s="25">
        <f t="shared" si="8"/>
        <v>0.006013432139</v>
      </c>
    </row>
    <row r="20">
      <c r="A20" s="20" t="s">
        <v>26</v>
      </c>
      <c r="B20" s="11">
        <f>196229</f>
        <v>196229</v>
      </c>
      <c r="C20" s="11">
        <f>207253</f>
        <v>207253</v>
      </c>
      <c r="D20" s="11">
        <f>210582.91</f>
        <v>210582.91</v>
      </c>
      <c r="E20" s="17">
        <f>202550.91</f>
        <v>202550.91</v>
      </c>
      <c r="F20" s="17">
        <v>212010.0</v>
      </c>
      <c r="G20" s="11">
        <f>200596</f>
        <v>200596</v>
      </c>
      <c r="H20" s="11"/>
      <c r="I20" s="11"/>
      <c r="J20" s="11"/>
      <c r="K20" s="11"/>
      <c r="L20" s="11"/>
      <c r="M20" s="11"/>
      <c r="N20" s="14">
        <f t="shared" si="7"/>
        <v>1229221.82</v>
      </c>
      <c r="O20" s="25">
        <f t="shared" si="8"/>
        <v>0.1675015182</v>
      </c>
    </row>
    <row r="21">
      <c r="A21" s="10" t="s">
        <v>27</v>
      </c>
      <c r="B21" s="17">
        <f t="shared" ref="B21:C21" si="10">2360+3717+2478</f>
        <v>8555</v>
      </c>
      <c r="C21" s="17">
        <f t="shared" si="10"/>
        <v>8555</v>
      </c>
      <c r="D21" s="17">
        <f>6815+2360</f>
        <v>9175</v>
      </c>
      <c r="E21" s="11">
        <f>2360+2726+4089</f>
        <v>9175</v>
      </c>
      <c r="F21" s="11">
        <f t="shared" ref="F21:G21" si="11">2726+4089+2360</f>
        <v>9175</v>
      </c>
      <c r="G21" s="11">
        <f t="shared" si="11"/>
        <v>9175</v>
      </c>
      <c r="H21" s="11"/>
      <c r="I21" s="11"/>
      <c r="J21" s="11"/>
      <c r="K21" s="11"/>
      <c r="L21" s="11"/>
      <c r="M21" s="11"/>
      <c r="N21" s="14">
        <f t="shared" si="7"/>
        <v>53810</v>
      </c>
      <c r="O21" s="25">
        <f t="shared" si="8"/>
        <v>0.007332489993</v>
      </c>
    </row>
    <row r="22">
      <c r="A22" s="30" t="s">
        <v>28</v>
      </c>
      <c r="B22" s="11">
        <f t="shared" ref="B22:G22" si="12">2516.16/3+9813/12+7080/12</f>
        <v>2246.47</v>
      </c>
      <c r="C22" s="11">
        <f t="shared" si="12"/>
        <v>2246.47</v>
      </c>
      <c r="D22" s="11">
        <f t="shared" si="12"/>
        <v>2246.47</v>
      </c>
      <c r="E22" s="11">
        <f t="shared" si="12"/>
        <v>2246.47</v>
      </c>
      <c r="F22" s="11">
        <f t="shared" si="12"/>
        <v>2246.47</v>
      </c>
      <c r="G22" s="11">
        <f t="shared" si="12"/>
        <v>2246.47</v>
      </c>
      <c r="H22" s="11">
        <f t="shared" ref="H22:M22" si="13">9813/12</f>
        <v>817.75</v>
      </c>
      <c r="I22" s="11">
        <f t="shared" si="13"/>
        <v>817.75</v>
      </c>
      <c r="J22" s="11">
        <f t="shared" si="13"/>
        <v>817.75</v>
      </c>
      <c r="K22" s="11">
        <f t="shared" si="13"/>
        <v>817.75</v>
      </c>
      <c r="L22" s="11">
        <f t="shared" si="13"/>
        <v>817.75</v>
      </c>
      <c r="M22" s="11">
        <f t="shared" si="13"/>
        <v>817.75</v>
      </c>
      <c r="N22" s="14">
        <f t="shared" si="7"/>
        <v>18385.32</v>
      </c>
      <c r="O22" s="25">
        <f t="shared" si="8"/>
        <v>0.002505299664</v>
      </c>
    </row>
    <row r="23">
      <c r="A23" s="20" t="s">
        <v>29</v>
      </c>
      <c r="B23" s="32">
        <v>1160.3</v>
      </c>
      <c r="C23" s="17">
        <f t="shared" ref="C23:M23" si="14">1698</f>
        <v>1698</v>
      </c>
      <c r="D23" s="17">
        <f t="shared" si="14"/>
        <v>1698</v>
      </c>
      <c r="E23" s="17">
        <f t="shared" si="14"/>
        <v>1698</v>
      </c>
      <c r="F23" s="17">
        <f t="shared" si="14"/>
        <v>1698</v>
      </c>
      <c r="G23" s="17">
        <f t="shared" si="14"/>
        <v>1698</v>
      </c>
      <c r="H23" s="17">
        <f t="shared" si="14"/>
        <v>1698</v>
      </c>
      <c r="I23" s="17">
        <f t="shared" si="14"/>
        <v>1698</v>
      </c>
      <c r="J23" s="17">
        <f t="shared" si="14"/>
        <v>1698</v>
      </c>
      <c r="K23" s="17">
        <f t="shared" si="14"/>
        <v>1698</v>
      </c>
      <c r="L23" s="17">
        <f t="shared" si="14"/>
        <v>1698</v>
      </c>
      <c r="M23" s="17">
        <f t="shared" si="14"/>
        <v>1698</v>
      </c>
      <c r="N23" s="14">
        <f t="shared" si="7"/>
        <v>19838.3</v>
      </c>
      <c r="O23" s="25">
        <f t="shared" si="8"/>
        <v>0.002703291883</v>
      </c>
    </row>
    <row r="24">
      <c r="A24" s="18" t="s">
        <v>30</v>
      </c>
      <c r="B24" s="32">
        <f>2846</f>
        <v>2846</v>
      </c>
      <c r="C24" s="32">
        <v>0.0</v>
      </c>
      <c r="D24" s="32">
        <v>39658.0</v>
      </c>
      <c r="E24" s="34">
        <f>'Misc Exp'!F133</f>
        <v>3719</v>
      </c>
      <c r="F24" s="34">
        <f>'Misc Exp'!F90</f>
        <v>23478</v>
      </c>
      <c r="G24" s="34">
        <f>'Misc Exp'!F43</f>
        <v>782</v>
      </c>
      <c r="H24" s="34"/>
      <c r="I24" s="34"/>
      <c r="J24" s="34"/>
      <c r="K24" s="34"/>
      <c r="L24" s="34"/>
      <c r="M24" s="34"/>
      <c r="N24" s="14">
        <f t="shared" si="7"/>
        <v>70483</v>
      </c>
      <c r="O24" s="25">
        <f t="shared" si="8"/>
        <v>0.009604458134</v>
      </c>
    </row>
    <row r="25">
      <c r="A25" s="18" t="s">
        <v>31</v>
      </c>
      <c r="B25" s="11">
        <f>21934/12+10841</f>
        <v>12668.83333</v>
      </c>
      <c r="C25" s="11">
        <f>21934/12+33899.75</f>
        <v>35727.58333</v>
      </c>
      <c r="D25" s="11">
        <f>21934/12+7627</f>
        <v>9454.833333</v>
      </c>
      <c r="E25" s="11">
        <f>21934/12+'Misc Exp'!F126</f>
        <v>17031.22667</v>
      </c>
      <c r="F25" s="11">
        <f>21934/12+'Misc Exp'!F84</f>
        <v>11549.05333</v>
      </c>
      <c r="G25" s="11">
        <f>21934/12+'Misc Exp'!F38</f>
        <v>17171.98333</v>
      </c>
      <c r="H25" s="11">
        <f t="shared" ref="H25:M25" si="15">21934/12</f>
        <v>1827.833333</v>
      </c>
      <c r="I25" s="11">
        <f t="shared" si="15"/>
        <v>1827.833333</v>
      </c>
      <c r="J25" s="11">
        <f t="shared" si="15"/>
        <v>1827.833333</v>
      </c>
      <c r="K25" s="11">
        <f t="shared" si="15"/>
        <v>1827.833333</v>
      </c>
      <c r="L25" s="11">
        <f t="shared" si="15"/>
        <v>1827.833333</v>
      </c>
      <c r="M25" s="11">
        <f t="shared" si="15"/>
        <v>1827.833333</v>
      </c>
      <c r="N25" s="14">
        <f t="shared" si="7"/>
        <v>114570.5133</v>
      </c>
      <c r="O25" s="25">
        <f t="shared" si="8"/>
        <v>0.01561210077</v>
      </c>
    </row>
    <row r="26">
      <c r="A26" s="18" t="s">
        <v>32</v>
      </c>
      <c r="B26" s="11">
        <f>49560</f>
        <v>49560</v>
      </c>
      <c r="C26" s="17">
        <v>49560.0</v>
      </c>
      <c r="D26" s="17">
        <v>49560.0</v>
      </c>
      <c r="E26" s="17">
        <v>49560.0</v>
      </c>
      <c r="F26" s="17">
        <v>49560.0</v>
      </c>
      <c r="G26" s="17">
        <v>49560.0</v>
      </c>
      <c r="H26" s="17"/>
      <c r="I26" s="17"/>
      <c r="J26" s="17"/>
      <c r="K26" s="17"/>
      <c r="L26" s="11"/>
      <c r="M26" s="17"/>
      <c r="N26" s="14">
        <f t="shared" si="7"/>
        <v>297360</v>
      </c>
      <c r="O26" s="25">
        <f t="shared" si="8"/>
        <v>0.04052014912</v>
      </c>
    </row>
    <row r="27">
      <c r="A27" s="18" t="s">
        <v>33</v>
      </c>
      <c r="B27" s="11">
        <f>HO!D40</f>
        <v>259490.0101</v>
      </c>
      <c r="C27" s="11">
        <f>HO!H40</f>
        <v>265069.8298</v>
      </c>
      <c r="D27" s="11">
        <f>HO!L40</f>
        <v>261480.9104</v>
      </c>
      <c r="E27" s="11">
        <f>HO!P40</f>
        <v>260234.4475</v>
      </c>
      <c r="F27" s="11">
        <f>HO!D59</f>
        <v>250694.9078</v>
      </c>
      <c r="G27" s="11">
        <f>HO!H59</f>
        <v>282832.3892</v>
      </c>
      <c r="H27" s="11" t="str">
        <f>HO!L59</f>
        <v>#DIV/0!</v>
      </c>
      <c r="I27" s="11" t="str">
        <f>HO!P59</f>
        <v>#DIV/0!</v>
      </c>
      <c r="J27" s="11" t="str">
        <f>HO!D78</f>
        <v>#DIV/0!</v>
      </c>
      <c r="K27" s="11" t="str">
        <f>HO!H78</f>
        <v>#DIV/0!</v>
      </c>
      <c r="L27" s="11" t="str">
        <f>HO!L78</f>
        <v>#DIV/0!</v>
      </c>
      <c r="M27" s="11" t="str">
        <f>HO!P78</f>
        <v>#DIV/0!</v>
      </c>
      <c r="N27" s="14" t="str">
        <f t="shared" si="7"/>
        <v>#DIV/0!</v>
      </c>
      <c r="O27" s="25" t="str">
        <f t="shared" si="8"/>
        <v>#DIV/0!</v>
      </c>
    </row>
    <row r="28">
      <c r="A28" s="35" t="s">
        <v>34</v>
      </c>
      <c r="B28" s="36">
        <f t="shared" ref="B28:M28" si="16">+SUM(B14:B27)</f>
        <v>999136.2435</v>
      </c>
      <c r="C28" s="36">
        <f t="shared" si="16"/>
        <v>984103.4131</v>
      </c>
      <c r="D28" s="36">
        <f t="shared" si="16"/>
        <v>1077861.544</v>
      </c>
      <c r="E28" s="36">
        <f t="shared" si="16"/>
        <v>1043716.384</v>
      </c>
      <c r="F28" s="48">
        <f t="shared" si="16"/>
        <v>1077209.521</v>
      </c>
      <c r="G28" s="36">
        <f t="shared" si="16"/>
        <v>1066759.182</v>
      </c>
      <c r="H28" s="36" t="str">
        <f t="shared" si="16"/>
        <v>#DIV/0!</v>
      </c>
      <c r="I28" s="36" t="str">
        <f t="shared" si="16"/>
        <v>#DIV/0!</v>
      </c>
      <c r="J28" s="36" t="str">
        <f t="shared" si="16"/>
        <v>#DIV/0!</v>
      </c>
      <c r="K28" s="36" t="str">
        <f t="shared" si="16"/>
        <v>#DIV/0!</v>
      </c>
      <c r="L28" s="36" t="str">
        <f t="shared" si="16"/>
        <v>#DIV/0!</v>
      </c>
      <c r="M28" s="36" t="str">
        <f t="shared" si="16"/>
        <v>#DIV/0!</v>
      </c>
      <c r="N28" s="36" t="str">
        <f t="shared" si="7"/>
        <v>#DIV/0!</v>
      </c>
      <c r="O28" s="37" t="str">
        <f>N28/N13</f>
        <v>#DIV/0!</v>
      </c>
    </row>
    <row r="29">
      <c r="A29" s="38" t="s">
        <v>35</v>
      </c>
      <c r="B29" s="39">
        <f t="shared" ref="B29:M29" si="17">B13-B28</f>
        <v>169591.0891</v>
      </c>
      <c r="C29" s="39">
        <f t="shared" si="17"/>
        <v>277614.3191</v>
      </c>
      <c r="D29" s="39">
        <f t="shared" si="17"/>
        <v>115516.7754</v>
      </c>
      <c r="E29" s="39">
        <f t="shared" si="17"/>
        <v>145967.7285</v>
      </c>
      <c r="F29" s="39">
        <f t="shared" si="17"/>
        <v>185480.0797</v>
      </c>
      <c r="G29" s="39">
        <f t="shared" si="17"/>
        <v>195614.9357</v>
      </c>
      <c r="H29" s="39" t="str">
        <f t="shared" si="17"/>
        <v>#DIV/0!</v>
      </c>
      <c r="I29" s="39" t="str">
        <f t="shared" si="17"/>
        <v>#DIV/0!</v>
      </c>
      <c r="J29" s="39" t="str">
        <f t="shared" si="17"/>
        <v>#DIV/0!</v>
      </c>
      <c r="K29" s="39" t="str">
        <f t="shared" si="17"/>
        <v>#DIV/0!</v>
      </c>
      <c r="L29" s="39" t="str">
        <f t="shared" si="17"/>
        <v>#DIV/0!</v>
      </c>
      <c r="M29" s="39" t="str">
        <f t="shared" si="17"/>
        <v>#DIV/0!</v>
      </c>
      <c r="N29" s="39" t="str">
        <f t="shared" si="7"/>
        <v>#DIV/0!</v>
      </c>
      <c r="O29" s="40" t="str">
        <f>N29/N13</f>
        <v>#DIV/0!</v>
      </c>
    </row>
    <row r="30">
      <c r="A30" s="41" t="s">
        <v>36</v>
      </c>
      <c r="B30" s="42">
        <f t="shared" ref="B30:M30" si="18">(B14/B13)</f>
        <v>0.2659010201</v>
      </c>
      <c r="C30" s="42">
        <f t="shared" si="18"/>
        <v>0.1952112772</v>
      </c>
      <c r="D30" s="42">
        <f t="shared" si="18"/>
        <v>0.275456169</v>
      </c>
      <c r="E30" s="42">
        <f t="shared" si="18"/>
        <v>0.2868318795</v>
      </c>
      <c r="F30" s="43">
        <f t="shared" si="18"/>
        <v>0.2845957469</v>
      </c>
      <c r="G30" s="42">
        <f t="shared" si="18"/>
        <v>0.2740672001</v>
      </c>
      <c r="H30" s="42" t="str">
        <f t="shared" si="18"/>
        <v>#DIV/0!</v>
      </c>
      <c r="I30" s="42" t="str">
        <f t="shared" si="18"/>
        <v>#DIV/0!</v>
      </c>
      <c r="J30" s="42" t="str">
        <f t="shared" si="18"/>
        <v>#DIV/0!</v>
      </c>
      <c r="K30" s="42" t="str">
        <f t="shared" si="18"/>
        <v>#DIV/0!</v>
      </c>
      <c r="L30" s="42" t="str">
        <f t="shared" si="18"/>
        <v>#DIV/0!</v>
      </c>
      <c r="M30" s="42" t="str">
        <f t="shared" si="18"/>
        <v>#DIV/0!</v>
      </c>
      <c r="N30" s="44"/>
      <c r="O30" s="44"/>
    </row>
    <row r="32"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</row>
    <row r="33">
      <c r="A33" s="46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</row>
    <row r="34">
      <c r="A34" s="46"/>
      <c r="B34" s="47"/>
      <c r="C34" s="47"/>
      <c r="D34" s="47"/>
      <c r="E34" s="47"/>
    </row>
    <row r="35">
      <c r="A35" s="6"/>
      <c r="B35" s="47"/>
      <c r="C35" s="47"/>
      <c r="D35" s="47"/>
      <c r="E35" s="47"/>
    </row>
    <row r="36">
      <c r="A36" s="46"/>
      <c r="B36" s="47"/>
      <c r="C36" s="47"/>
      <c r="D36" s="47"/>
      <c r="E36" s="47"/>
    </row>
  </sheetData>
  <mergeCells count="1">
    <mergeCell ref="N1:O1"/>
  </mergeCells>
  <drawing r:id="rId4"/>
  <legacy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15" max="15" width="9.38"/>
  </cols>
  <sheetData>
    <row r="1">
      <c r="A1" s="1" t="s">
        <v>54</v>
      </c>
      <c r="B1" s="3">
        <f>Summary!C1</f>
        <v>46113</v>
      </c>
      <c r="C1" s="3">
        <f>Summary!D1</f>
        <v>46143</v>
      </c>
      <c r="D1" s="3">
        <f>Summary!E1</f>
        <v>46174</v>
      </c>
      <c r="E1" s="3">
        <f>Summary!F1</f>
        <v>46204</v>
      </c>
      <c r="F1" s="3">
        <f>Summary!G1</f>
        <v>46235</v>
      </c>
      <c r="G1" s="3">
        <f>Summary!H1</f>
        <v>46266</v>
      </c>
      <c r="H1" s="3">
        <f>Summary!I1</f>
        <v>46296</v>
      </c>
      <c r="I1" s="3">
        <f>Summary!J1</f>
        <v>46327</v>
      </c>
      <c r="J1" s="3">
        <f>Summary!K1</f>
        <v>46357</v>
      </c>
      <c r="K1" s="3">
        <f>Summary!L1</f>
        <v>46388</v>
      </c>
      <c r="L1" s="3">
        <f>Summary!M1</f>
        <v>46419</v>
      </c>
      <c r="M1" s="3">
        <f>Summary!N1</f>
        <v>46447</v>
      </c>
      <c r="N1" s="4" t="s">
        <v>5</v>
      </c>
      <c r="O1" s="5"/>
    </row>
    <row r="2">
      <c r="A2" s="7" t="s">
        <v>6</v>
      </c>
      <c r="B2" s="8"/>
      <c r="C2" s="8"/>
      <c r="D2" s="8"/>
      <c r="E2" s="8"/>
      <c r="F2" s="9"/>
      <c r="G2" s="8"/>
      <c r="H2" s="8"/>
      <c r="I2" s="8"/>
      <c r="J2" s="8"/>
      <c r="K2" s="8"/>
      <c r="L2" s="8"/>
      <c r="M2" s="8"/>
      <c r="N2" s="8"/>
      <c r="O2" s="8"/>
    </row>
    <row r="3">
      <c r="A3" s="10" t="s">
        <v>7</v>
      </c>
      <c r="B3" s="12">
        <v>41653.0</v>
      </c>
      <c r="C3" s="13">
        <f t="shared" ref="C3:M3" si="1">B7</f>
        <v>55859.11</v>
      </c>
      <c r="D3" s="11">
        <f t="shared" si="1"/>
        <v>40101.87</v>
      </c>
      <c r="E3" s="11">
        <f t="shared" si="1"/>
        <v>39631</v>
      </c>
      <c r="F3" s="11">
        <f t="shared" si="1"/>
        <v>30712</v>
      </c>
      <c r="G3" s="11">
        <f t="shared" si="1"/>
        <v>34650</v>
      </c>
      <c r="H3" s="11">
        <f t="shared" si="1"/>
        <v>32579.83</v>
      </c>
      <c r="I3" s="11" t="str">
        <f t="shared" si="1"/>
        <v/>
      </c>
      <c r="J3" s="11" t="str">
        <f t="shared" si="1"/>
        <v/>
      </c>
      <c r="K3" s="11" t="str">
        <f t="shared" si="1"/>
        <v/>
      </c>
      <c r="L3" s="11" t="str">
        <f t="shared" si="1"/>
        <v/>
      </c>
      <c r="M3" s="11" t="str">
        <f t="shared" si="1"/>
        <v/>
      </c>
      <c r="N3" s="14">
        <f>B3</f>
        <v>41653</v>
      </c>
      <c r="O3" s="16"/>
    </row>
    <row r="4">
      <c r="A4" s="10" t="s">
        <v>9</v>
      </c>
      <c r="B4" s="15">
        <v>570115.74</v>
      </c>
      <c r="C4" s="15">
        <v>571057.25</v>
      </c>
      <c r="D4" s="17">
        <v>618636.0</v>
      </c>
      <c r="E4" s="17">
        <v>614060.0</v>
      </c>
      <c r="F4" s="17">
        <v>724817.0</v>
      </c>
      <c r="G4" s="17">
        <v>634160.0</v>
      </c>
      <c r="H4" s="17"/>
      <c r="I4" s="17"/>
      <c r="J4" s="17"/>
      <c r="K4" s="17"/>
      <c r="L4" s="17"/>
      <c r="M4" s="17"/>
      <c r="N4" s="14">
        <f>sum(B4:M4)</f>
        <v>3732845.99</v>
      </c>
      <c r="O4" s="16"/>
    </row>
    <row r="5">
      <c r="A5" s="10" t="s">
        <v>10</v>
      </c>
      <c r="B5" s="15">
        <v>363.49</v>
      </c>
      <c r="C5" s="15">
        <v>614.4</v>
      </c>
      <c r="D5" s="17">
        <v>472.0</v>
      </c>
      <c r="E5" s="17">
        <v>915.0</v>
      </c>
      <c r="F5" s="17">
        <v>1495.0</v>
      </c>
      <c r="G5" s="17">
        <v>1574.0</v>
      </c>
      <c r="H5" s="17"/>
      <c r="I5" s="17"/>
      <c r="J5" s="17"/>
      <c r="K5" s="17"/>
      <c r="L5" s="17"/>
      <c r="M5" s="17"/>
      <c r="N5" s="14">
        <f t="shared" ref="N5:N6" si="2">+SUM(J5:L5)</f>
        <v>0</v>
      </c>
      <c r="O5" s="16"/>
    </row>
    <row r="6">
      <c r="A6" s="10" t="s">
        <v>11</v>
      </c>
      <c r="B6" s="15">
        <v>12293.95</v>
      </c>
      <c r="C6" s="15">
        <v>13778.86</v>
      </c>
      <c r="D6" s="17">
        <v>18307.0</v>
      </c>
      <c r="E6" s="17">
        <v>19678.0</v>
      </c>
      <c r="F6" s="17">
        <v>46652.17</v>
      </c>
      <c r="G6" s="17">
        <v>38912.0</v>
      </c>
      <c r="H6" s="17"/>
      <c r="I6" s="17"/>
      <c r="J6" s="17"/>
      <c r="K6" s="17"/>
      <c r="L6" s="17"/>
      <c r="M6" s="17"/>
      <c r="N6" s="14">
        <f t="shared" si="2"/>
        <v>0</v>
      </c>
      <c r="O6" s="16"/>
    </row>
    <row r="7">
      <c r="A7" s="10" t="s">
        <v>12</v>
      </c>
      <c r="B7" s="15">
        <v>55859.11</v>
      </c>
      <c r="C7" s="15">
        <v>40101.87</v>
      </c>
      <c r="D7" s="17">
        <v>39631.0</v>
      </c>
      <c r="E7" s="17">
        <v>30712.0</v>
      </c>
      <c r="F7" s="17">
        <v>34650.0</v>
      </c>
      <c r="G7" s="17">
        <v>32579.83</v>
      </c>
      <c r="H7" s="17"/>
      <c r="I7" s="17"/>
      <c r="J7" s="17"/>
      <c r="K7" s="17"/>
      <c r="L7" s="17"/>
      <c r="M7" s="17"/>
      <c r="N7" s="14">
        <f>sum(B7:M7)</f>
        <v>233533.81</v>
      </c>
      <c r="O7" s="16"/>
    </row>
    <row r="8">
      <c r="A8" s="8"/>
      <c r="B8" s="61"/>
      <c r="C8" s="61"/>
      <c r="D8" s="8"/>
      <c r="E8" s="8"/>
      <c r="F8" s="9"/>
      <c r="G8" s="8"/>
      <c r="H8" s="8"/>
      <c r="I8" s="8"/>
      <c r="J8" s="8"/>
      <c r="K8" s="8"/>
      <c r="L8" s="8"/>
      <c r="M8" s="8"/>
      <c r="N8" s="8"/>
      <c r="O8" s="8"/>
    </row>
    <row r="9">
      <c r="A9" s="18" t="s">
        <v>13</v>
      </c>
      <c r="B9" s="13">
        <f>2245373.24*1.05+80*1.05+37495.16*1.05</f>
        <v>2397095.82</v>
      </c>
      <c r="C9" s="13">
        <f>2449354.45*1.05+41112.44*1.05+70*1.05</f>
        <v>2615063.735</v>
      </c>
      <c r="D9" s="11">
        <f>2374062.99*1.05+120*1.05+37207.62*1.05</f>
        <v>2531960.141</v>
      </c>
      <c r="E9" s="11">
        <f>2326006.47*1.05+41030*1.05+60*1.05</f>
        <v>2485451.294</v>
      </c>
      <c r="F9" s="11">
        <f>2589777.65*1.05</f>
        <v>2719266.533</v>
      </c>
      <c r="G9" s="11">
        <f>2453115.87*1.05+40343.11*1.05</f>
        <v>2618131.929</v>
      </c>
      <c r="H9" s="11"/>
      <c r="I9" s="11"/>
      <c r="J9" s="11"/>
      <c r="K9" s="11"/>
      <c r="L9" s="11"/>
      <c r="M9" s="11"/>
      <c r="N9" s="14">
        <f t="shared" ref="N9:N12" si="3">+SUM(B9:M9)</f>
        <v>15366969.45</v>
      </c>
      <c r="O9" s="16"/>
    </row>
    <row r="10">
      <c r="A10" s="18" t="s">
        <v>14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4">
        <f t="shared" si="3"/>
        <v>0</v>
      </c>
      <c r="O10" s="16"/>
    </row>
    <row r="11">
      <c r="A11" s="18" t="s">
        <v>15</v>
      </c>
      <c r="B11" s="11">
        <f t="shared" ref="B11:M11" si="4">(B9+B10)/1.05*0.05</f>
        <v>114147.42</v>
      </c>
      <c r="C11" s="11">
        <f t="shared" si="4"/>
        <v>124526.8445</v>
      </c>
      <c r="D11" s="11">
        <f t="shared" si="4"/>
        <v>120569.5305</v>
      </c>
      <c r="E11" s="11">
        <f t="shared" si="4"/>
        <v>118354.8235</v>
      </c>
      <c r="F11" s="11">
        <f t="shared" si="4"/>
        <v>129488.8825</v>
      </c>
      <c r="G11" s="11">
        <f t="shared" si="4"/>
        <v>124672.949</v>
      </c>
      <c r="H11" s="11">
        <f t="shared" si="4"/>
        <v>0</v>
      </c>
      <c r="I11" s="11">
        <f t="shared" si="4"/>
        <v>0</v>
      </c>
      <c r="J11" s="11">
        <f t="shared" si="4"/>
        <v>0</v>
      </c>
      <c r="K11" s="11">
        <f t="shared" si="4"/>
        <v>0</v>
      </c>
      <c r="L11" s="11">
        <f t="shared" si="4"/>
        <v>0</v>
      </c>
      <c r="M11" s="11">
        <f t="shared" si="4"/>
        <v>0</v>
      </c>
      <c r="N11" s="14">
        <f t="shared" si="3"/>
        <v>731760.45</v>
      </c>
      <c r="O11" s="16"/>
    </row>
    <row r="12">
      <c r="A12" s="18" t="s">
        <v>16</v>
      </c>
      <c r="B12" s="15">
        <f>89347.62*1.18+80815.33*1.18+12281.26*1.18+2741.39*1.18</f>
        <v>218519.008</v>
      </c>
      <c r="C12" s="13">
        <f>96500.63*1.18+68368.81*1.18+367.62*1.18+5966*1.18+28878.28*1.18</f>
        <v>236095.9812</v>
      </c>
      <c r="D12" s="11">
        <f>88723.94*1.18+92553.12*1.18+3497.81*1.18</f>
        <v>218034.3466</v>
      </c>
      <c r="E12" s="11">
        <f>96461.71*1.18+3153.9*1.18+102169*1.18</f>
        <v>238105.8398</v>
      </c>
      <c r="F12" s="11">
        <f>107146.38*1.18+117160.82*1.18+3834.24*1.18</f>
        <v>269206.8992</v>
      </c>
      <c r="G12" s="11">
        <f>99780.96*1.18+106772.17*1.18+4184.09*1.18</f>
        <v>248669.9196</v>
      </c>
      <c r="H12" s="11"/>
      <c r="I12" s="11"/>
      <c r="J12" s="11"/>
      <c r="K12" s="11"/>
      <c r="L12" s="11"/>
      <c r="M12" s="11"/>
      <c r="N12" s="14">
        <f t="shared" si="3"/>
        <v>1428631.994</v>
      </c>
      <c r="O12" s="16"/>
    </row>
    <row r="13">
      <c r="A13" s="19" t="s">
        <v>17</v>
      </c>
      <c r="B13" s="62">
        <f t="shared" ref="B13:M13" si="5">B9+B10-B11-B12</f>
        <v>2064429.392</v>
      </c>
      <c r="C13" s="62">
        <f t="shared" si="5"/>
        <v>2254440.909</v>
      </c>
      <c r="D13" s="21">
        <f t="shared" si="5"/>
        <v>2193356.263</v>
      </c>
      <c r="E13" s="21">
        <f t="shared" si="5"/>
        <v>2128990.63</v>
      </c>
      <c r="F13" s="22">
        <f t="shared" si="5"/>
        <v>2320570.751</v>
      </c>
      <c r="G13" s="22">
        <f t="shared" si="5"/>
        <v>2244789.06</v>
      </c>
      <c r="H13" s="21">
        <f t="shared" si="5"/>
        <v>0</v>
      </c>
      <c r="I13" s="21">
        <f t="shared" si="5"/>
        <v>0</v>
      </c>
      <c r="J13" s="21">
        <f t="shared" si="5"/>
        <v>0</v>
      </c>
      <c r="K13" s="21">
        <f t="shared" si="5"/>
        <v>0</v>
      </c>
      <c r="L13" s="21">
        <f t="shared" si="5"/>
        <v>0</v>
      </c>
      <c r="M13" s="21">
        <f t="shared" si="5"/>
        <v>0</v>
      </c>
      <c r="N13" s="21">
        <f t="shared" ref="N13:N29" si="7">sum(B13:M13)</f>
        <v>13206577.01</v>
      </c>
      <c r="O13" s="23"/>
    </row>
    <row r="14">
      <c r="A14" s="18" t="s">
        <v>20</v>
      </c>
      <c r="B14" s="56">
        <f t="shared" ref="B14:M14" si="6">+B3+B4-B5-B7</f>
        <v>555546.14</v>
      </c>
      <c r="C14" s="56">
        <f t="shared" si="6"/>
        <v>586200.09</v>
      </c>
      <c r="D14" s="56">
        <f t="shared" si="6"/>
        <v>618634.87</v>
      </c>
      <c r="E14" s="56">
        <f t="shared" si="6"/>
        <v>622064</v>
      </c>
      <c r="F14" s="56">
        <f t="shared" si="6"/>
        <v>719384</v>
      </c>
      <c r="G14" s="56">
        <f t="shared" si="6"/>
        <v>634656.17</v>
      </c>
      <c r="H14" s="56">
        <f t="shared" si="6"/>
        <v>32579.83</v>
      </c>
      <c r="I14" s="56">
        <f t="shared" si="6"/>
        <v>0</v>
      </c>
      <c r="J14" s="56">
        <f t="shared" si="6"/>
        <v>0</v>
      </c>
      <c r="K14" s="56">
        <f t="shared" si="6"/>
        <v>0</v>
      </c>
      <c r="L14" s="56">
        <f t="shared" si="6"/>
        <v>0</v>
      </c>
      <c r="M14" s="56">
        <f t="shared" si="6"/>
        <v>0</v>
      </c>
      <c r="N14" s="14">
        <f t="shared" si="7"/>
        <v>3769065.1</v>
      </c>
      <c r="O14" s="25">
        <f t="shared" ref="O14:O27" si="8">N14/$N$13</f>
        <v>0.2853930355</v>
      </c>
    </row>
    <row r="15">
      <c r="A15" s="18" t="s">
        <v>21</v>
      </c>
      <c r="B15" s="12">
        <v>99920.0</v>
      </c>
      <c r="C15" s="12">
        <v>104367.0</v>
      </c>
      <c r="D15" s="12">
        <v>105142.0</v>
      </c>
      <c r="E15" s="12">
        <v>104740.0</v>
      </c>
      <c r="F15" s="12">
        <f>107020</f>
        <v>107020</v>
      </c>
      <c r="G15" s="58">
        <v>105000.0</v>
      </c>
      <c r="H15" s="12"/>
      <c r="I15" s="12"/>
      <c r="J15" s="12"/>
      <c r="K15" s="12"/>
      <c r="L15" s="12"/>
      <c r="M15" s="56"/>
      <c r="N15" s="14">
        <f t="shared" si="7"/>
        <v>626189</v>
      </c>
      <c r="O15" s="25">
        <f t="shared" si="8"/>
        <v>0.04741493574</v>
      </c>
    </row>
    <row r="16">
      <c r="A16" s="18" t="s">
        <v>22</v>
      </c>
      <c r="B16" s="12">
        <v>145.67</v>
      </c>
      <c r="C16" s="58">
        <v>145.67</v>
      </c>
      <c r="D16" s="58">
        <v>145.67</v>
      </c>
      <c r="E16" s="58">
        <v>145.67</v>
      </c>
      <c r="F16" s="58">
        <v>145.67</v>
      </c>
      <c r="G16" s="58">
        <v>145.67</v>
      </c>
      <c r="H16" s="12"/>
      <c r="I16" s="12"/>
      <c r="J16" s="12"/>
      <c r="K16" s="56"/>
      <c r="L16" s="56"/>
      <c r="M16" s="56"/>
      <c r="N16" s="14">
        <f t="shared" si="7"/>
        <v>874.02</v>
      </c>
      <c r="O16" s="25">
        <f t="shared" si="8"/>
        <v>0.00006618066132</v>
      </c>
    </row>
    <row r="17">
      <c r="A17" s="18" t="s">
        <v>23</v>
      </c>
      <c r="B17" s="56">
        <f>15456+11040</f>
        <v>26496</v>
      </c>
      <c r="C17" s="12">
        <f>25616+25616+32020</f>
        <v>83252</v>
      </c>
      <c r="D17" s="12">
        <v>84462.0</v>
      </c>
      <c r="E17" s="12">
        <v>80120.0</v>
      </c>
      <c r="F17" s="12">
        <f>81126</f>
        <v>81126</v>
      </c>
      <c r="G17" s="12">
        <f>78652</f>
        <v>78652</v>
      </c>
      <c r="H17" s="56"/>
      <c r="I17" s="12"/>
      <c r="J17" s="12"/>
      <c r="K17" s="12"/>
      <c r="L17" s="56"/>
      <c r="M17" s="56"/>
      <c r="N17" s="14">
        <f t="shared" si="7"/>
        <v>434108</v>
      </c>
      <c r="O17" s="25">
        <f t="shared" si="8"/>
        <v>0.03287059166</v>
      </c>
    </row>
    <row r="18">
      <c r="A18" s="18" t="s">
        <v>24</v>
      </c>
      <c r="B18" s="12">
        <v>180000.0</v>
      </c>
      <c r="C18" s="12">
        <v>180000.0</v>
      </c>
      <c r="D18" s="12">
        <v>180000.0</v>
      </c>
      <c r="E18" s="12">
        <v>180000.0</v>
      </c>
      <c r="F18" s="12">
        <v>180000.0</v>
      </c>
      <c r="G18" s="12">
        <v>180000.0</v>
      </c>
      <c r="H18" s="12"/>
      <c r="I18" s="12"/>
      <c r="J18" s="12"/>
      <c r="K18" s="12"/>
      <c r="L18" s="12"/>
      <c r="M18" s="12"/>
      <c r="N18" s="14">
        <f t="shared" si="7"/>
        <v>1080000</v>
      </c>
      <c r="O18" s="25">
        <f t="shared" si="8"/>
        <v>0.08177743556</v>
      </c>
    </row>
    <row r="19">
      <c r="A19" s="18" t="s">
        <v>25</v>
      </c>
      <c r="B19" s="56">
        <f t="shared" ref="B19:G19" si="9">5767.25</f>
        <v>5767.25</v>
      </c>
      <c r="C19" s="56">
        <f t="shared" si="9"/>
        <v>5767.25</v>
      </c>
      <c r="D19" s="56">
        <f t="shared" si="9"/>
        <v>5767.25</v>
      </c>
      <c r="E19" s="56">
        <f t="shared" si="9"/>
        <v>5767.25</v>
      </c>
      <c r="F19" s="56">
        <f t="shared" si="9"/>
        <v>5767.25</v>
      </c>
      <c r="G19" s="56">
        <f t="shared" si="9"/>
        <v>5767.25</v>
      </c>
      <c r="H19" s="56"/>
      <c r="I19" s="56"/>
      <c r="J19" s="56"/>
      <c r="K19" s="56"/>
      <c r="L19" s="56"/>
      <c r="M19" s="56"/>
      <c r="N19" s="14">
        <f t="shared" si="7"/>
        <v>34603.5</v>
      </c>
      <c r="O19" s="25">
        <f t="shared" si="8"/>
        <v>0.002620171751</v>
      </c>
    </row>
    <row r="20">
      <c r="A20" s="20" t="s">
        <v>42</v>
      </c>
      <c r="B20" s="56">
        <f>25960+20119+10000+282526</f>
        <v>338605</v>
      </c>
      <c r="C20" s="56">
        <f>29500+10000+1456+25960+343363</f>
        <v>410279</v>
      </c>
      <c r="D20" s="56">
        <f>29500+10000+359044</f>
        <v>398544</v>
      </c>
      <c r="E20" s="56">
        <f>10800+14055+25960+330264.07+18798</f>
        <v>399877.07</v>
      </c>
      <c r="F20" s="56">
        <f>332276+25960+18798+10800</f>
        <v>387834</v>
      </c>
      <c r="G20" s="12">
        <f>25960+19521+10800+341739.29</f>
        <v>398020.29</v>
      </c>
      <c r="H20" s="56"/>
      <c r="I20" s="56"/>
      <c r="J20" s="56"/>
      <c r="K20" s="56"/>
      <c r="L20" s="56"/>
      <c r="M20" s="56"/>
      <c r="N20" s="14">
        <f t="shared" si="7"/>
        <v>2333159.36</v>
      </c>
      <c r="O20" s="25">
        <f t="shared" si="8"/>
        <v>0.1766664715</v>
      </c>
    </row>
    <row r="21">
      <c r="A21" s="10" t="s">
        <v>27</v>
      </c>
      <c r="B21" s="56">
        <f t="shared" ref="B21:C21" si="10">2400+2950+2850+2596</f>
        <v>10796</v>
      </c>
      <c r="C21" s="56">
        <f t="shared" si="10"/>
        <v>10796</v>
      </c>
      <c r="D21" s="56">
        <f>2750+2596+2400+2950</f>
        <v>10696</v>
      </c>
      <c r="E21" s="56">
        <f>2950+2596</f>
        <v>5546</v>
      </c>
      <c r="F21" s="56">
        <f t="shared" ref="F21:G21" si="11">5100+2596+2950</f>
        <v>10646</v>
      </c>
      <c r="G21" s="56">
        <f t="shared" si="11"/>
        <v>10646</v>
      </c>
      <c r="H21" s="56"/>
      <c r="I21" s="56"/>
      <c r="J21" s="56"/>
      <c r="K21" s="56"/>
      <c r="L21" s="56"/>
      <c r="M21" s="56"/>
      <c r="N21" s="14">
        <f t="shared" si="7"/>
        <v>59126</v>
      </c>
      <c r="O21" s="25">
        <f t="shared" si="8"/>
        <v>0.004477011717</v>
      </c>
    </row>
    <row r="22">
      <c r="A22" s="30" t="s">
        <v>28</v>
      </c>
      <c r="B22" s="56">
        <f t="shared" ref="B22:D22" si="12">2516.16/3+16500/3+9813/12+7080/12</f>
        <v>7746.47</v>
      </c>
      <c r="C22" s="56">
        <f t="shared" si="12"/>
        <v>7746.47</v>
      </c>
      <c r="D22" s="56">
        <f t="shared" si="12"/>
        <v>7746.47</v>
      </c>
      <c r="E22" s="56">
        <f t="shared" ref="E22:G22" si="13">9813/12+2516.16/3+16500/3+7080/12</f>
        <v>7746.47</v>
      </c>
      <c r="F22" s="56">
        <f t="shared" si="13"/>
        <v>7746.47</v>
      </c>
      <c r="G22" s="56">
        <f t="shared" si="13"/>
        <v>7746.47</v>
      </c>
      <c r="H22" s="56">
        <f t="shared" ref="H22:M22" si="14">9813/12</f>
        <v>817.75</v>
      </c>
      <c r="I22" s="56">
        <f t="shared" si="14"/>
        <v>817.75</v>
      </c>
      <c r="J22" s="56">
        <f t="shared" si="14"/>
        <v>817.75</v>
      </c>
      <c r="K22" s="56">
        <f t="shared" si="14"/>
        <v>817.75</v>
      </c>
      <c r="L22" s="56">
        <f t="shared" si="14"/>
        <v>817.75</v>
      </c>
      <c r="M22" s="56">
        <f t="shared" si="14"/>
        <v>817.75</v>
      </c>
      <c r="N22" s="14">
        <f t="shared" si="7"/>
        <v>51385.32</v>
      </c>
      <c r="O22" s="25">
        <f t="shared" si="8"/>
        <v>0.003890888606</v>
      </c>
    </row>
    <row r="23">
      <c r="A23" s="20" t="s">
        <v>29</v>
      </c>
      <c r="B23" s="12">
        <v>1126.85</v>
      </c>
      <c r="C23" s="17">
        <f t="shared" ref="C23:M23" si="15">1698</f>
        <v>1698</v>
      </c>
      <c r="D23" s="17">
        <f t="shared" si="15"/>
        <v>1698</v>
      </c>
      <c r="E23" s="17">
        <f t="shared" si="15"/>
        <v>1698</v>
      </c>
      <c r="F23" s="17">
        <f t="shared" si="15"/>
        <v>1698</v>
      </c>
      <c r="G23" s="17">
        <f t="shared" si="15"/>
        <v>1698</v>
      </c>
      <c r="H23" s="17">
        <f t="shared" si="15"/>
        <v>1698</v>
      </c>
      <c r="I23" s="17">
        <f t="shared" si="15"/>
        <v>1698</v>
      </c>
      <c r="J23" s="17">
        <f t="shared" si="15"/>
        <v>1698</v>
      </c>
      <c r="K23" s="17">
        <f t="shared" si="15"/>
        <v>1698</v>
      </c>
      <c r="L23" s="17">
        <f t="shared" si="15"/>
        <v>1698</v>
      </c>
      <c r="M23" s="17">
        <f t="shared" si="15"/>
        <v>1698</v>
      </c>
      <c r="N23" s="14">
        <f t="shared" si="7"/>
        <v>19804.85</v>
      </c>
      <c r="O23" s="25">
        <f t="shared" si="8"/>
        <v>0.001499620226</v>
      </c>
    </row>
    <row r="24">
      <c r="A24" s="18" t="s">
        <v>30</v>
      </c>
      <c r="B24" s="56">
        <f>17705.93</f>
        <v>17705.93</v>
      </c>
      <c r="C24" s="56">
        <f>2207</f>
        <v>2207</v>
      </c>
      <c r="D24" s="12">
        <v>12779.0</v>
      </c>
      <c r="E24" s="12">
        <f>'Misc Exp'!M133</f>
        <v>10053</v>
      </c>
      <c r="F24" s="12">
        <f>'Misc Exp'!M90</f>
        <v>30041</v>
      </c>
      <c r="G24" s="12">
        <f>'Misc Exp'!M43</f>
        <v>5896</v>
      </c>
      <c r="H24" s="56"/>
      <c r="I24" s="12"/>
      <c r="J24" s="12"/>
      <c r="K24" s="12"/>
      <c r="L24" s="12"/>
      <c r="M24" s="56"/>
      <c r="N24" s="14">
        <f t="shared" si="7"/>
        <v>78681.93</v>
      </c>
      <c r="O24" s="25">
        <f t="shared" si="8"/>
        <v>0.005957783759</v>
      </c>
    </row>
    <row r="25">
      <c r="A25" s="18" t="s">
        <v>31</v>
      </c>
      <c r="B25" s="56">
        <f>48492/12+13570</f>
        <v>17611</v>
      </c>
      <c r="C25" s="56">
        <f>48492/12+39169.22</f>
        <v>43210.22</v>
      </c>
      <c r="D25" s="56">
        <f>48492/12+20127.73</f>
        <v>24168.73</v>
      </c>
      <c r="E25" s="56">
        <f>48492/12+'Misc Exp'!M126</f>
        <v>51182.53333</v>
      </c>
      <c r="F25" s="56">
        <f>48492/12+'Misc Exp'!M84</f>
        <v>21500.74</v>
      </c>
      <c r="G25" s="56">
        <f>48492/12+'Misc Exp'!M38</f>
        <v>26126.97</v>
      </c>
      <c r="H25" s="56">
        <f t="shared" ref="H25:M25" si="16">48492/12</f>
        <v>4041</v>
      </c>
      <c r="I25" s="56">
        <f t="shared" si="16"/>
        <v>4041</v>
      </c>
      <c r="J25" s="56">
        <f t="shared" si="16"/>
        <v>4041</v>
      </c>
      <c r="K25" s="56">
        <f t="shared" si="16"/>
        <v>4041</v>
      </c>
      <c r="L25" s="56">
        <f t="shared" si="16"/>
        <v>4041</v>
      </c>
      <c r="M25" s="56">
        <f t="shared" si="16"/>
        <v>4041</v>
      </c>
      <c r="N25" s="14">
        <f t="shared" si="7"/>
        <v>208046.1933</v>
      </c>
      <c r="O25" s="25">
        <f t="shared" si="8"/>
        <v>0.01575322608</v>
      </c>
    </row>
    <row r="26">
      <c r="A26" s="18" t="s">
        <v>32</v>
      </c>
      <c r="B26" s="12">
        <v>5000.0</v>
      </c>
      <c r="C26" s="12">
        <v>5000.0</v>
      </c>
      <c r="D26" s="12">
        <v>5000.0</v>
      </c>
      <c r="E26" s="12">
        <v>5000.0</v>
      </c>
      <c r="F26" s="12">
        <v>5000.0</v>
      </c>
      <c r="G26" s="12">
        <v>5000.0</v>
      </c>
      <c r="H26" s="12"/>
      <c r="I26" s="12"/>
      <c r="J26" s="12"/>
      <c r="K26" s="12"/>
      <c r="L26" s="12"/>
      <c r="M26" s="12"/>
      <c r="N26" s="14">
        <f t="shared" si="7"/>
        <v>30000</v>
      </c>
      <c r="O26" s="25">
        <f t="shared" si="8"/>
        <v>0.002271595432</v>
      </c>
    </row>
    <row r="27">
      <c r="A27" s="18" t="s">
        <v>33</v>
      </c>
      <c r="B27" s="56">
        <f>HO!D39</f>
        <v>458360.8074</v>
      </c>
      <c r="C27" s="56">
        <f>HO!H39</f>
        <v>473627.5418</v>
      </c>
      <c r="D27" s="56">
        <f>HO!L39</f>
        <v>480585.8992</v>
      </c>
      <c r="E27" s="56">
        <f>HO!P39</f>
        <v>465700.6801</v>
      </c>
      <c r="F27" s="56">
        <f>HO!D58</f>
        <v>460727.0623</v>
      </c>
      <c r="G27" s="56">
        <f>HO!H58</f>
        <v>502940.4865</v>
      </c>
      <c r="H27" s="56" t="str">
        <f>HO!L58</f>
        <v>#DIV/0!</v>
      </c>
      <c r="I27" s="56" t="str">
        <f>HO!P58</f>
        <v>#DIV/0!</v>
      </c>
      <c r="J27" s="56" t="str">
        <f>HO!D77</f>
        <v>#DIV/0!</v>
      </c>
      <c r="K27" s="56" t="str">
        <f>HO!H77</f>
        <v>#DIV/0!</v>
      </c>
      <c r="L27" s="56" t="str">
        <f>HO!L77</f>
        <v>#DIV/0!</v>
      </c>
      <c r="M27" s="56" t="str">
        <f>HO!P77</f>
        <v>#DIV/0!</v>
      </c>
      <c r="N27" s="14" t="str">
        <f t="shared" si="7"/>
        <v>#DIV/0!</v>
      </c>
      <c r="O27" s="25" t="str">
        <f t="shared" si="8"/>
        <v>#DIV/0!</v>
      </c>
    </row>
    <row r="28">
      <c r="A28" s="35" t="s">
        <v>34</v>
      </c>
      <c r="B28" s="36">
        <f t="shared" ref="B28:M28" si="17">+SUM(B14:B27)</f>
        <v>1724827.117</v>
      </c>
      <c r="C28" s="36">
        <f t="shared" si="17"/>
        <v>1914296.242</v>
      </c>
      <c r="D28" s="36">
        <f t="shared" si="17"/>
        <v>1935369.889</v>
      </c>
      <c r="E28" s="36">
        <f t="shared" si="17"/>
        <v>1939640.673</v>
      </c>
      <c r="F28" s="48">
        <f t="shared" si="17"/>
        <v>2018636.192</v>
      </c>
      <c r="G28" s="36">
        <f t="shared" si="17"/>
        <v>1962295.306</v>
      </c>
      <c r="H28" s="36" t="str">
        <f t="shared" si="17"/>
        <v>#DIV/0!</v>
      </c>
      <c r="I28" s="36" t="str">
        <f t="shared" si="17"/>
        <v>#DIV/0!</v>
      </c>
      <c r="J28" s="36" t="str">
        <f t="shared" si="17"/>
        <v>#DIV/0!</v>
      </c>
      <c r="K28" s="36" t="str">
        <f t="shared" si="17"/>
        <v>#DIV/0!</v>
      </c>
      <c r="L28" s="36" t="str">
        <f t="shared" si="17"/>
        <v>#DIV/0!</v>
      </c>
      <c r="M28" s="36" t="str">
        <f t="shared" si="17"/>
        <v>#DIV/0!</v>
      </c>
      <c r="N28" s="36" t="str">
        <f t="shared" si="7"/>
        <v>#DIV/0!</v>
      </c>
      <c r="O28" s="37" t="str">
        <f>N28/N13</f>
        <v>#DIV/0!</v>
      </c>
    </row>
    <row r="29">
      <c r="A29" s="38" t="s">
        <v>35</v>
      </c>
      <c r="B29" s="39">
        <f t="shared" ref="B29:M29" si="18">B13-B28</f>
        <v>339602.2746</v>
      </c>
      <c r="C29" s="39">
        <f t="shared" si="18"/>
        <v>340144.667</v>
      </c>
      <c r="D29" s="39">
        <f t="shared" si="18"/>
        <v>257986.3742</v>
      </c>
      <c r="E29" s="39">
        <f t="shared" si="18"/>
        <v>189349.9568</v>
      </c>
      <c r="F29" s="39">
        <f t="shared" si="18"/>
        <v>301934.5585</v>
      </c>
      <c r="G29" s="39">
        <f t="shared" si="18"/>
        <v>282493.7539</v>
      </c>
      <c r="H29" s="39" t="str">
        <f t="shared" si="18"/>
        <v>#DIV/0!</v>
      </c>
      <c r="I29" s="39" t="str">
        <f t="shared" si="18"/>
        <v>#DIV/0!</v>
      </c>
      <c r="J29" s="39" t="str">
        <f t="shared" si="18"/>
        <v>#DIV/0!</v>
      </c>
      <c r="K29" s="39" t="str">
        <f t="shared" si="18"/>
        <v>#DIV/0!</v>
      </c>
      <c r="L29" s="39" t="str">
        <f t="shared" si="18"/>
        <v>#DIV/0!</v>
      </c>
      <c r="M29" s="39" t="str">
        <f t="shared" si="18"/>
        <v>#DIV/0!</v>
      </c>
      <c r="N29" s="39" t="str">
        <f t="shared" si="7"/>
        <v>#DIV/0!</v>
      </c>
      <c r="O29" s="40" t="str">
        <f>N29/N13</f>
        <v>#DIV/0!</v>
      </c>
    </row>
    <row r="30">
      <c r="A30" s="41" t="s">
        <v>36</v>
      </c>
      <c r="B30" s="42">
        <f t="shared" ref="B30:M30" si="19">(B14/B13)</f>
        <v>0.2691039675</v>
      </c>
      <c r="C30" s="42">
        <f t="shared" si="19"/>
        <v>0.2600201619</v>
      </c>
      <c r="D30" s="42">
        <f t="shared" si="19"/>
        <v>0.2820494237</v>
      </c>
      <c r="E30" s="42">
        <f t="shared" si="19"/>
        <v>0.2921872887</v>
      </c>
      <c r="F30" s="43">
        <f t="shared" si="19"/>
        <v>0.3100030455</v>
      </c>
      <c r="G30" s="42">
        <f t="shared" si="19"/>
        <v>0.2827241905</v>
      </c>
      <c r="H30" s="42" t="str">
        <f t="shared" si="19"/>
        <v>#DIV/0!</v>
      </c>
      <c r="I30" s="42" t="str">
        <f t="shared" si="19"/>
        <v>#DIV/0!</v>
      </c>
      <c r="J30" s="42" t="str">
        <f t="shared" si="19"/>
        <v>#DIV/0!</v>
      </c>
      <c r="K30" s="42" t="str">
        <f t="shared" si="19"/>
        <v>#DIV/0!</v>
      </c>
      <c r="L30" s="42" t="str">
        <f t="shared" si="19"/>
        <v>#DIV/0!</v>
      </c>
      <c r="M30" s="42" t="str">
        <f t="shared" si="19"/>
        <v>#DIV/0!</v>
      </c>
      <c r="N30" s="44"/>
      <c r="O30" s="44"/>
    </row>
    <row r="32"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</row>
    <row r="33">
      <c r="A33" s="46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</row>
    <row r="34">
      <c r="A34" s="46"/>
      <c r="B34" s="47"/>
      <c r="C34" s="47"/>
      <c r="D34" s="47"/>
      <c r="E34" s="47"/>
    </row>
    <row r="35">
      <c r="A35" s="6"/>
      <c r="B35" s="74"/>
      <c r="C35" s="74"/>
      <c r="D35" s="74"/>
      <c r="E35" s="74"/>
    </row>
    <row r="36">
      <c r="A36" s="46"/>
      <c r="B36" s="47"/>
      <c r="C36" s="47"/>
      <c r="D36" s="47"/>
      <c r="E36" s="47"/>
    </row>
  </sheetData>
  <mergeCells count="1">
    <mergeCell ref="N1:O1"/>
  </mergeCells>
  <drawing r:id="rId4"/>
  <legacyDrawing r:id="rId5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</cols>
  <sheetData>
    <row r="1">
      <c r="A1" s="1" t="s">
        <v>55</v>
      </c>
      <c r="B1" s="3">
        <f>Summary!C1</f>
        <v>46113</v>
      </c>
      <c r="C1" s="3">
        <f>Summary!D1</f>
        <v>46143</v>
      </c>
      <c r="D1" s="3">
        <f>Summary!E1</f>
        <v>46174</v>
      </c>
      <c r="E1" s="3">
        <f>Summary!F1</f>
        <v>46204</v>
      </c>
      <c r="F1" s="3">
        <f>Summary!G1</f>
        <v>46235</v>
      </c>
      <c r="G1" s="3">
        <f>Summary!H1</f>
        <v>46266</v>
      </c>
      <c r="H1" s="3">
        <f>Summary!I1</f>
        <v>46296</v>
      </c>
      <c r="I1" s="3">
        <f>Summary!J1</f>
        <v>46327</v>
      </c>
      <c r="J1" s="3">
        <f>Summary!K1</f>
        <v>46357</v>
      </c>
      <c r="K1" s="3">
        <f>Summary!L1</f>
        <v>46388</v>
      </c>
      <c r="L1" s="3">
        <f>Summary!M1</f>
        <v>46419</v>
      </c>
      <c r="M1" s="3">
        <f>Summary!N1</f>
        <v>46447</v>
      </c>
      <c r="N1" s="4" t="s">
        <v>5</v>
      </c>
      <c r="O1" s="5"/>
    </row>
    <row r="2">
      <c r="A2" s="7" t="s">
        <v>6</v>
      </c>
      <c r="B2" s="8"/>
      <c r="C2" s="8"/>
      <c r="D2" s="8"/>
      <c r="E2" s="8"/>
      <c r="F2" s="9"/>
      <c r="G2" s="8"/>
      <c r="H2" s="8"/>
      <c r="I2" s="8"/>
      <c r="J2" s="8"/>
      <c r="K2" s="8"/>
      <c r="L2" s="8"/>
      <c r="M2" s="8"/>
      <c r="N2" s="8"/>
      <c r="O2" s="8"/>
    </row>
    <row r="3">
      <c r="A3" s="10" t="s">
        <v>7</v>
      </c>
      <c r="B3" s="27">
        <v>26431.0</v>
      </c>
      <c r="C3" s="11">
        <f t="shared" ref="C3:M3" si="1">B7</f>
        <v>26476.9</v>
      </c>
      <c r="D3" s="11">
        <f t="shared" si="1"/>
        <v>26517.6</v>
      </c>
      <c r="E3" s="11">
        <f t="shared" si="1"/>
        <v>28972</v>
      </c>
      <c r="F3" s="11">
        <f t="shared" si="1"/>
        <v>35628</v>
      </c>
      <c r="G3" s="11">
        <f t="shared" si="1"/>
        <v>31301.72</v>
      </c>
      <c r="H3" s="11">
        <f t="shared" si="1"/>
        <v>31115.79</v>
      </c>
      <c r="I3" s="11" t="str">
        <f t="shared" si="1"/>
        <v/>
      </c>
      <c r="J3" s="11" t="str">
        <f t="shared" si="1"/>
        <v/>
      </c>
      <c r="K3" s="11" t="str">
        <f t="shared" si="1"/>
        <v/>
      </c>
      <c r="L3" s="11" t="str">
        <f t="shared" si="1"/>
        <v/>
      </c>
      <c r="M3" s="11" t="str">
        <f t="shared" si="1"/>
        <v/>
      </c>
      <c r="N3" s="14">
        <f>+SUM(J3:L3)</f>
        <v>0</v>
      </c>
      <c r="O3" s="16"/>
    </row>
    <row r="4">
      <c r="A4" s="10" t="s">
        <v>9</v>
      </c>
      <c r="B4" s="83">
        <f>202555.22</f>
        <v>202555.22</v>
      </c>
      <c r="C4" s="17">
        <v>230206.84</v>
      </c>
      <c r="D4" s="17">
        <f>258617-371</f>
        <v>258246</v>
      </c>
      <c r="E4" s="17">
        <v>297086.0</v>
      </c>
      <c r="F4" s="17">
        <v>328617.5</v>
      </c>
      <c r="G4" s="17">
        <v>294770.41</v>
      </c>
      <c r="H4" s="17"/>
      <c r="I4" s="17"/>
      <c r="J4" s="17"/>
      <c r="K4" s="17"/>
      <c r="L4" s="11"/>
      <c r="M4" s="17"/>
      <c r="N4" s="14">
        <f>sum(B4:M4)</f>
        <v>1611481.97</v>
      </c>
      <c r="O4" s="16"/>
    </row>
    <row r="5">
      <c r="A5" s="10" t="s">
        <v>10</v>
      </c>
      <c r="B5" s="83">
        <f>581.61</f>
        <v>581.61</v>
      </c>
      <c r="C5" s="17">
        <v>232.05</v>
      </c>
      <c r="D5" s="17">
        <v>0.0</v>
      </c>
      <c r="E5" s="17">
        <v>50.0</v>
      </c>
      <c r="F5" s="17">
        <v>0.0</v>
      </c>
      <c r="G5" s="17">
        <v>175.66</v>
      </c>
      <c r="H5" s="17"/>
      <c r="I5" s="17"/>
      <c r="J5" s="17"/>
      <c r="K5" s="17"/>
      <c r="L5" s="17"/>
      <c r="M5" s="17"/>
      <c r="N5" s="14">
        <f t="shared" ref="N5:N6" si="2">+SUM(J5:L5)</f>
        <v>0</v>
      </c>
      <c r="O5" s="16"/>
    </row>
    <row r="6">
      <c r="A6" s="10" t="s">
        <v>11</v>
      </c>
      <c r="B6" s="83">
        <v>10885.49</v>
      </c>
      <c r="C6" s="17">
        <v>6071.62</v>
      </c>
      <c r="D6" s="17">
        <v>8400.0</v>
      </c>
      <c r="E6" s="17">
        <v>14904.0</v>
      </c>
      <c r="F6" s="17">
        <v>20972.76</v>
      </c>
      <c r="G6" s="17">
        <v>29838.28</v>
      </c>
      <c r="H6" s="17"/>
      <c r="I6" s="17"/>
      <c r="J6" s="17"/>
      <c r="K6" s="17"/>
      <c r="L6" s="17"/>
      <c r="M6" s="17"/>
      <c r="N6" s="14">
        <f t="shared" si="2"/>
        <v>0</v>
      </c>
      <c r="O6" s="16"/>
    </row>
    <row r="7">
      <c r="A7" s="10" t="s">
        <v>12</v>
      </c>
      <c r="B7" s="83">
        <v>26476.9</v>
      </c>
      <c r="C7" s="17">
        <v>26517.6</v>
      </c>
      <c r="D7" s="17">
        <v>28972.0</v>
      </c>
      <c r="E7" s="17">
        <v>35628.0</v>
      </c>
      <c r="F7" s="17">
        <v>31301.72</v>
      </c>
      <c r="G7" s="17">
        <v>31115.79</v>
      </c>
      <c r="H7" s="17"/>
      <c r="I7" s="17"/>
      <c r="J7" s="17"/>
      <c r="K7" s="17"/>
      <c r="L7" s="17"/>
      <c r="M7" s="17"/>
      <c r="N7" s="14">
        <f>sum(B7:M7)</f>
        <v>180012.01</v>
      </c>
      <c r="O7" s="16"/>
    </row>
    <row r="8">
      <c r="A8" s="8"/>
      <c r="B8" s="8"/>
      <c r="C8" s="8"/>
      <c r="D8" s="8"/>
      <c r="E8" s="8"/>
      <c r="F8" s="9"/>
      <c r="G8" s="8"/>
      <c r="H8" s="8"/>
      <c r="I8" s="8"/>
      <c r="J8" s="8"/>
      <c r="K8" s="8"/>
      <c r="L8" s="8"/>
      <c r="M8" s="8"/>
      <c r="N8" s="8"/>
      <c r="O8" s="8"/>
    </row>
    <row r="9">
      <c r="A9" s="18" t="s">
        <v>13</v>
      </c>
      <c r="B9" s="11">
        <f>812876.2*1.05</f>
        <v>853520.01</v>
      </c>
      <c r="C9" s="11">
        <f>886185.85*1.05</f>
        <v>930495.1425</v>
      </c>
      <c r="D9" s="11">
        <f>1031212.73*1.05</f>
        <v>1082773.367</v>
      </c>
      <c r="E9" s="11">
        <f>1119835.82*1.05</f>
        <v>1175827.611</v>
      </c>
      <c r="F9" s="11">
        <f>1230446.98*1.05</f>
        <v>1291969.329</v>
      </c>
      <c r="G9" s="11">
        <f>1014168.4*1.05</f>
        <v>1064876.82</v>
      </c>
      <c r="H9" s="11"/>
      <c r="I9" s="11"/>
      <c r="J9" s="11"/>
      <c r="K9" s="11"/>
      <c r="L9" s="11"/>
      <c r="M9" s="11"/>
      <c r="N9" s="14">
        <f t="shared" ref="N9:N12" si="3">+SUM(B9:M9)</f>
        <v>6399462.279</v>
      </c>
      <c r="O9" s="16"/>
    </row>
    <row r="10">
      <c r="A10" s="18" t="s">
        <v>14</v>
      </c>
      <c r="B10" s="17">
        <v>0.0</v>
      </c>
      <c r="C10" s="17"/>
      <c r="D10" s="17"/>
      <c r="E10" s="17"/>
      <c r="F10" s="17"/>
      <c r="G10" s="17"/>
      <c r="H10" s="11"/>
      <c r="I10" s="11"/>
      <c r="J10" s="11"/>
      <c r="K10" s="11"/>
      <c r="L10" s="11"/>
      <c r="M10" s="11"/>
      <c r="N10" s="14">
        <f t="shared" si="3"/>
        <v>0</v>
      </c>
      <c r="O10" s="16"/>
    </row>
    <row r="11">
      <c r="A11" s="18" t="s">
        <v>15</v>
      </c>
      <c r="B11" s="11">
        <f t="shared" ref="B11:M11" si="4">(B9+B10)/1.05*0.05</f>
        <v>40643.81</v>
      </c>
      <c r="C11" s="11">
        <f t="shared" si="4"/>
        <v>44309.2925</v>
      </c>
      <c r="D11" s="11">
        <f t="shared" si="4"/>
        <v>51560.6365</v>
      </c>
      <c r="E11" s="11">
        <f t="shared" si="4"/>
        <v>55991.791</v>
      </c>
      <c r="F11" s="11">
        <f t="shared" si="4"/>
        <v>61522.349</v>
      </c>
      <c r="G11" s="11">
        <f t="shared" si="4"/>
        <v>50708.42</v>
      </c>
      <c r="H11" s="11">
        <f t="shared" si="4"/>
        <v>0</v>
      </c>
      <c r="I11" s="11">
        <f t="shared" si="4"/>
        <v>0</v>
      </c>
      <c r="J11" s="11">
        <f t="shared" si="4"/>
        <v>0</v>
      </c>
      <c r="K11" s="11">
        <f t="shared" si="4"/>
        <v>0</v>
      </c>
      <c r="L11" s="11">
        <f t="shared" si="4"/>
        <v>0</v>
      </c>
      <c r="M11" s="11">
        <f t="shared" si="4"/>
        <v>0</v>
      </c>
      <c r="N11" s="14">
        <f t="shared" si="3"/>
        <v>304736.299</v>
      </c>
      <c r="O11" s="16"/>
    </row>
    <row r="12">
      <c r="A12" s="18" t="s">
        <v>16</v>
      </c>
      <c r="B12" s="17">
        <v>0.0</v>
      </c>
      <c r="C12" s="17">
        <v>0.0</v>
      </c>
      <c r="D12" s="17">
        <v>0.0</v>
      </c>
      <c r="E12" s="17">
        <v>0.0</v>
      </c>
      <c r="F12" s="17">
        <v>0.0</v>
      </c>
      <c r="G12" s="17">
        <v>0.0</v>
      </c>
      <c r="H12" s="17">
        <v>0.0</v>
      </c>
      <c r="I12" s="17">
        <v>0.0</v>
      </c>
      <c r="J12" s="17">
        <v>0.0</v>
      </c>
      <c r="K12" s="17">
        <v>0.0</v>
      </c>
      <c r="L12" s="17">
        <v>0.0</v>
      </c>
      <c r="M12" s="17">
        <v>0.0</v>
      </c>
      <c r="N12" s="14">
        <f t="shared" si="3"/>
        <v>0</v>
      </c>
      <c r="O12" s="16"/>
    </row>
    <row r="13">
      <c r="A13" s="19" t="s">
        <v>17</v>
      </c>
      <c r="B13" s="21">
        <f t="shared" ref="B13:M13" si="5">B9+B10-B11-B12</f>
        <v>812876.2</v>
      </c>
      <c r="C13" s="21">
        <f t="shared" si="5"/>
        <v>886185.85</v>
      </c>
      <c r="D13" s="21">
        <f t="shared" si="5"/>
        <v>1031212.73</v>
      </c>
      <c r="E13" s="21">
        <f t="shared" si="5"/>
        <v>1119835.82</v>
      </c>
      <c r="F13" s="22">
        <f t="shared" si="5"/>
        <v>1230446.98</v>
      </c>
      <c r="G13" s="22">
        <f t="shared" si="5"/>
        <v>1014168.4</v>
      </c>
      <c r="H13" s="21">
        <f t="shared" si="5"/>
        <v>0</v>
      </c>
      <c r="I13" s="21">
        <f t="shared" si="5"/>
        <v>0</v>
      </c>
      <c r="J13" s="21">
        <f t="shared" si="5"/>
        <v>0</v>
      </c>
      <c r="K13" s="21">
        <f t="shared" si="5"/>
        <v>0</v>
      </c>
      <c r="L13" s="21">
        <f t="shared" si="5"/>
        <v>0</v>
      </c>
      <c r="M13" s="21">
        <f t="shared" si="5"/>
        <v>0</v>
      </c>
      <c r="N13" s="21">
        <f t="shared" ref="N13:N29" si="7">sum(B13:M13)</f>
        <v>6094725.98</v>
      </c>
      <c r="O13" s="23"/>
    </row>
    <row r="14">
      <c r="A14" s="18" t="s">
        <v>20</v>
      </c>
      <c r="B14" s="24">
        <f t="shared" ref="B14:M14" si="6">+B3+B4-B5-B7</f>
        <v>201927.71</v>
      </c>
      <c r="C14" s="24">
        <f t="shared" si="6"/>
        <v>229934.09</v>
      </c>
      <c r="D14" s="24">
        <f t="shared" si="6"/>
        <v>255791.6</v>
      </c>
      <c r="E14" s="24">
        <f t="shared" si="6"/>
        <v>290380</v>
      </c>
      <c r="F14" s="24">
        <f t="shared" si="6"/>
        <v>332943.78</v>
      </c>
      <c r="G14" s="24">
        <f t="shared" si="6"/>
        <v>294780.68</v>
      </c>
      <c r="H14" s="24">
        <f t="shared" si="6"/>
        <v>31115.79</v>
      </c>
      <c r="I14" s="24">
        <f t="shared" si="6"/>
        <v>0</v>
      </c>
      <c r="J14" s="24">
        <f t="shared" si="6"/>
        <v>0</v>
      </c>
      <c r="K14" s="24">
        <f t="shared" si="6"/>
        <v>0</v>
      </c>
      <c r="L14" s="24">
        <f t="shared" si="6"/>
        <v>0</v>
      </c>
      <c r="M14" s="24">
        <f t="shared" si="6"/>
        <v>0</v>
      </c>
      <c r="N14" s="14">
        <f t="shared" si="7"/>
        <v>1636873.65</v>
      </c>
      <c r="O14" s="25">
        <f t="shared" ref="O14:O29" si="8">N14/$N$13</f>
        <v>0.2685721483</v>
      </c>
    </row>
    <row r="15">
      <c r="A15" s="18" t="s">
        <v>21</v>
      </c>
      <c r="B15" s="27">
        <v>30554.25</v>
      </c>
      <c r="C15" s="27">
        <v>32890.76</v>
      </c>
      <c r="D15" s="24">
        <f>31045</f>
        <v>31045</v>
      </c>
      <c r="E15" s="27">
        <v>31610.35</v>
      </c>
      <c r="F15" s="24">
        <f>32951.24</f>
        <v>32951.24</v>
      </c>
      <c r="G15" s="54">
        <v>30000.0</v>
      </c>
      <c r="H15" s="24"/>
      <c r="I15" s="24"/>
      <c r="J15" s="24"/>
      <c r="K15" s="24"/>
      <c r="L15" s="24"/>
      <c r="M15" s="24"/>
      <c r="N15" s="14">
        <f t="shared" si="7"/>
        <v>189051.6</v>
      </c>
      <c r="O15" s="25">
        <f t="shared" si="8"/>
        <v>0.0310188843</v>
      </c>
    </row>
    <row r="16">
      <c r="A16" s="18" t="s">
        <v>22</v>
      </c>
      <c r="B16" s="27">
        <v>801.42</v>
      </c>
      <c r="C16" s="54">
        <v>801.42</v>
      </c>
      <c r="D16" s="54">
        <v>801.42</v>
      </c>
      <c r="E16" s="54">
        <v>801.42</v>
      </c>
      <c r="F16" s="54">
        <v>801.42</v>
      </c>
      <c r="G16" s="54">
        <v>801.42</v>
      </c>
      <c r="H16" s="24"/>
      <c r="I16" s="24"/>
      <c r="J16" s="24"/>
      <c r="K16" s="24"/>
      <c r="L16" s="24"/>
      <c r="M16" s="24"/>
      <c r="N16" s="14">
        <f t="shared" si="7"/>
        <v>4808.52</v>
      </c>
      <c r="O16" s="25">
        <f t="shared" si="8"/>
        <v>0.0007889641004</v>
      </c>
    </row>
    <row r="17">
      <c r="A17" s="18" t="s">
        <v>23</v>
      </c>
      <c r="B17" s="24">
        <f>47511</f>
        <v>47511</v>
      </c>
      <c r="C17" s="27">
        <v>75306.84</v>
      </c>
      <c r="D17" s="27">
        <v>78110.78</v>
      </c>
      <c r="E17" s="27">
        <v>78519.0</v>
      </c>
      <c r="F17" s="27">
        <v>75786.0</v>
      </c>
      <c r="G17" s="27">
        <v>73145.0</v>
      </c>
      <c r="H17" s="24"/>
      <c r="I17" s="24"/>
      <c r="J17" s="24"/>
      <c r="K17" s="24"/>
      <c r="L17" s="24"/>
      <c r="M17" s="24"/>
      <c r="N17" s="14">
        <f t="shared" si="7"/>
        <v>428378.62</v>
      </c>
      <c r="O17" s="25">
        <f t="shared" si="8"/>
        <v>0.07028677276</v>
      </c>
    </row>
    <row r="18">
      <c r="A18" s="18" t="s">
        <v>24</v>
      </c>
      <c r="B18" s="24">
        <f t="shared" ref="B18:C18" si="9">B13*0.14*1.18</f>
        <v>134287.1482</v>
      </c>
      <c r="C18" s="24">
        <f t="shared" si="9"/>
        <v>146397.9024</v>
      </c>
      <c r="D18" s="27">
        <v>170351.0</v>
      </c>
      <c r="E18" s="24">
        <f t="shared" ref="E18:G18" si="10">E13*0.14*1.18</f>
        <v>184996.8775</v>
      </c>
      <c r="F18" s="24">
        <f t="shared" si="10"/>
        <v>203269.8411</v>
      </c>
      <c r="G18" s="24">
        <f t="shared" si="10"/>
        <v>167540.6197</v>
      </c>
      <c r="H18" s="24"/>
      <c r="I18" s="24"/>
      <c r="J18" s="24"/>
      <c r="K18" s="24"/>
      <c r="L18" s="24"/>
      <c r="M18" s="24"/>
      <c r="N18" s="14">
        <f t="shared" si="7"/>
        <v>1006843.389</v>
      </c>
      <c r="O18" s="25">
        <f t="shared" si="8"/>
        <v>0.1651991233</v>
      </c>
    </row>
    <row r="19">
      <c r="A19" s="18" t="s">
        <v>25</v>
      </c>
      <c r="B19" s="27">
        <v>4080.83</v>
      </c>
      <c r="C19" s="27">
        <v>4080.83</v>
      </c>
      <c r="D19" s="27">
        <v>4080.83</v>
      </c>
      <c r="E19" s="27">
        <v>4080.83</v>
      </c>
      <c r="F19" s="27">
        <v>4080.83</v>
      </c>
      <c r="G19" s="27">
        <v>4080.83</v>
      </c>
      <c r="H19" s="24"/>
      <c r="I19" s="24"/>
      <c r="J19" s="24"/>
      <c r="K19" s="24"/>
      <c r="L19" s="24"/>
      <c r="M19" s="24"/>
      <c r="N19" s="14">
        <f t="shared" si="7"/>
        <v>24484.98</v>
      </c>
      <c r="O19" s="25">
        <f t="shared" si="8"/>
        <v>0.004017404569</v>
      </c>
    </row>
    <row r="20">
      <c r="A20" s="18" t="s">
        <v>45</v>
      </c>
      <c r="B20" s="24">
        <f>169898</f>
        <v>169898</v>
      </c>
      <c r="C20" s="24">
        <f>175464</f>
        <v>175464</v>
      </c>
      <c r="D20" s="27">
        <v>174567.0</v>
      </c>
      <c r="E20" s="24">
        <f>174568.26</f>
        <v>174568.26</v>
      </c>
      <c r="F20" s="27">
        <v>161637.0</v>
      </c>
      <c r="G20" s="24">
        <f>152589.03</f>
        <v>152589.03</v>
      </c>
      <c r="H20" s="24"/>
      <c r="I20" s="24"/>
      <c r="J20" s="24"/>
      <c r="K20" s="24"/>
      <c r="L20" s="24"/>
      <c r="M20" s="24"/>
      <c r="N20" s="14">
        <f t="shared" si="7"/>
        <v>1008723.29</v>
      </c>
      <c r="O20" s="25">
        <f t="shared" si="8"/>
        <v>0.1655075705</v>
      </c>
    </row>
    <row r="21">
      <c r="A21" s="10" t="s">
        <v>27</v>
      </c>
      <c r="B21" s="24">
        <f t="shared" ref="B21:D21" si="11">2400+2950+2850+2360</f>
        <v>10560</v>
      </c>
      <c r="C21" s="24">
        <f t="shared" si="11"/>
        <v>10560</v>
      </c>
      <c r="D21" s="24">
        <f t="shared" si="11"/>
        <v>10560</v>
      </c>
      <c r="E21" s="24">
        <f>2950+2596+2400</f>
        <v>7946</v>
      </c>
      <c r="F21" s="24">
        <f t="shared" ref="F21:G21" si="12">5880+2596+2950</f>
        <v>11426</v>
      </c>
      <c r="G21" s="24">
        <f t="shared" si="12"/>
        <v>11426</v>
      </c>
      <c r="H21" s="24"/>
      <c r="I21" s="24"/>
      <c r="J21" s="24"/>
      <c r="K21" s="24"/>
      <c r="L21" s="24"/>
      <c r="M21" s="24"/>
      <c r="N21" s="14">
        <f t="shared" si="7"/>
        <v>62478</v>
      </c>
      <c r="O21" s="25">
        <f t="shared" si="8"/>
        <v>0.01025115817</v>
      </c>
    </row>
    <row r="22">
      <c r="A22" s="30" t="s">
        <v>28</v>
      </c>
      <c r="B22" s="27">
        <v>0.0</v>
      </c>
      <c r="C22" s="27">
        <v>0.0</v>
      </c>
      <c r="D22" s="27">
        <v>0.0</v>
      </c>
      <c r="E22" s="27">
        <v>0.0</v>
      </c>
      <c r="F22" s="27">
        <v>0.0</v>
      </c>
      <c r="G22" s="27">
        <v>0.0</v>
      </c>
      <c r="H22" s="24"/>
      <c r="I22" s="24"/>
      <c r="J22" s="24"/>
      <c r="K22" s="24"/>
      <c r="L22" s="24"/>
      <c r="M22" s="24"/>
      <c r="N22" s="14">
        <f t="shared" si="7"/>
        <v>0</v>
      </c>
      <c r="O22" s="25">
        <f t="shared" si="8"/>
        <v>0</v>
      </c>
    </row>
    <row r="23">
      <c r="A23" s="20" t="s">
        <v>29</v>
      </c>
      <c r="B23" s="27">
        <v>868.94</v>
      </c>
      <c r="C23" s="17">
        <f t="shared" ref="C23:M23" si="13">1698</f>
        <v>1698</v>
      </c>
      <c r="D23" s="17">
        <f t="shared" si="13"/>
        <v>1698</v>
      </c>
      <c r="E23" s="17">
        <f t="shared" si="13"/>
        <v>1698</v>
      </c>
      <c r="F23" s="17">
        <f t="shared" si="13"/>
        <v>1698</v>
      </c>
      <c r="G23" s="17">
        <f t="shared" si="13"/>
        <v>1698</v>
      </c>
      <c r="H23" s="17">
        <f t="shared" si="13"/>
        <v>1698</v>
      </c>
      <c r="I23" s="17">
        <f t="shared" si="13"/>
        <v>1698</v>
      </c>
      <c r="J23" s="17">
        <f t="shared" si="13"/>
        <v>1698</v>
      </c>
      <c r="K23" s="17">
        <f t="shared" si="13"/>
        <v>1698</v>
      </c>
      <c r="L23" s="17">
        <f t="shared" si="13"/>
        <v>1698</v>
      </c>
      <c r="M23" s="17">
        <f t="shared" si="13"/>
        <v>1698</v>
      </c>
      <c r="N23" s="14">
        <f t="shared" si="7"/>
        <v>19546.94</v>
      </c>
      <c r="O23" s="25">
        <f t="shared" si="8"/>
        <v>0.003207189308</v>
      </c>
    </row>
    <row r="24">
      <c r="A24" s="18" t="s">
        <v>30</v>
      </c>
      <c r="B24" s="27">
        <v>1218.0</v>
      </c>
      <c r="C24" s="27">
        <v>0.0</v>
      </c>
      <c r="D24" s="27">
        <v>3200.0</v>
      </c>
      <c r="E24" s="24">
        <f>'Misc Exp'!O133</f>
        <v>5900</v>
      </c>
      <c r="F24" s="24">
        <f>'Misc Exp'!O90</f>
        <v>150</v>
      </c>
      <c r="G24" s="24">
        <f>'Misc Exp'!O43</f>
        <v>0</v>
      </c>
      <c r="H24" s="24"/>
      <c r="I24" s="24"/>
      <c r="J24" s="24"/>
      <c r="K24" s="27"/>
      <c r="L24" s="27"/>
      <c r="M24" s="27"/>
      <c r="N24" s="14">
        <f t="shared" si="7"/>
        <v>10468</v>
      </c>
      <c r="O24" s="25">
        <f t="shared" si="8"/>
        <v>0.001717550557</v>
      </c>
    </row>
    <row r="25">
      <c r="A25" s="18" t="s">
        <v>31</v>
      </c>
      <c r="B25" s="24">
        <f>50492/12+3797.34+124271/12</f>
        <v>18360.92333</v>
      </c>
      <c r="C25" s="24">
        <f>50492/12+11879.35+124271/12</f>
        <v>26442.93333</v>
      </c>
      <c r="D25" s="24">
        <f>50492/12+3827.57+124271/12</f>
        <v>18391.15333</v>
      </c>
      <c r="E25" s="24">
        <f>50492/12+'Misc Exp'!O126+124271/12</f>
        <v>19365.70667</v>
      </c>
      <c r="F25" s="24">
        <f>50492/12+124271/12+'Misc Exp'!O84</f>
        <v>19474.48333</v>
      </c>
      <c r="G25" s="24">
        <f>50492/12+124271/12+'Misc Exp'!O38</f>
        <v>24642.96333</v>
      </c>
      <c r="H25" s="24">
        <f t="shared" ref="H25:M25" si="14">50492/12+124271/12</f>
        <v>14563.58333</v>
      </c>
      <c r="I25" s="24">
        <f t="shared" si="14"/>
        <v>14563.58333</v>
      </c>
      <c r="J25" s="24">
        <f t="shared" si="14"/>
        <v>14563.58333</v>
      </c>
      <c r="K25" s="24">
        <f t="shared" si="14"/>
        <v>14563.58333</v>
      </c>
      <c r="L25" s="24">
        <f t="shared" si="14"/>
        <v>14563.58333</v>
      </c>
      <c r="M25" s="24">
        <f t="shared" si="14"/>
        <v>14563.58333</v>
      </c>
      <c r="N25" s="14">
        <f t="shared" si="7"/>
        <v>214059.6633</v>
      </c>
      <c r="O25" s="25">
        <f t="shared" si="8"/>
        <v>0.03512211444</v>
      </c>
    </row>
    <row r="26">
      <c r="A26" s="18" t="s">
        <v>32</v>
      </c>
      <c r="B26" s="24">
        <f>107702.14</f>
        <v>107702.14</v>
      </c>
      <c r="C26" s="27">
        <v>107702.14</v>
      </c>
      <c r="D26" s="27">
        <v>107702.14</v>
      </c>
      <c r="E26" s="27">
        <v>107702.14</v>
      </c>
      <c r="F26" s="27">
        <v>107702.14</v>
      </c>
      <c r="G26" s="27">
        <v>107702.14</v>
      </c>
      <c r="H26" s="24"/>
      <c r="I26" s="24"/>
      <c r="J26" s="24"/>
      <c r="K26" s="24"/>
      <c r="L26" s="24"/>
      <c r="M26" s="27"/>
      <c r="N26" s="14">
        <f t="shared" si="7"/>
        <v>646212.84</v>
      </c>
      <c r="O26" s="25">
        <f t="shared" si="8"/>
        <v>0.1060282024</v>
      </c>
    </row>
    <row r="27">
      <c r="A27" s="18" t="s">
        <v>33</v>
      </c>
      <c r="B27" s="24">
        <f>HO!D29</f>
        <v>180481.1503</v>
      </c>
      <c r="C27" s="24">
        <f>HO!H29</f>
        <v>186175.6607</v>
      </c>
      <c r="D27" s="24">
        <f>HO!L29</f>
        <v>225948.8371</v>
      </c>
      <c r="E27" s="24">
        <f>HO!P29</f>
        <v>244955.6591</v>
      </c>
      <c r="F27" s="24">
        <f>HO!D48</f>
        <v>244293.4447</v>
      </c>
      <c r="G27" s="24">
        <f>HO!H48</f>
        <v>227222.3958</v>
      </c>
      <c r="H27" s="24" t="str">
        <f>HO!L48</f>
        <v>#DIV/0!</v>
      </c>
      <c r="I27" s="24" t="str">
        <f>HO!P48</f>
        <v>#DIV/0!</v>
      </c>
      <c r="J27" s="24" t="str">
        <f>HO!D67</f>
        <v>#DIV/0!</v>
      </c>
      <c r="K27" s="24" t="str">
        <f>HO!H67</f>
        <v>#DIV/0!</v>
      </c>
      <c r="L27" s="24" t="str">
        <f>HO!L67</f>
        <v>#DIV/0!</v>
      </c>
      <c r="M27" s="24" t="str">
        <f>HO!P67</f>
        <v>#DIV/0!</v>
      </c>
      <c r="N27" s="14" t="str">
        <f t="shared" si="7"/>
        <v>#DIV/0!</v>
      </c>
      <c r="O27" s="25" t="str">
        <f t="shared" si="8"/>
        <v>#DIV/0!</v>
      </c>
    </row>
    <row r="28">
      <c r="A28" s="35" t="s">
        <v>34</v>
      </c>
      <c r="B28" s="36">
        <f t="shared" ref="B28:M28" si="15">+SUM(B14:B27)</f>
        <v>908251.5119</v>
      </c>
      <c r="C28" s="36">
        <f t="shared" si="15"/>
        <v>997454.5764</v>
      </c>
      <c r="D28" s="36">
        <f t="shared" si="15"/>
        <v>1082247.76</v>
      </c>
      <c r="E28" s="36">
        <f t="shared" si="15"/>
        <v>1152524.243</v>
      </c>
      <c r="F28" s="48">
        <f t="shared" si="15"/>
        <v>1196214.179</v>
      </c>
      <c r="G28" s="36">
        <f t="shared" si="15"/>
        <v>1095629.079</v>
      </c>
      <c r="H28" s="36" t="str">
        <f t="shared" si="15"/>
        <v>#DIV/0!</v>
      </c>
      <c r="I28" s="36" t="str">
        <f t="shared" si="15"/>
        <v>#DIV/0!</v>
      </c>
      <c r="J28" s="36" t="str">
        <f t="shared" si="15"/>
        <v>#DIV/0!</v>
      </c>
      <c r="K28" s="36" t="str">
        <f t="shared" si="15"/>
        <v>#DIV/0!</v>
      </c>
      <c r="L28" s="36" t="str">
        <f t="shared" si="15"/>
        <v>#DIV/0!</v>
      </c>
      <c r="M28" s="36" t="str">
        <f t="shared" si="15"/>
        <v>#DIV/0!</v>
      </c>
      <c r="N28" s="36" t="str">
        <f t="shared" si="7"/>
        <v>#DIV/0!</v>
      </c>
      <c r="O28" s="37" t="str">
        <f t="shared" si="8"/>
        <v>#DIV/0!</v>
      </c>
    </row>
    <row r="29">
      <c r="A29" s="38" t="s">
        <v>35</v>
      </c>
      <c r="B29" s="39">
        <f t="shared" ref="B29:M29" si="16">B13-B28</f>
        <v>-95375.31187</v>
      </c>
      <c r="C29" s="39">
        <f t="shared" si="16"/>
        <v>-111268.7264</v>
      </c>
      <c r="D29" s="39">
        <f t="shared" si="16"/>
        <v>-51035.03047</v>
      </c>
      <c r="E29" s="39">
        <f t="shared" si="16"/>
        <v>-32688.42318</v>
      </c>
      <c r="F29" s="39">
        <f t="shared" si="16"/>
        <v>34232.80084</v>
      </c>
      <c r="G29" s="39">
        <f t="shared" si="16"/>
        <v>-81460.67884</v>
      </c>
      <c r="H29" s="39" t="str">
        <f t="shared" si="16"/>
        <v>#DIV/0!</v>
      </c>
      <c r="I29" s="39" t="str">
        <f t="shared" si="16"/>
        <v>#DIV/0!</v>
      </c>
      <c r="J29" s="39" t="str">
        <f t="shared" si="16"/>
        <v>#DIV/0!</v>
      </c>
      <c r="K29" s="39" t="str">
        <f t="shared" si="16"/>
        <v>#DIV/0!</v>
      </c>
      <c r="L29" s="39" t="str">
        <f t="shared" si="16"/>
        <v>#DIV/0!</v>
      </c>
      <c r="M29" s="39" t="str">
        <f t="shared" si="16"/>
        <v>#DIV/0!</v>
      </c>
      <c r="N29" s="39" t="str">
        <f t="shared" si="7"/>
        <v>#DIV/0!</v>
      </c>
      <c r="O29" s="40" t="str">
        <f t="shared" si="8"/>
        <v>#DIV/0!</v>
      </c>
    </row>
    <row r="30">
      <c r="A30" s="41" t="s">
        <v>36</v>
      </c>
      <c r="B30" s="42">
        <f t="shared" ref="B30:M30" si="17">(B14/B13)</f>
        <v>0.248411394</v>
      </c>
      <c r="C30" s="42">
        <f t="shared" si="17"/>
        <v>0.2594648628</v>
      </c>
      <c r="D30" s="42">
        <f t="shared" si="17"/>
        <v>0.248049304</v>
      </c>
      <c r="E30" s="42">
        <f t="shared" si="17"/>
        <v>0.2593058686</v>
      </c>
      <c r="F30" s="43">
        <f t="shared" si="17"/>
        <v>0.2705876689</v>
      </c>
      <c r="G30" s="42">
        <f t="shared" si="17"/>
        <v>0.290662458</v>
      </c>
      <c r="H30" s="42" t="str">
        <f t="shared" si="17"/>
        <v>#DIV/0!</v>
      </c>
      <c r="I30" s="42" t="str">
        <f t="shared" si="17"/>
        <v>#DIV/0!</v>
      </c>
      <c r="J30" s="42" t="str">
        <f t="shared" si="17"/>
        <v>#DIV/0!</v>
      </c>
      <c r="K30" s="42" t="str">
        <f t="shared" si="17"/>
        <v>#DIV/0!</v>
      </c>
      <c r="L30" s="42" t="str">
        <f t="shared" si="17"/>
        <v>#DIV/0!</v>
      </c>
      <c r="M30" s="42" t="str">
        <f t="shared" si="17"/>
        <v>#DIV/0!</v>
      </c>
      <c r="N30" s="44"/>
      <c r="O30" s="44"/>
    </row>
    <row r="31">
      <c r="B31" s="82"/>
      <c r="C31" s="82"/>
      <c r="D31" s="82"/>
      <c r="E31" s="82"/>
      <c r="F31" s="82"/>
      <c r="G31" s="82"/>
      <c r="H31" s="82"/>
    </row>
    <row r="32"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</row>
    <row r="33">
      <c r="A33" s="46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</row>
    <row r="34">
      <c r="A34" s="46"/>
      <c r="B34" s="47"/>
      <c r="C34" s="47"/>
      <c r="D34" s="74"/>
      <c r="E34" s="101"/>
      <c r="F34" s="74"/>
      <c r="G34" s="74"/>
    </row>
    <row r="35">
      <c r="A35" s="6"/>
      <c r="B35" s="47"/>
      <c r="C35" s="47"/>
      <c r="D35" s="47"/>
      <c r="E35" s="101"/>
    </row>
    <row r="36">
      <c r="A36" s="46"/>
      <c r="B36" s="47"/>
      <c r="C36" s="47"/>
      <c r="D36" s="47"/>
      <c r="E36" s="74"/>
    </row>
  </sheetData>
  <mergeCells count="1">
    <mergeCell ref="N1:O1"/>
  </mergeCells>
  <drawing r:id="rId4"/>
  <legacyDrawing r:id="rId5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</cols>
  <sheetData>
    <row r="1">
      <c r="A1" s="1" t="s">
        <v>56</v>
      </c>
      <c r="B1" s="3">
        <f>Summary!C1</f>
        <v>46113</v>
      </c>
      <c r="C1" s="3">
        <f>Summary!D1</f>
        <v>46143</v>
      </c>
      <c r="D1" s="3">
        <f>Summary!E1</f>
        <v>46174</v>
      </c>
      <c r="E1" s="3">
        <f>Summary!F1</f>
        <v>46204</v>
      </c>
      <c r="F1" s="3">
        <f>Summary!G1</f>
        <v>46235</v>
      </c>
      <c r="G1" s="3">
        <f>Summary!H1</f>
        <v>46266</v>
      </c>
      <c r="H1" s="3">
        <f>Summary!I1</f>
        <v>46296</v>
      </c>
      <c r="I1" s="3">
        <f>Summary!J1</f>
        <v>46327</v>
      </c>
      <c r="J1" s="3">
        <f>Summary!K1</f>
        <v>46357</v>
      </c>
      <c r="K1" s="3">
        <f>Summary!L1</f>
        <v>46388</v>
      </c>
      <c r="L1" s="3">
        <f>Summary!M1</f>
        <v>46419</v>
      </c>
      <c r="M1" s="3">
        <f>Summary!N1</f>
        <v>46447</v>
      </c>
      <c r="N1" s="4" t="s">
        <v>5</v>
      </c>
      <c r="O1" s="5"/>
    </row>
    <row r="2">
      <c r="A2" s="7" t="s">
        <v>6</v>
      </c>
      <c r="B2" s="8"/>
      <c r="C2" s="8"/>
      <c r="D2" s="8"/>
      <c r="E2" s="8"/>
      <c r="F2" s="9"/>
      <c r="G2" s="8"/>
      <c r="H2" s="8"/>
      <c r="I2" s="8"/>
      <c r="J2" s="8"/>
      <c r="K2" s="8"/>
      <c r="L2" s="8"/>
      <c r="M2" s="8"/>
      <c r="N2" s="8"/>
      <c r="O2" s="8"/>
    </row>
    <row r="3">
      <c r="A3" s="10" t="s">
        <v>7</v>
      </c>
      <c r="B3" s="72">
        <v>0.0</v>
      </c>
      <c r="C3" s="13">
        <f t="shared" ref="C3:F3" si="1">B7</f>
        <v>0</v>
      </c>
      <c r="D3" s="11">
        <f t="shared" si="1"/>
        <v>0</v>
      </c>
      <c r="E3" s="11">
        <f t="shared" si="1"/>
        <v>0</v>
      </c>
      <c r="F3" s="11">
        <f t="shared" si="1"/>
        <v>0</v>
      </c>
      <c r="G3" s="17">
        <v>0.0</v>
      </c>
      <c r="H3" s="17">
        <v>0.0</v>
      </c>
      <c r="I3" s="11" t="str">
        <f t="shared" ref="I3:M3" si="2">H7</f>
        <v/>
      </c>
      <c r="J3" s="11" t="str">
        <f t="shared" si="2"/>
        <v/>
      </c>
      <c r="K3" s="11" t="str">
        <f t="shared" si="2"/>
        <v/>
      </c>
      <c r="L3" s="11" t="str">
        <f t="shared" si="2"/>
        <v/>
      </c>
      <c r="M3" s="11" t="str">
        <f t="shared" si="2"/>
        <v/>
      </c>
      <c r="N3" s="14">
        <f>+SUM(J3:L3)</f>
        <v>0</v>
      </c>
      <c r="O3" s="16"/>
    </row>
    <row r="4">
      <c r="A4" s="10" t="s">
        <v>9</v>
      </c>
      <c r="B4" s="15">
        <v>5276.62</v>
      </c>
      <c r="C4" s="15">
        <v>18323.01</v>
      </c>
      <c r="D4" s="17">
        <f>67552-14726</f>
        <v>52826</v>
      </c>
      <c r="E4" s="17">
        <v>75127.0</v>
      </c>
      <c r="F4" s="17">
        <f>15600-8452</f>
        <v>7148</v>
      </c>
      <c r="G4" s="17">
        <v>0.0</v>
      </c>
      <c r="H4" s="17"/>
      <c r="I4" s="17"/>
      <c r="J4" s="17"/>
      <c r="K4" s="17"/>
      <c r="L4" s="17"/>
      <c r="M4" s="17"/>
      <c r="N4" s="14">
        <f>sum(B4:M4)</f>
        <v>158700.63</v>
      </c>
      <c r="O4" s="16"/>
    </row>
    <row r="5">
      <c r="A5" s="10" t="s">
        <v>10</v>
      </c>
      <c r="B5" s="15">
        <v>0.0</v>
      </c>
      <c r="C5" s="15">
        <v>830.49</v>
      </c>
      <c r="D5" s="17">
        <v>0.0</v>
      </c>
      <c r="E5" s="17">
        <v>1007.0</v>
      </c>
      <c r="F5" s="17">
        <v>730.0</v>
      </c>
      <c r="G5" s="17">
        <v>0.0</v>
      </c>
      <c r="H5" s="17"/>
      <c r="I5" s="17"/>
      <c r="J5" s="17"/>
      <c r="K5" s="17"/>
      <c r="L5" s="17"/>
      <c r="M5" s="17"/>
      <c r="N5" s="14">
        <f t="shared" ref="N5:N6" si="3">+SUM(J5:L5)</f>
        <v>0</v>
      </c>
      <c r="O5" s="16"/>
    </row>
    <row r="6">
      <c r="A6" s="10" t="s">
        <v>11</v>
      </c>
      <c r="B6" s="15">
        <v>0.0</v>
      </c>
      <c r="C6" s="15">
        <v>0.0</v>
      </c>
      <c r="D6" s="17">
        <v>0.0</v>
      </c>
      <c r="E6" s="17">
        <v>5026.0</v>
      </c>
      <c r="F6" s="17">
        <v>0.0</v>
      </c>
      <c r="G6" s="17">
        <v>0.0</v>
      </c>
      <c r="H6" s="17"/>
      <c r="I6" s="17"/>
      <c r="J6" s="17"/>
      <c r="K6" s="17"/>
      <c r="L6" s="17"/>
      <c r="M6" s="17"/>
      <c r="N6" s="14">
        <f t="shared" si="3"/>
        <v>0</v>
      </c>
      <c r="O6" s="16"/>
    </row>
    <row r="7">
      <c r="A7" s="10" t="s">
        <v>12</v>
      </c>
      <c r="B7" s="15">
        <v>0.0</v>
      </c>
      <c r="C7" s="15">
        <v>0.0</v>
      </c>
      <c r="D7" s="17">
        <v>0.0</v>
      </c>
      <c r="E7" s="17">
        <v>0.0</v>
      </c>
      <c r="F7" s="17">
        <v>0.0</v>
      </c>
      <c r="G7" s="17">
        <v>0.0</v>
      </c>
      <c r="H7" s="17"/>
      <c r="I7" s="17"/>
      <c r="J7" s="17"/>
      <c r="K7" s="17"/>
      <c r="L7" s="17"/>
      <c r="M7" s="11"/>
      <c r="N7" s="14">
        <f>sum(B7:M7)</f>
        <v>0</v>
      </c>
      <c r="O7" s="16"/>
    </row>
    <row r="8">
      <c r="A8" s="8"/>
      <c r="B8" s="61"/>
      <c r="C8" s="61"/>
      <c r="D8" s="8"/>
      <c r="E8" s="8"/>
      <c r="F8" s="9"/>
      <c r="G8" s="8"/>
      <c r="H8" s="8"/>
      <c r="I8" s="8"/>
      <c r="J8" s="8"/>
      <c r="K8" s="8"/>
      <c r="L8" s="8"/>
      <c r="M8" s="8"/>
      <c r="N8" s="8"/>
      <c r="O8" s="8"/>
    </row>
    <row r="9">
      <c r="A9" s="18" t="s">
        <v>13</v>
      </c>
      <c r="B9" s="13">
        <f>49999.25*1.05</f>
        <v>52499.2125</v>
      </c>
      <c r="C9" s="13">
        <f>33600*1.05</f>
        <v>35280</v>
      </c>
      <c r="D9" s="11">
        <f>126940*1.05</f>
        <v>133287</v>
      </c>
      <c r="E9" s="11">
        <f>136542.7*1.05</f>
        <v>143369.835</v>
      </c>
      <c r="F9" s="11">
        <f>5410*1.05</f>
        <v>5680.5</v>
      </c>
      <c r="G9" s="11"/>
      <c r="H9" s="11"/>
      <c r="I9" s="11"/>
      <c r="J9" s="11"/>
      <c r="K9" s="11"/>
      <c r="L9" s="11"/>
      <c r="M9" s="11"/>
      <c r="N9" s="14">
        <f t="shared" ref="N9:N12" si="4">+SUM(B9:M9)</f>
        <v>370116.5475</v>
      </c>
      <c r="O9" s="16"/>
    </row>
    <row r="10">
      <c r="A10" s="18" t="s">
        <v>14</v>
      </c>
      <c r="B10" s="15"/>
      <c r="C10" s="15"/>
      <c r="D10" s="15"/>
      <c r="E10" s="15"/>
      <c r="F10" s="15"/>
      <c r="G10" s="15"/>
      <c r="H10" s="17"/>
      <c r="I10" s="17"/>
      <c r="J10" s="17"/>
      <c r="K10" s="17"/>
      <c r="L10" s="17"/>
      <c r="M10" s="17"/>
      <c r="N10" s="14">
        <f t="shared" si="4"/>
        <v>0</v>
      </c>
      <c r="O10" s="16"/>
    </row>
    <row r="11">
      <c r="A11" s="18" t="s">
        <v>15</v>
      </c>
      <c r="B11" s="11">
        <f t="shared" ref="B11:M11" si="5">(B9+B10)/1.05*0.05</f>
        <v>2499.9625</v>
      </c>
      <c r="C11" s="11">
        <f t="shared" si="5"/>
        <v>1680</v>
      </c>
      <c r="D11" s="11">
        <f t="shared" si="5"/>
        <v>6347</v>
      </c>
      <c r="E11" s="11">
        <f t="shared" si="5"/>
        <v>6827.135</v>
      </c>
      <c r="F11" s="11">
        <f t="shared" si="5"/>
        <v>270.5</v>
      </c>
      <c r="G11" s="11">
        <f t="shared" si="5"/>
        <v>0</v>
      </c>
      <c r="H11" s="11">
        <f t="shared" si="5"/>
        <v>0</v>
      </c>
      <c r="I11" s="11">
        <f t="shared" si="5"/>
        <v>0</v>
      </c>
      <c r="J11" s="11">
        <f t="shared" si="5"/>
        <v>0</v>
      </c>
      <c r="K11" s="11">
        <f t="shared" si="5"/>
        <v>0</v>
      </c>
      <c r="L11" s="11">
        <f t="shared" si="5"/>
        <v>0</v>
      </c>
      <c r="M11" s="11">
        <f t="shared" si="5"/>
        <v>0</v>
      </c>
      <c r="N11" s="14">
        <f t="shared" si="4"/>
        <v>17624.5975</v>
      </c>
      <c r="O11" s="16"/>
    </row>
    <row r="12">
      <c r="A12" s="18" t="s">
        <v>16</v>
      </c>
      <c r="B12" s="15">
        <v>0.0</v>
      </c>
      <c r="C12" s="15">
        <v>0.0</v>
      </c>
      <c r="D12" s="15">
        <v>0.0</v>
      </c>
      <c r="E12" s="15"/>
      <c r="F12" s="15"/>
      <c r="G12" s="11"/>
      <c r="H12" s="11"/>
      <c r="I12" s="11"/>
      <c r="J12" s="11"/>
      <c r="K12" s="11"/>
      <c r="L12" s="11"/>
      <c r="M12" s="11"/>
      <c r="N12" s="14">
        <f t="shared" si="4"/>
        <v>0</v>
      </c>
      <c r="O12" s="16"/>
    </row>
    <row r="13">
      <c r="A13" s="19" t="s">
        <v>17</v>
      </c>
      <c r="B13" s="62">
        <f t="shared" ref="B13:M13" si="6">B9+B10-B11-B12</f>
        <v>49999.25</v>
      </c>
      <c r="C13" s="62">
        <f t="shared" si="6"/>
        <v>33600</v>
      </c>
      <c r="D13" s="21">
        <f t="shared" si="6"/>
        <v>126940</v>
      </c>
      <c r="E13" s="21">
        <f t="shared" si="6"/>
        <v>136542.7</v>
      </c>
      <c r="F13" s="22">
        <f t="shared" si="6"/>
        <v>5410</v>
      </c>
      <c r="G13" s="22">
        <f t="shared" si="6"/>
        <v>0</v>
      </c>
      <c r="H13" s="21">
        <f t="shared" si="6"/>
        <v>0</v>
      </c>
      <c r="I13" s="21">
        <f t="shared" si="6"/>
        <v>0</v>
      </c>
      <c r="J13" s="21">
        <f t="shared" si="6"/>
        <v>0</v>
      </c>
      <c r="K13" s="21">
        <f t="shared" si="6"/>
        <v>0</v>
      </c>
      <c r="L13" s="21">
        <f t="shared" si="6"/>
        <v>0</v>
      </c>
      <c r="M13" s="21">
        <f t="shared" si="6"/>
        <v>0</v>
      </c>
      <c r="N13" s="21">
        <f t="shared" ref="N13:N22" si="8">sum(B13:M13)</f>
        <v>352491.95</v>
      </c>
      <c r="O13" s="23" t="str">
        <f t="shared" ref="O13:O22" si="9">N13/$N$7</f>
        <v>#DIV/0!</v>
      </c>
    </row>
    <row r="14">
      <c r="A14" s="18" t="s">
        <v>20</v>
      </c>
      <c r="B14" s="56">
        <f t="shared" ref="B14:M14" si="7">+B3+B4-B5-B7</f>
        <v>5276.62</v>
      </c>
      <c r="C14" s="56">
        <f t="shared" si="7"/>
        <v>17492.52</v>
      </c>
      <c r="D14" s="24">
        <f t="shared" si="7"/>
        <v>52826</v>
      </c>
      <c r="E14" s="24">
        <f t="shared" si="7"/>
        <v>74120</v>
      </c>
      <c r="F14" s="24">
        <f t="shared" si="7"/>
        <v>6418</v>
      </c>
      <c r="G14" s="24">
        <f t="shared" si="7"/>
        <v>0</v>
      </c>
      <c r="H14" s="24">
        <f t="shared" si="7"/>
        <v>0</v>
      </c>
      <c r="I14" s="24">
        <f t="shared" si="7"/>
        <v>0</v>
      </c>
      <c r="J14" s="24">
        <f t="shared" si="7"/>
        <v>0</v>
      </c>
      <c r="K14" s="24">
        <f t="shared" si="7"/>
        <v>0</v>
      </c>
      <c r="L14" s="24">
        <f t="shared" si="7"/>
        <v>0</v>
      </c>
      <c r="M14" s="24">
        <f t="shared" si="7"/>
        <v>0</v>
      </c>
      <c r="N14" s="14">
        <f t="shared" si="8"/>
        <v>156133.14</v>
      </c>
      <c r="O14" s="25" t="str">
        <f t="shared" si="9"/>
        <v>#DIV/0!</v>
      </c>
    </row>
    <row r="15">
      <c r="A15" s="18" t="s">
        <v>21</v>
      </c>
      <c r="B15" s="15">
        <v>0.0</v>
      </c>
      <c r="C15" s="15">
        <v>0.0</v>
      </c>
      <c r="D15" s="17">
        <v>0.0</v>
      </c>
      <c r="E15" s="17">
        <v>0.0</v>
      </c>
      <c r="F15" s="17">
        <v>0.0</v>
      </c>
      <c r="G15" s="11"/>
      <c r="H15" s="11"/>
      <c r="I15" s="11"/>
      <c r="J15" s="11"/>
      <c r="K15" s="11"/>
      <c r="L15" s="11"/>
      <c r="M15" s="11"/>
      <c r="N15" s="14">
        <f t="shared" si="8"/>
        <v>0</v>
      </c>
      <c r="O15" s="25" t="str">
        <f t="shared" si="9"/>
        <v>#DIV/0!</v>
      </c>
    </row>
    <row r="16">
      <c r="A16" s="18" t="s">
        <v>22</v>
      </c>
      <c r="B16" s="15">
        <v>0.0</v>
      </c>
      <c r="C16" s="15">
        <v>0.0</v>
      </c>
      <c r="D16" s="17">
        <v>0.0</v>
      </c>
      <c r="E16" s="17">
        <v>0.0</v>
      </c>
      <c r="F16" s="17">
        <v>0.0</v>
      </c>
      <c r="G16" s="11"/>
      <c r="H16" s="11"/>
      <c r="I16" s="11"/>
      <c r="J16" s="11"/>
      <c r="K16" s="11"/>
      <c r="L16" s="11"/>
      <c r="M16" s="11"/>
      <c r="N16" s="14">
        <f t="shared" si="8"/>
        <v>0</v>
      </c>
      <c r="O16" s="25" t="str">
        <f t="shared" si="9"/>
        <v>#DIV/0!</v>
      </c>
    </row>
    <row r="17">
      <c r="A17" s="18" t="s">
        <v>23</v>
      </c>
      <c r="B17" s="15">
        <v>0.0</v>
      </c>
      <c r="C17" s="15">
        <v>6404.0</v>
      </c>
      <c r="D17" s="26">
        <v>0.0</v>
      </c>
      <c r="E17" s="17">
        <v>9245.0</v>
      </c>
      <c r="F17" s="17">
        <v>2798.0</v>
      </c>
      <c r="G17" s="11"/>
      <c r="H17" s="11"/>
      <c r="I17" s="17"/>
      <c r="J17" s="17"/>
      <c r="K17" s="17"/>
      <c r="L17" s="11"/>
      <c r="M17" s="17">
        <v>0.0</v>
      </c>
      <c r="N17" s="14">
        <f t="shared" si="8"/>
        <v>18447</v>
      </c>
      <c r="O17" s="25" t="str">
        <f t="shared" si="9"/>
        <v>#DIV/0!</v>
      </c>
    </row>
    <row r="18">
      <c r="A18" s="18" t="s">
        <v>24</v>
      </c>
      <c r="B18" s="15">
        <v>0.0</v>
      </c>
      <c r="C18" s="17">
        <v>0.0</v>
      </c>
      <c r="D18" s="17">
        <v>0.0</v>
      </c>
      <c r="E18" s="17">
        <v>20000.0</v>
      </c>
      <c r="F18" s="17">
        <v>0.0</v>
      </c>
      <c r="G18" s="11"/>
      <c r="H18" s="11"/>
      <c r="I18" s="11"/>
      <c r="J18" s="11"/>
      <c r="K18" s="11"/>
      <c r="L18" s="11"/>
      <c r="M18" s="11"/>
      <c r="N18" s="14">
        <f t="shared" si="8"/>
        <v>20000</v>
      </c>
      <c r="O18" s="25" t="str">
        <f t="shared" si="9"/>
        <v>#DIV/0!</v>
      </c>
    </row>
    <row r="19">
      <c r="A19" s="18" t="s">
        <v>25</v>
      </c>
      <c r="B19" s="15">
        <v>0.0</v>
      </c>
      <c r="C19" s="17">
        <v>0.0</v>
      </c>
      <c r="D19" s="17">
        <v>0.0</v>
      </c>
      <c r="E19" s="17">
        <v>0.0</v>
      </c>
      <c r="F19" s="17">
        <v>0.0</v>
      </c>
      <c r="G19" s="11"/>
      <c r="H19" s="11"/>
      <c r="I19" s="11"/>
      <c r="J19" s="11"/>
      <c r="K19" s="11"/>
      <c r="L19" s="11"/>
      <c r="M19" s="11"/>
      <c r="N19" s="14">
        <f t="shared" si="8"/>
        <v>0</v>
      </c>
      <c r="O19" s="25" t="str">
        <f t="shared" si="9"/>
        <v>#DIV/0!</v>
      </c>
    </row>
    <row r="20">
      <c r="A20" s="18" t="s">
        <v>45</v>
      </c>
      <c r="B20" s="15">
        <v>0.0</v>
      </c>
      <c r="C20" s="17">
        <v>0.0</v>
      </c>
      <c r="D20" s="17">
        <v>0.0</v>
      </c>
      <c r="E20" s="17">
        <v>0.0</v>
      </c>
      <c r="F20" s="17">
        <v>0.0</v>
      </c>
      <c r="G20" s="11"/>
      <c r="H20" s="11"/>
      <c r="I20" s="11"/>
      <c r="J20" s="11"/>
      <c r="K20" s="11"/>
      <c r="L20" s="11"/>
      <c r="M20" s="11"/>
      <c r="N20" s="14">
        <f t="shared" si="8"/>
        <v>0</v>
      </c>
      <c r="O20" s="25" t="str">
        <f t="shared" si="9"/>
        <v>#DIV/0!</v>
      </c>
    </row>
    <row r="21">
      <c r="A21" s="10" t="s">
        <v>27</v>
      </c>
      <c r="B21" s="15">
        <v>0.0</v>
      </c>
      <c r="C21" s="17">
        <v>0.0</v>
      </c>
      <c r="D21" s="17">
        <v>0.0</v>
      </c>
      <c r="E21" s="17">
        <v>0.0</v>
      </c>
      <c r="F21" s="17">
        <v>0.0</v>
      </c>
      <c r="G21" s="11"/>
      <c r="H21" s="11"/>
      <c r="I21" s="11"/>
      <c r="J21" s="11"/>
      <c r="K21" s="11"/>
      <c r="L21" s="11"/>
      <c r="M21" s="11"/>
      <c r="N21" s="14">
        <f t="shared" si="8"/>
        <v>0</v>
      </c>
      <c r="O21" s="25" t="str">
        <f t="shared" si="9"/>
        <v>#DIV/0!</v>
      </c>
    </row>
    <row r="22">
      <c r="A22" s="10" t="s">
        <v>57</v>
      </c>
      <c r="B22" s="15">
        <v>0.0</v>
      </c>
      <c r="C22" s="17">
        <v>0.0</v>
      </c>
      <c r="D22" s="17">
        <v>0.0</v>
      </c>
      <c r="E22" s="17">
        <v>0.0</v>
      </c>
      <c r="F22" s="17">
        <v>0.0</v>
      </c>
      <c r="G22" s="11"/>
      <c r="H22" s="11"/>
      <c r="I22" s="11"/>
      <c r="J22" s="11"/>
      <c r="K22" s="11"/>
      <c r="L22" s="11"/>
      <c r="M22" s="11"/>
      <c r="N22" s="14">
        <f t="shared" si="8"/>
        <v>0</v>
      </c>
      <c r="O22" s="25" t="str">
        <f t="shared" si="9"/>
        <v>#DIV/0!</v>
      </c>
    </row>
    <row r="23">
      <c r="A23" s="20" t="s">
        <v>29</v>
      </c>
      <c r="B23" s="15">
        <v>0.0</v>
      </c>
      <c r="C23" s="32">
        <v>0.0</v>
      </c>
      <c r="D23" s="32">
        <v>0.0</v>
      </c>
      <c r="E23" s="17">
        <v>0.0</v>
      </c>
      <c r="F23" s="17">
        <v>0.0</v>
      </c>
      <c r="G23" s="11"/>
      <c r="H23" s="11"/>
      <c r="I23" s="11"/>
      <c r="J23" s="11"/>
      <c r="K23" s="11"/>
      <c r="L23" s="11"/>
      <c r="M23" s="11"/>
      <c r="N23" s="14"/>
      <c r="O23" s="25"/>
    </row>
    <row r="24">
      <c r="A24" s="18" t="s">
        <v>30</v>
      </c>
      <c r="B24" s="15">
        <v>0.0</v>
      </c>
      <c r="C24" s="32">
        <v>0.0</v>
      </c>
      <c r="D24" s="32">
        <v>4774.0</v>
      </c>
      <c r="E24" s="17">
        <v>0.0</v>
      </c>
      <c r="F24" s="17">
        <v>0.0</v>
      </c>
      <c r="G24" s="11">
        <f>'Misc Exp'!Q43</f>
        <v>0</v>
      </c>
      <c r="H24" s="11"/>
      <c r="I24" s="11"/>
      <c r="J24" s="11"/>
      <c r="K24" s="11"/>
      <c r="L24" s="11"/>
      <c r="M24" s="11"/>
      <c r="N24" s="14">
        <f t="shared" ref="N24:N29" si="10">sum(B24:M24)</f>
        <v>4774</v>
      </c>
      <c r="O24" s="25" t="str">
        <f t="shared" ref="O24:O29" si="11">N24/$N$7</f>
        <v>#DIV/0!</v>
      </c>
    </row>
    <row r="25">
      <c r="A25" s="18" t="s">
        <v>31</v>
      </c>
      <c r="B25" s="17">
        <v>10104.0</v>
      </c>
      <c r="C25" s="17">
        <v>7309.0</v>
      </c>
      <c r="D25" s="17">
        <v>0.0</v>
      </c>
      <c r="E25" s="11">
        <f>'Misc Exp'!Q126</f>
        <v>29973.33333</v>
      </c>
      <c r="F25" s="17">
        <f>'Misc Exp'!Q84</f>
        <v>1937</v>
      </c>
      <c r="G25" s="17">
        <f>'Misc Exp'!Q38</f>
        <v>25131</v>
      </c>
      <c r="H25" s="17"/>
      <c r="I25" s="17"/>
      <c r="J25" s="17"/>
      <c r="K25" s="17"/>
      <c r="L25" s="17"/>
      <c r="M25" s="17"/>
      <c r="N25" s="14">
        <f t="shared" si="10"/>
        <v>74454.33333</v>
      </c>
      <c r="O25" s="25" t="str">
        <f t="shared" si="11"/>
        <v>#DIV/0!</v>
      </c>
    </row>
    <row r="26">
      <c r="A26" s="18" t="s">
        <v>32</v>
      </c>
      <c r="B26" s="17">
        <v>0.0</v>
      </c>
      <c r="C26" s="17">
        <v>0.0</v>
      </c>
      <c r="D26" s="17">
        <v>0.0</v>
      </c>
      <c r="E26" s="17">
        <v>0.0</v>
      </c>
      <c r="F26" s="17">
        <v>0.0</v>
      </c>
      <c r="G26" s="11"/>
      <c r="H26" s="11"/>
      <c r="I26" s="11"/>
      <c r="J26" s="11"/>
      <c r="K26" s="11"/>
      <c r="L26" s="11"/>
      <c r="M26" s="11"/>
      <c r="N26" s="14">
        <f t="shared" si="10"/>
        <v>0</v>
      </c>
      <c r="O26" s="25" t="str">
        <f t="shared" si="11"/>
        <v>#DIV/0!</v>
      </c>
    </row>
    <row r="27">
      <c r="A27" s="18" t="s">
        <v>33</v>
      </c>
      <c r="B27" s="11">
        <f>HO!D41</f>
        <v>11101.22569</v>
      </c>
      <c r="C27" s="11">
        <f>HO!H41</f>
        <v>7058.905532</v>
      </c>
      <c r="D27" s="11">
        <f>HO!L41</f>
        <v>27813.80073</v>
      </c>
      <c r="E27" s="11">
        <f>HO!P41</f>
        <v>29867.68816</v>
      </c>
      <c r="F27" s="11">
        <f>HO!D60</f>
        <v>1074.103604</v>
      </c>
      <c r="G27" s="11">
        <f>HO!H60</f>
        <v>0</v>
      </c>
      <c r="H27" s="11" t="str">
        <f>HO!L60</f>
        <v>#DIV/0!</v>
      </c>
      <c r="I27" s="11" t="str">
        <f>HO!P60</f>
        <v>#DIV/0!</v>
      </c>
      <c r="J27" s="11" t="str">
        <f>HO!D79</f>
        <v>#DIV/0!</v>
      </c>
      <c r="K27" s="11" t="str">
        <f>HO!H79</f>
        <v>#DIV/0!</v>
      </c>
      <c r="L27" s="11" t="str">
        <f>HO!L79</f>
        <v>#DIV/0!</v>
      </c>
      <c r="M27" s="11" t="str">
        <f>HO!P79</f>
        <v>#DIV/0!</v>
      </c>
      <c r="N27" s="14" t="str">
        <f t="shared" si="10"/>
        <v>#DIV/0!</v>
      </c>
      <c r="O27" s="25" t="str">
        <f t="shared" si="11"/>
        <v>#DIV/0!</v>
      </c>
    </row>
    <row r="28">
      <c r="A28" s="35" t="s">
        <v>34</v>
      </c>
      <c r="B28" s="36">
        <f t="shared" ref="B28:M28" si="12">+SUM(B14:B27)</f>
        <v>26481.84569</v>
      </c>
      <c r="C28" s="36">
        <f t="shared" si="12"/>
        <v>38264.42553</v>
      </c>
      <c r="D28" s="36">
        <f t="shared" si="12"/>
        <v>85413.80073</v>
      </c>
      <c r="E28" s="36">
        <f t="shared" si="12"/>
        <v>163206.0215</v>
      </c>
      <c r="F28" s="48">
        <f t="shared" si="12"/>
        <v>12227.1036</v>
      </c>
      <c r="G28" s="36">
        <f t="shared" si="12"/>
        <v>25131</v>
      </c>
      <c r="H28" s="36" t="str">
        <f t="shared" si="12"/>
        <v>#DIV/0!</v>
      </c>
      <c r="I28" s="36" t="str">
        <f t="shared" si="12"/>
        <v>#DIV/0!</v>
      </c>
      <c r="J28" s="36" t="str">
        <f t="shared" si="12"/>
        <v>#DIV/0!</v>
      </c>
      <c r="K28" s="36" t="str">
        <f t="shared" si="12"/>
        <v>#DIV/0!</v>
      </c>
      <c r="L28" s="36" t="str">
        <f t="shared" si="12"/>
        <v>#DIV/0!</v>
      </c>
      <c r="M28" s="36" t="str">
        <f t="shared" si="12"/>
        <v>#DIV/0!</v>
      </c>
      <c r="N28" s="36" t="str">
        <f t="shared" si="10"/>
        <v>#DIV/0!</v>
      </c>
      <c r="O28" s="37" t="str">
        <f t="shared" si="11"/>
        <v>#DIV/0!</v>
      </c>
    </row>
    <row r="29">
      <c r="A29" s="38" t="s">
        <v>35</v>
      </c>
      <c r="B29" s="39">
        <f t="shared" ref="B29:M29" si="13">B13-B28</f>
        <v>23517.40431</v>
      </c>
      <c r="C29" s="39">
        <f t="shared" si="13"/>
        <v>-4664.425532</v>
      </c>
      <c r="D29" s="39">
        <f t="shared" si="13"/>
        <v>41526.19927</v>
      </c>
      <c r="E29" s="39">
        <f t="shared" si="13"/>
        <v>-26663.3215</v>
      </c>
      <c r="F29" s="39">
        <f t="shared" si="13"/>
        <v>-6817.103604</v>
      </c>
      <c r="G29" s="39">
        <f t="shared" si="13"/>
        <v>-25131</v>
      </c>
      <c r="H29" s="39" t="str">
        <f t="shared" si="13"/>
        <v>#DIV/0!</v>
      </c>
      <c r="I29" s="39" t="str">
        <f t="shared" si="13"/>
        <v>#DIV/0!</v>
      </c>
      <c r="J29" s="39" t="str">
        <f t="shared" si="13"/>
        <v>#DIV/0!</v>
      </c>
      <c r="K29" s="39" t="str">
        <f t="shared" si="13"/>
        <v>#DIV/0!</v>
      </c>
      <c r="L29" s="39" t="str">
        <f t="shared" si="13"/>
        <v>#DIV/0!</v>
      </c>
      <c r="M29" s="39" t="str">
        <f t="shared" si="13"/>
        <v>#DIV/0!</v>
      </c>
      <c r="N29" s="39" t="str">
        <f t="shared" si="10"/>
        <v>#DIV/0!</v>
      </c>
      <c r="O29" s="40" t="str">
        <f t="shared" si="11"/>
        <v>#DIV/0!</v>
      </c>
    </row>
    <row r="30">
      <c r="A30" s="41" t="s">
        <v>36</v>
      </c>
      <c r="B30" s="42">
        <f t="shared" ref="B30:M30" si="14">(B14/B13)</f>
        <v>0.105533983</v>
      </c>
      <c r="C30" s="42">
        <f t="shared" si="14"/>
        <v>0.5206107143</v>
      </c>
      <c r="D30" s="42">
        <f t="shared" si="14"/>
        <v>0.4161493619</v>
      </c>
      <c r="E30" s="42">
        <f t="shared" si="14"/>
        <v>0.5428338534</v>
      </c>
      <c r="F30" s="43">
        <f t="shared" si="14"/>
        <v>1.186321627</v>
      </c>
      <c r="G30" s="42" t="str">
        <f t="shared" si="14"/>
        <v>#DIV/0!</v>
      </c>
      <c r="H30" s="42" t="str">
        <f t="shared" si="14"/>
        <v>#DIV/0!</v>
      </c>
      <c r="I30" s="42" t="str">
        <f t="shared" si="14"/>
        <v>#DIV/0!</v>
      </c>
      <c r="J30" s="42" t="str">
        <f t="shared" si="14"/>
        <v>#DIV/0!</v>
      </c>
      <c r="K30" s="42" t="str">
        <f t="shared" si="14"/>
        <v>#DIV/0!</v>
      </c>
      <c r="L30" s="42" t="str">
        <f t="shared" si="14"/>
        <v>#DIV/0!</v>
      </c>
      <c r="M30" s="42" t="str">
        <f t="shared" si="14"/>
        <v>#DIV/0!</v>
      </c>
      <c r="N30" s="44"/>
      <c r="O30" s="44"/>
    </row>
    <row r="31">
      <c r="A31" s="92" t="s">
        <v>60</v>
      </c>
      <c r="B31" s="34"/>
      <c r="C31" s="34"/>
      <c r="D31" s="34"/>
      <c r="E31" s="34"/>
      <c r="F31" s="93"/>
      <c r="G31" s="34"/>
      <c r="H31" s="34"/>
      <c r="I31" s="34"/>
      <c r="J31" s="34"/>
      <c r="K31" s="34"/>
      <c r="L31" s="34"/>
      <c r="M31" s="34"/>
      <c r="N31" s="34"/>
      <c r="O31" s="34"/>
    </row>
    <row r="32">
      <c r="A32" s="94" t="s">
        <v>61</v>
      </c>
      <c r="B32" s="95">
        <f t="shared" ref="B32:M32" si="15">B29-B31</f>
        <v>23517.40431</v>
      </c>
      <c r="C32" s="95">
        <f t="shared" si="15"/>
        <v>-4664.425532</v>
      </c>
      <c r="D32" s="95">
        <f t="shared" si="15"/>
        <v>41526.19927</v>
      </c>
      <c r="E32" s="95">
        <f t="shared" si="15"/>
        <v>-26663.3215</v>
      </c>
      <c r="F32" s="96">
        <f t="shared" si="15"/>
        <v>-6817.103604</v>
      </c>
      <c r="G32" s="95">
        <f t="shared" si="15"/>
        <v>-25131</v>
      </c>
      <c r="H32" s="95" t="str">
        <f t="shared" si="15"/>
        <v>#DIV/0!</v>
      </c>
      <c r="I32" s="95" t="str">
        <f t="shared" si="15"/>
        <v>#DIV/0!</v>
      </c>
      <c r="J32" s="95" t="str">
        <f t="shared" si="15"/>
        <v>#DIV/0!</v>
      </c>
      <c r="K32" s="95" t="str">
        <f t="shared" si="15"/>
        <v>#DIV/0!</v>
      </c>
      <c r="L32" s="95" t="str">
        <f t="shared" si="15"/>
        <v>#DIV/0!</v>
      </c>
      <c r="M32" s="95" t="str">
        <f t="shared" si="15"/>
        <v>#DIV/0!</v>
      </c>
      <c r="N32" s="95" t="str">
        <f>sum(B32:J32)</f>
        <v>#DIV/0!</v>
      </c>
      <c r="O32" s="10"/>
    </row>
  </sheetData>
  <mergeCells count="1">
    <mergeCell ref="N1:O1"/>
  </mergeCells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</cols>
  <sheetData>
    <row r="1">
      <c r="A1" s="97" t="s">
        <v>62</v>
      </c>
      <c r="B1" s="98"/>
      <c r="C1" s="98"/>
      <c r="D1" s="98"/>
      <c r="E1" s="99"/>
      <c r="F1" s="99"/>
      <c r="G1" s="99"/>
      <c r="H1" s="99"/>
      <c r="I1" s="99"/>
      <c r="J1" s="99"/>
      <c r="K1" s="99"/>
      <c r="L1" s="99"/>
      <c r="M1" s="99"/>
      <c r="N1" s="100"/>
    </row>
    <row r="2">
      <c r="A2" s="98"/>
      <c r="B2" s="3">
        <f>Summary!C1</f>
        <v>46113</v>
      </c>
      <c r="C2" s="3">
        <f>Summary!D1</f>
        <v>46143</v>
      </c>
      <c r="D2" s="3">
        <f>Summary!E1</f>
        <v>46174</v>
      </c>
      <c r="E2" s="3">
        <f>Summary!F1</f>
        <v>46204</v>
      </c>
      <c r="F2" s="3">
        <f>Summary!G1</f>
        <v>46235</v>
      </c>
      <c r="G2" s="3">
        <f>Summary!H1</f>
        <v>46266</v>
      </c>
      <c r="H2" s="3">
        <f>Summary!I1</f>
        <v>46296</v>
      </c>
      <c r="I2" s="3">
        <f>Summary!J1</f>
        <v>46327</v>
      </c>
      <c r="J2" s="3">
        <f>Summary!K1</f>
        <v>46357</v>
      </c>
      <c r="K2" s="3">
        <f>Summary!L1</f>
        <v>46388</v>
      </c>
      <c r="L2" s="3">
        <f>Summary!M1</f>
        <v>46419</v>
      </c>
      <c r="M2" s="3">
        <f>Summary!N1</f>
        <v>46447</v>
      </c>
      <c r="N2" s="102" t="s">
        <v>63</v>
      </c>
    </row>
    <row r="3">
      <c r="A3" s="103" t="s">
        <v>6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</row>
    <row r="4">
      <c r="A4" s="105" t="s">
        <v>7</v>
      </c>
      <c r="B4" s="84">
        <f>1407577.72</f>
        <v>1407577.72</v>
      </c>
      <c r="C4" s="84">
        <f t="shared" ref="C4:M4" si="1">B7</f>
        <v>1556076.41</v>
      </c>
      <c r="D4" s="84">
        <f t="shared" si="1"/>
        <v>1160094.08</v>
      </c>
      <c r="E4" s="84">
        <f t="shared" si="1"/>
        <v>1297940</v>
      </c>
      <c r="F4" s="84">
        <f t="shared" si="1"/>
        <v>1375782</v>
      </c>
      <c r="G4" s="84">
        <f t="shared" si="1"/>
        <v>1248156.76</v>
      </c>
      <c r="H4" s="84">
        <f t="shared" si="1"/>
        <v>1346378.39</v>
      </c>
      <c r="I4" s="84" t="str">
        <f t="shared" si="1"/>
        <v/>
      </c>
      <c r="J4" s="84" t="str">
        <f t="shared" si="1"/>
        <v/>
      </c>
      <c r="K4" s="84" t="str">
        <f t="shared" si="1"/>
        <v/>
      </c>
      <c r="L4" s="84" t="str">
        <f t="shared" si="1"/>
        <v/>
      </c>
      <c r="M4" s="84" t="str">
        <f t="shared" si="1"/>
        <v/>
      </c>
      <c r="N4" s="108"/>
    </row>
    <row r="5">
      <c r="A5" s="105" t="s">
        <v>9</v>
      </c>
      <c r="B5" s="84">
        <f>5917527.79</f>
        <v>5917527.79</v>
      </c>
      <c r="C5" s="83">
        <f>5769642.08</f>
        <v>5769642.08</v>
      </c>
      <c r="D5" s="84">
        <f>6297331.45-423</f>
        <v>6296908.45</v>
      </c>
      <c r="E5" s="84">
        <f>6305757</f>
        <v>6305757</v>
      </c>
      <c r="F5" s="83">
        <f>6808957.72</f>
        <v>6808957.72</v>
      </c>
      <c r="G5" s="84">
        <f>6935964</f>
        <v>6935964</v>
      </c>
      <c r="H5" s="84"/>
      <c r="I5" s="83"/>
      <c r="J5" s="83"/>
      <c r="K5" s="84"/>
      <c r="L5" s="84"/>
      <c r="M5" s="84"/>
      <c r="N5" s="113">
        <f t="shared" ref="N5:N6" si="2">SUM(B5:M5)</f>
        <v>38034757.04</v>
      </c>
      <c r="P5" s="114"/>
    </row>
    <row r="6">
      <c r="A6" s="105" t="s">
        <v>10</v>
      </c>
      <c r="B6" s="83">
        <v>5641542.21</v>
      </c>
      <c r="C6" s="83">
        <v>6117758.71</v>
      </c>
      <c r="D6" s="84">
        <f>6056092.58</f>
        <v>6056092.58</v>
      </c>
      <c r="E6" s="115">
        <v>6259971.0</v>
      </c>
      <c r="F6" s="83">
        <f>8398712-1491404</f>
        <v>6907308</v>
      </c>
      <c r="G6" s="83">
        <f>6135736</f>
        <v>6135736</v>
      </c>
      <c r="H6" s="83"/>
      <c r="I6" s="83"/>
      <c r="J6" s="83"/>
      <c r="K6" s="83"/>
      <c r="L6" s="84"/>
      <c r="M6" s="84"/>
      <c r="N6" s="113">
        <f t="shared" si="2"/>
        <v>37118408.5</v>
      </c>
      <c r="P6" s="116" t="str">
        <f>M6</f>
        <v/>
      </c>
    </row>
    <row r="7">
      <c r="A7" s="105" t="s">
        <v>12</v>
      </c>
      <c r="B7" s="84">
        <f>1369686.41+186390</f>
        <v>1556076.41</v>
      </c>
      <c r="C7" s="83">
        <f>983166.68+176927.4</f>
        <v>1160094.08</v>
      </c>
      <c r="D7" s="118">
        <f>1128815+169125</f>
        <v>1297940</v>
      </c>
      <c r="E7" s="118">
        <f>197059+1178723</f>
        <v>1375782</v>
      </c>
      <c r="F7" s="119">
        <f>1032765.76+215391</f>
        <v>1248156.76</v>
      </c>
      <c r="G7" s="118">
        <f>1169931.67+176446.72</f>
        <v>1346378.39</v>
      </c>
      <c r="H7" s="119"/>
      <c r="I7" s="119"/>
      <c r="J7" s="119"/>
      <c r="K7" s="119"/>
      <c r="L7" s="119"/>
      <c r="M7" s="83"/>
      <c r="N7" s="108"/>
      <c r="P7" s="116">
        <f>Summary!N4</f>
        <v>0</v>
      </c>
    </row>
    <row r="8">
      <c r="A8" s="104"/>
      <c r="B8" s="104"/>
      <c r="C8" s="104"/>
      <c r="D8" s="104"/>
      <c r="E8" s="104"/>
      <c r="F8" s="104"/>
      <c r="G8" s="104"/>
      <c r="H8" s="120"/>
      <c r="I8" s="120"/>
      <c r="J8" s="120"/>
      <c r="K8" s="120"/>
      <c r="L8" s="120"/>
      <c r="M8" s="120"/>
      <c r="N8" s="104"/>
      <c r="P8" s="116">
        <f>P6-P7</f>
        <v>0</v>
      </c>
    </row>
    <row r="9">
      <c r="A9" s="123" t="s">
        <v>78</v>
      </c>
      <c r="B9" s="84">
        <f t="shared" ref="B9:M9" si="3">B4+B5-B6-B7</f>
        <v>127486.89</v>
      </c>
      <c r="C9" s="84">
        <f t="shared" si="3"/>
        <v>47865.7</v>
      </c>
      <c r="D9" s="84">
        <f t="shared" si="3"/>
        <v>102969.95</v>
      </c>
      <c r="E9" s="84">
        <f t="shared" si="3"/>
        <v>-32056</v>
      </c>
      <c r="F9" s="84">
        <f t="shared" si="3"/>
        <v>29274.96</v>
      </c>
      <c r="G9" s="84">
        <f t="shared" si="3"/>
        <v>702006.37</v>
      </c>
      <c r="H9" s="84">
        <f t="shared" si="3"/>
        <v>1346378.39</v>
      </c>
      <c r="I9" s="84">
        <f t="shared" si="3"/>
        <v>0</v>
      </c>
      <c r="J9" s="84">
        <f t="shared" si="3"/>
        <v>0</v>
      </c>
      <c r="K9" s="84">
        <f t="shared" si="3"/>
        <v>0</v>
      </c>
      <c r="L9" s="84">
        <f t="shared" si="3"/>
        <v>0</v>
      </c>
      <c r="M9" s="84">
        <f t="shared" si="3"/>
        <v>0</v>
      </c>
      <c r="N9" s="113">
        <f>sum(B9:M9)</f>
        <v>2323926.26</v>
      </c>
      <c r="P9" s="66">
        <v>-49525.0</v>
      </c>
    </row>
    <row r="10">
      <c r="A10" s="105" t="s">
        <v>81</v>
      </c>
      <c r="B10" s="84">
        <f>1903.54+25271.35</f>
        <v>27174.89</v>
      </c>
      <c r="C10" s="83">
        <f>13677.25+29835.47</f>
        <v>43512.72</v>
      </c>
      <c r="D10" s="84">
        <f>1424+24510</f>
        <v>25934</v>
      </c>
      <c r="E10" s="83">
        <f>29271+4153.47</f>
        <v>33424.47</v>
      </c>
      <c r="F10" s="84">
        <f>4072+41271</f>
        <v>45343</v>
      </c>
      <c r="G10" s="84">
        <f>6544+46727.93</f>
        <v>53271.93</v>
      </c>
      <c r="H10" s="84"/>
      <c r="I10" s="84"/>
      <c r="J10" s="84"/>
      <c r="K10" s="84"/>
      <c r="L10" s="84"/>
      <c r="M10" s="84"/>
      <c r="N10" s="113">
        <f>SUM(D10:M10)</f>
        <v>157973.4</v>
      </c>
    </row>
    <row r="11">
      <c r="A11" s="123" t="s">
        <v>21</v>
      </c>
      <c r="B11" s="83">
        <v>201560.0</v>
      </c>
      <c r="C11" s="83">
        <v>226640.0</v>
      </c>
      <c r="D11" s="115">
        <v>226580.0</v>
      </c>
      <c r="E11" s="83">
        <f>205110-13950</f>
        <v>191160</v>
      </c>
      <c r="F11" s="83">
        <f>228630</f>
        <v>228630</v>
      </c>
      <c r="G11" s="83">
        <v>223740.0</v>
      </c>
      <c r="H11" s="83"/>
      <c r="I11" s="83"/>
      <c r="J11" s="84"/>
      <c r="K11" s="83"/>
      <c r="L11" s="83"/>
      <c r="M11" s="83"/>
      <c r="N11" s="113">
        <f t="shared" ref="N11:N20" si="5">sum(B11:M11)</f>
        <v>1298310</v>
      </c>
    </row>
    <row r="12">
      <c r="A12" s="123" t="s">
        <v>22</v>
      </c>
      <c r="B12" s="84">
        <f>4718.82+142.12+1500</f>
        <v>6360.94</v>
      </c>
      <c r="C12" s="84">
        <f t="shared" ref="C12:G12" si="4">4718.82</f>
        <v>4718.82</v>
      </c>
      <c r="D12" s="84">
        <f t="shared" si="4"/>
        <v>4718.82</v>
      </c>
      <c r="E12" s="84">
        <f t="shared" si="4"/>
        <v>4718.82</v>
      </c>
      <c r="F12" s="84">
        <f t="shared" si="4"/>
        <v>4718.82</v>
      </c>
      <c r="G12" s="84">
        <f t="shared" si="4"/>
        <v>4718.82</v>
      </c>
      <c r="H12" s="84"/>
      <c r="I12" s="84"/>
      <c r="J12" s="84"/>
      <c r="K12" s="83"/>
      <c r="L12" s="83"/>
      <c r="M12" s="83"/>
      <c r="N12" s="113">
        <f t="shared" si="5"/>
        <v>29955.04</v>
      </c>
    </row>
    <row r="13">
      <c r="A13" s="123" t="s">
        <v>23</v>
      </c>
      <c r="B13" s="84">
        <f>52992+99360+39744+119232</f>
        <v>311328</v>
      </c>
      <c r="C13" s="84">
        <f>115272+99262+89656</f>
        <v>304190</v>
      </c>
      <c r="D13" s="83">
        <v>325549.0</v>
      </c>
      <c r="E13" s="83">
        <v>326640.0</v>
      </c>
      <c r="F13" s="83">
        <f>318914</f>
        <v>318914</v>
      </c>
      <c r="G13" s="84">
        <f>323035</f>
        <v>323035</v>
      </c>
      <c r="H13" s="83"/>
      <c r="I13" s="83"/>
      <c r="J13" s="83"/>
      <c r="K13" s="83"/>
      <c r="L13" s="84"/>
      <c r="M13" s="83"/>
      <c r="N13" s="113">
        <f t="shared" si="5"/>
        <v>1909656</v>
      </c>
    </row>
    <row r="14">
      <c r="A14" s="123" t="s">
        <v>83</v>
      </c>
      <c r="B14" s="84">
        <f t="shared" ref="B14:G14" si="6">162840+108560</f>
        <v>271400</v>
      </c>
      <c r="C14" s="84">
        <f t="shared" si="6"/>
        <v>271400</v>
      </c>
      <c r="D14" s="84">
        <f t="shared" si="6"/>
        <v>271400</v>
      </c>
      <c r="E14" s="84">
        <f t="shared" si="6"/>
        <v>271400</v>
      </c>
      <c r="F14" s="84">
        <f t="shared" si="6"/>
        <v>271400</v>
      </c>
      <c r="G14" s="84">
        <f t="shared" si="6"/>
        <v>271400</v>
      </c>
      <c r="H14" s="84"/>
      <c r="I14" s="84"/>
      <c r="J14" s="84"/>
      <c r="K14" s="84"/>
      <c r="L14" s="84"/>
      <c r="M14" s="83"/>
      <c r="N14" s="113">
        <f t="shared" si="5"/>
        <v>1628400</v>
      </c>
    </row>
    <row r="15">
      <c r="A15" s="123" t="s">
        <v>25</v>
      </c>
      <c r="B15" s="84">
        <f t="shared" ref="B15:G15" si="7">8358.33</f>
        <v>8358.33</v>
      </c>
      <c r="C15" s="84">
        <f t="shared" si="7"/>
        <v>8358.33</v>
      </c>
      <c r="D15" s="84">
        <f t="shared" si="7"/>
        <v>8358.33</v>
      </c>
      <c r="E15" s="84">
        <f t="shared" si="7"/>
        <v>8358.33</v>
      </c>
      <c r="F15" s="84">
        <f t="shared" si="7"/>
        <v>8358.33</v>
      </c>
      <c r="G15" s="84">
        <f t="shared" si="7"/>
        <v>8358.33</v>
      </c>
      <c r="H15" s="84"/>
      <c r="I15" s="84"/>
      <c r="J15" s="84"/>
      <c r="K15" s="84"/>
      <c r="L15" s="84"/>
      <c r="M15" s="83"/>
      <c r="N15" s="113">
        <f t="shared" si="5"/>
        <v>50149.98</v>
      </c>
    </row>
    <row r="16">
      <c r="A16" s="126" t="s">
        <v>45</v>
      </c>
      <c r="B16" s="83">
        <f>18480+11548+3000+523310+114184+75709+13000+14976</f>
        <v>774207</v>
      </c>
      <c r="C16" s="84">
        <f>5800+3000+18480+11548+20279+30376+13000+146042+75709+547670</f>
        <v>871904</v>
      </c>
      <c r="D16" s="84">
        <f>30544+72286+117969+23653+13000+18648+556264</f>
        <v>832364</v>
      </c>
      <c r="E16" s="84">
        <f>30196+139418+13000+15000+81851+543824</f>
        <v>823289</v>
      </c>
      <c r="F16" s="84">
        <f>548226+81680+100000+146988+13000+10962+30196</f>
        <v>931052</v>
      </c>
      <c r="G16" s="84">
        <f>81680+146988+30196+546288</f>
        <v>805152</v>
      </c>
      <c r="H16" s="84"/>
      <c r="I16" s="84"/>
      <c r="J16" s="84"/>
      <c r="K16" s="84"/>
      <c r="L16" s="84"/>
      <c r="M16" s="83"/>
      <c r="N16" s="113">
        <f t="shared" si="5"/>
        <v>5037968</v>
      </c>
    </row>
    <row r="17">
      <c r="A17" s="20" t="s">
        <v>29</v>
      </c>
      <c r="B17" s="84">
        <f>4165.39</f>
        <v>4165.39</v>
      </c>
      <c r="C17" s="17">
        <f t="shared" ref="C17:M17" si="8">1698</f>
        <v>1698</v>
      </c>
      <c r="D17" s="17">
        <f t="shared" si="8"/>
        <v>1698</v>
      </c>
      <c r="E17" s="17">
        <f t="shared" si="8"/>
        <v>1698</v>
      </c>
      <c r="F17" s="17">
        <f t="shared" si="8"/>
        <v>1698</v>
      </c>
      <c r="G17" s="17">
        <f t="shared" si="8"/>
        <v>1698</v>
      </c>
      <c r="H17" s="17">
        <f t="shared" si="8"/>
        <v>1698</v>
      </c>
      <c r="I17" s="17">
        <f t="shared" si="8"/>
        <v>1698</v>
      </c>
      <c r="J17" s="17">
        <f t="shared" si="8"/>
        <v>1698</v>
      </c>
      <c r="K17" s="17">
        <f t="shared" si="8"/>
        <v>1698</v>
      </c>
      <c r="L17" s="17">
        <f t="shared" si="8"/>
        <v>1698</v>
      </c>
      <c r="M17" s="17">
        <f t="shared" si="8"/>
        <v>1698</v>
      </c>
      <c r="N17" s="113">
        <f t="shared" si="5"/>
        <v>22843.39</v>
      </c>
    </row>
    <row r="18">
      <c r="A18" s="129" t="s">
        <v>30</v>
      </c>
      <c r="B18" s="83">
        <f>60614+39394</f>
        <v>100008</v>
      </c>
      <c r="C18" s="83">
        <f>101626+39394</f>
        <v>141020</v>
      </c>
      <c r="D18" s="83">
        <v>215575.0</v>
      </c>
      <c r="E18" s="84">
        <f>'Misc Exp'!S133</f>
        <v>187437</v>
      </c>
      <c r="F18" s="84">
        <f>'Misc Exp'!S90</f>
        <v>126466</v>
      </c>
      <c r="G18" s="84">
        <f>'Misc Exp'!S43</f>
        <v>90690</v>
      </c>
      <c r="H18" s="83"/>
      <c r="I18" s="83"/>
      <c r="J18" s="84"/>
      <c r="K18" s="83"/>
      <c r="L18" s="83"/>
      <c r="M18" s="83"/>
      <c r="N18" s="113">
        <f t="shared" si="5"/>
        <v>861196</v>
      </c>
    </row>
    <row r="19">
      <c r="A19" s="129" t="s">
        <v>86</v>
      </c>
      <c r="B19" s="83">
        <v>0.0</v>
      </c>
      <c r="C19" s="83">
        <v>0.0</v>
      </c>
      <c r="D19" s="83">
        <v>0.0</v>
      </c>
      <c r="E19" s="84"/>
      <c r="F19" s="84"/>
      <c r="G19" s="84"/>
      <c r="H19" s="84"/>
      <c r="I19" s="84"/>
      <c r="J19" s="84"/>
      <c r="K19" s="84"/>
      <c r="L19" s="84"/>
      <c r="M19" s="83"/>
      <c r="N19" s="113">
        <f t="shared" si="5"/>
        <v>0</v>
      </c>
    </row>
    <row r="20">
      <c r="A20" s="129" t="s">
        <v>27</v>
      </c>
      <c r="B20" s="84">
        <f t="shared" ref="B20:C20" si="9">2720+9440+2850+8437</f>
        <v>23447</v>
      </c>
      <c r="C20" s="84">
        <f t="shared" si="9"/>
        <v>23447</v>
      </c>
      <c r="D20" s="84">
        <f>4180+9440+2780+8437</f>
        <v>24837</v>
      </c>
      <c r="E20" s="84">
        <f>9440+8437+7500+1200</f>
        <v>26577</v>
      </c>
      <c r="F20" s="84">
        <f t="shared" ref="F20:G20" si="10">5270+8437+9440</f>
        <v>23147</v>
      </c>
      <c r="G20" s="84">
        <f t="shared" si="10"/>
        <v>23147</v>
      </c>
      <c r="H20" s="84"/>
      <c r="I20" s="84"/>
      <c r="J20" s="84"/>
      <c r="K20" s="84"/>
      <c r="L20" s="84"/>
      <c r="M20" s="83"/>
      <c r="N20" s="113">
        <f t="shared" si="5"/>
        <v>144602</v>
      </c>
    </row>
    <row r="21">
      <c r="A21" s="126" t="s">
        <v>28</v>
      </c>
      <c r="B21" s="83">
        <v>0.0</v>
      </c>
      <c r="C21" s="83">
        <v>0.0</v>
      </c>
      <c r="D21" s="83">
        <v>0.0</v>
      </c>
      <c r="E21" s="83">
        <v>0.0</v>
      </c>
      <c r="F21" s="83">
        <v>0.0</v>
      </c>
      <c r="G21" s="84"/>
      <c r="H21" s="84"/>
      <c r="I21" s="84"/>
      <c r="J21" s="84"/>
      <c r="K21" s="84"/>
      <c r="L21" s="84"/>
      <c r="M21" s="83"/>
      <c r="N21" s="113"/>
    </row>
    <row r="22">
      <c r="A22" s="123" t="s">
        <v>31</v>
      </c>
      <c r="B22" s="84">
        <f>18760/12+38737.22+34235/12</f>
        <v>43153.47</v>
      </c>
      <c r="C22" s="84">
        <f>18760/12+186065.22+34235/12</f>
        <v>190481.47</v>
      </c>
      <c r="D22" s="84">
        <f>18760/12+205434+34235/12</f>
        <v>209850.25</v>
      </c>
      <c r="E22" s="84">
        <f>18760/12+'Misc Exp'!S126+34235/12</f>
        <v>286720.5833</v>
      </c>
      <c r="F22" s="84">
        <f>18760/12+34235/12+'Misc Exp'!S84</f>
        <v>215758.4167</v>
      </c>
      <c r="G22" s="84">
        <f>18760/12+34235/12+'Misc Exp'!S38</f>
        <v>259824.5833</v>
      </c>
      <c r="H22" s="84">
        <f t="shared" ref="H22:M22" si="11">18760/12+34235/12</f>
        <v>4416.25</v>
      </c>
      <c r="I22" s="84">
        <f t="shared" si="11"/>
        <v>4416.25</v>
      </c>
      <c r="J22" s="84">
        <f t="shared" si="11"/>
        <v>4416.25</v>
      </c>
      <c r="K22" s="84">
        <f t="shared" si="11"/>
        <v>4416.25</v>
      </c>
      <c r="L22" s="84">
        <f t="shared" si="11"/>
        <v>4416.25</v>
      </c>
      <c r="M22" s="84">
        <f t="shared" si="11"/>
        <v>4416.25</v>
      </c>
      <c r="N22" s="113">
        <f t="shared" ref="N22:N25" si="12">sum(B22:M22)</f>
        <v>1232286.273</v>
      </c>
    </row>
    <row r="23">
      <c r="A23" s="123" t="s">
        <v>91</v>
      </c>
      <c r="B23" s="83">
        <v>0.0</v>
      </c>
      <c r="C23" s="83">
        <v>0.0</v>
      </c>
      <c r="D23" s="83">
        <v>0.0</v>
      </c>
      <c r="E23" s="83">
        <v>0.0</v>
      </c>
      <c r="F23" s="83">
        <v>0.0</v>
      </c>
      <c r="G23" s="83">
        <v>0.0</v>
      </c>
      <c r="H23" s="84"/>
      <c r="I23" s="84"/>
      <c r="J23" s="84"/>
      <c r="K23" s="84"/>
      <c r="L23" s="84"/>
      <c r="M23" s="83"/>
      <c r="N23" s="113">
        <f t="shared" si="12"/>
        <v>0</v>
      </c>
    </row>
    <row r="24">
      <c r="A24" s="92" t="s">
        <v>92</v>
      </c>
      <c r="B24" s="84">
        <f>66529</f>
        <v>66529</v>
      </c>
      <c r="C24" s="84">
        <f>34743+30480</f>
        <v>65223</v>
      </c>
      <c r="D24" s="84">
        <f>35893</f>
        <v>35893</v>
      </c>
      <c r="E24" s="83">
        <v>24223.0</v>
      </c>
      <c r="F24" s="83">
        <v>36279.0</v>
      </c>
      <c r="G24" s="83">
        <v>369512.0</v>
      </c>
      <c r="H24" s="84"/>
      <c r="I24" s="84"/>
      <c r="J24" s="84"/>
      <c r="K24" s="83"/>
      <c r="L24" s="83"/>
      <c r="M24" s="83"/>
      <c r="N24" s="113">
        <f t="shared" si="12"/>
        <v>597659</v>
      </c>
    </row>
    <row r="25">
      <c r="A25" s="134" t="s">
        <v>34</v>
      </c>
      <c r="B25" s="63">
        <f t="shared" ref="B25:F25" si="13">SUM(B10:B24)</f>
        <v>1837692.02</v>
      </c>
      <c r="C25" s="63">
        <f t="shared" si="13"/>
        <v>2152593.34</v>
      </c>
      <c r="D25" s="63">
        <f t="shared" si="13"/>
        <v>2182757.4</v>
      </c>
      <c r="E25" s="63">
        <f t="shared" si="13"/>
        <v>2185646.203</v>
      </c>
      <c r="F25" s="137">
        <f t="shared" si="13"/>
        <v>2211764.567</v>
      </c>
      <c r="G25" s="137">
        <f t="shared" ref="G25:M25" si="14">SUM(G11:G24)</f>
        <v>2381275.733</v>
      </c>
      <c r="H25" s="137">
        <f t="shared" si="14"/>
        <v>6114.25</v>
      </c>
      <c r="I25" s="137">
        <f t="shared" si="14"/>
        <v>6114.25</v>
      </c>
      <c r="J25" s="137">
        <f t="shared" si="14"/>
        <v>6114.25</v>
      </c>
      <c r="K25" s="137">
        <f t="shared" si="14"/>
        <v>6114.25</v>
      </c>
      <c r="L25" s="137">
        <f t="shared" si="14"/>
        <v>6114.25</v>
      </c>
      <c r="M25" s="137">
        <f t="shared" si="14"/>
        <v>6114.25</v>
      </c>
      <c r="N25" s="63">
        <f t="shared" si="12"/>
        <v>12988414.76</v>
      </c>
    </row>
    <row r="26">
      <c r="N26" s="66" t="s">
        <v>94</v>
      </c>
    </row>
    <row r="27">
      <c r="B27" s="138"/>
    </row>
  </sheetData>
  <drawing r:id="rId4"/>
  <legacyDrawing r:id="rId5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</cols>
  <sheetData>
    <row r="1">
      <c r="A1" s="2" t="s">
        <v>1</v>
      </c>
      <c r="B1" s="3">
        <f>Summary!C1</f>
        <v>46113</v>
      </c>
      <c r="C1" s="3">
        <f>Summary!D1</f>
        <v>46143</v>
      </c>
      <c r="D1" s="3">
        <f>Summary!E1</f>
        <v>46174</v>
      </c>
      <c r="E1" s="3">
        <f>Summary!F1</f>
        <v>46204</v>
      </c>
      <c r="F1" s="3">
        <f>Summary!G1</f>
        <v>46235</v>
      </c>
      <c r="G1" s="3">
        <f>Summary!H1</f>
        <v>46266</v>
      </c>
      <c r="H1" s="3">
        <f>Summary!I1</f>
        <v>46296</v>
      </c>
      <c r="I1" s="3">
        <f>Summary!J1</f>
        <v>46327</v>
      </c>
      <c r="J1" s="3">
        <f>Summary!K1</f>
        <v>46357</v>
      </c>
      <c r="K1" s="3">
        <f>Summary!L1</f>
        <v>46388</v>
      </c>
      <c r="L1" s="3">
        <f>Summary!M1</f>
        <v>46419</v>
      </c>
      <c r="M1" s="3">
        <f>Summary!N1</f>
        <v>46447</v>
      </c>
      <c r="N1" s="106" t="s">
        <v>64</v>
      </c>
    </row>
    <row r="2">
      <c r="A2" s="107" t="s">
        <v>65</v>
      </c>
      <c r="B2" s="11"/>
      <c r="C2" s="11"/>
      <c r="D2" s="11"/>
      <c r="E2" s="11"/>
      <c r="F2" s="11"/>
      <c r="G2" s="109"/>
      <c r="H2" s="11"/>
      <c r="I2" s="11"/>
      <c r="J2" s="11"/>
      <c r="K2" s="11"/>
      <c r="L2" s="11"/>
      <c r="M2" s="11"/>
      <c r="N2" s="14">
        <f>+SUM(B2:M2)</f>
        <v>0</v>
      </c>
    </row>
    <row r="3">
      <c r="A3" s="110" t="s">
        <v>66</v>
      </c>
      <c r="B3" s="11"/>
      <c r="C3" s="11"/>
      <c r="D3" s="11"/>
      <c r="E3" s="11"/>
      <c r="F3" s="11"/>
      <c r="G3" s="11"/>
      <c r="H3" s="11"/>
      <c r="I3" s="11"/>
      <c r="J3" s="111"/>
      <c r="K3" s="112"/>
      <c r="L3" s="111"/>
      <c r="M3" s="111"/>
      <c r="N3" s="14"/>
    </row>
    <row r="4">
      <c r="A4" s="110" t="s">
        <v>67</v>
      </c>
      <c r="B4" s="11">
        <f>35400+62663.68</f>
        <v>98063.68</v>
      </c>
      <c r="C4" s="17">
        <f>35400+65255</f>
        <v>100655</v>
      </c>
      <c r="D4" s="11">
        <f>35400</f>
        <v>35400</v>
      </c>
      <c r="E4" s="11">
        <f>35400+88297</f>
        <v>123697</v>
      </c>
      <c r="F4" s="11">
        <f>35400+36506</f>
        <v>71906</v>
      </c>
      <c r="G4" s="11">
        <f>35400</f>
        <v>35400</v>
      </c>
      <c r="H4" s="11"/>
      <c r="I4" s="11"/>
      <c r="J4" s="111"/>
      <c r="K4" s="112"/>
      <c r="L4" s="111"/>
      <c r="M4" s="111"/>
      <c r="N4" s="14"/>
    </row>
    <row r="5">
      <c r="A5" s="110" t="s">
        <v>68</v>
      </c>
      <c r="B5" s="11"/>
      <c r="C5" s="11">
        <f>30713</f>
        <v>30713</v>
      </c>
      <c r="D5" s="11"/>
      <c r="E5" s="11"/>
      <c r="F5" s="11"/>
      <c r="G5" s="11"/>
      <c r="H5" s="11"/>
      <c r="I5" s="11"/>
      <c r="J5" s="111"/>
      <c r="K5" s="112"/>
      <c r="L5" s="111"/>
      <c r="M5" s="111"/>
      <c r="N5" s="14"/>
    </row>
    <row r="6">
      <c r="A6" s="110" t="s">
        <v>69</v>
      </c>
      <c r="B6" s="11"/>
      <c r="C6" s="11"/>
      <c r="D6" s="11"/>
      <c r="E6" s="11"/>
      <c r="F6" s="11"/>
      <c r="G6" s="11"/>
      <c r="H6" s="11"/>
      <c r="I6" s="11"/>
      <c r="J6" s="111"/>
      <c r="K6" s="112"/>
      <c r="L6" s="111"/>
      <c r="M6" s="111"/>
      <c r="N6" s="14"/>
    </row>
    <row r="7">
      <c r="A7" s="110" t="s">
        <v>70</v>
      </c>
      <c r="B7" s="11"/>
      <c r="C7" s="11"/>
      <c r="D7" s="11"/>
      <c r="E7" s="11"/>
      <c r="F7" s="11"/>
      <c r="G7" s="11"/>
      <c r="H7" s="11"/>
      <c r="I7" s="11"/>
      <c r="J7" s="111"/>
      <c r="K7" s="112"/>
      <c r="L7" s="111"/>
      <c r="M7" s="111"/>
      <c r="N7" s="14"/>
    </row>
    <row r="8">
      <c r="A8" s="110" t="s">
        <v>71</v>
      </c>
      <c r="B8" s="11"/>
      <c r="C8" s="17">
        <v>45000.0</v>
      </c>
      <c r="D8" s="11">
        <f>(4000+45400+26000+40000+78000)/2</f>
        <v>96700</v>
      </c>
      <c r="E8" s="17">
        <v>15000.0</v>
      </c>
      <c r="F8" s="17">
        <v>10000.0</v>
      </c>
      <c r="G8" s="17">
        <v>71000.0</v>
      </c>
      <c r="H8" s="11"/>
      <c r="I8" s="11"/>
      <c r="J8" s="111"/>
      <c r="K8" s="112"/>
      <c r="L8" s="111"/>
      <c r="M8" s="111"/>
      <c r="N8" s="14"/>
    </row>
    <row r="9">
      <c r="A9" s="110" t="s">
        <v>72</v>
      </c>
      <c r="B9" s="11"/>
      <c r="C9" s="11"/>
      <c r="D9" s="11"/>
      <c r="E9" s="11"/>
      <c r="F9" s="11"/>
      <c r="G9" s="11"/>
      <c r="H9" s="11"/>
      <c r="I9" s="11"/>
      <c r="J9" s="111"/>
      <c r="K9" s="112"/>
      <c r="L9" s="111"/>
      <c r="M9" s="111"/>
      <c r="N9" s="14"/>
    </row>
    <row r="10">
      <c r="A10" s="110" t="s">
        <v>73</v>
      </c>
      <c r="B10" s="11">
        <f>47702</f>
        <v>47702</v>
      </c>
      <c r="C10" s="17">
        <v>25000.0</v>
      </c>
      <c r="D10" s="17">
        <v>0.0</v>
      </c>
      <c r="E10" s="17">
        <v>10620.0</v>
      </c>
      <c r="F10" s="11">
        <f>17700</f>
        <v>17700</v>
      </c>
      <c r="G10" s="11">
        <f>23600+17287+20000</f>
        <v>60887</v>
      </c>
      <c r="H10" s="11"/>
      <c r="I10" s="11"/>
      <c r="J10" s="111"/>
      <c r="K10" s="112"/>
      <c r="L10" s="111"/>
      <c r="M10" s="111"/>
      <c r="N10" s="14"/>
    </row>
    <row r="11">
      <c r="A11" s="110" t="s">
        <v>74</v>
      </c>
      <c r="B11" s="11"/>
      <c r="C11" s="11"/>
      <c r="D11" s="11"/>
      <c r="E11" s="11"/>
      <c r="F11" s="11"/>
      <c r="G11" s="11"/>
      <c r="H11" s="11"/>
      <c r="I11" s="11"/>
      <c r="J11" s="111"/>
      <c r="K11" s="112"/>
      <c r="L11" s="111"/>
      <c r="M11" s="111"/>
      <c r="N11" s="14">
        <f t="shared" ref="N11:N17" si="1">+SUM(B11:M11)</f>
        <v>0</v>
      </c>
    </row>
    <row r="12">
      <c r="A12" s="110" t="s">
        <v>75</v>
      </c>
      <c r="B12" s="11"/>
      <c r="C12" s="11"/>
      <c r="D12" s="11"/>
      <c r="E12" s="11"/>
      <c r="F12" s="11"/>
      <c r="G12" s="11"/>
      <c r="H12" s="11"/>
      <c r="I12" s="17"/>
      <c r="J12" s="111"/>
      <c r="K12" s="112"/>
      <c r="L12" s="117"/>
      <c r="M12" s="111"/>
      <c r="N12" s="14">
        <f t="shared" si="1"/>
        <v>0</v>
      </c>
    </row>
    <row r="13">
      <c r="A13" s="110" t="s">
        <v>76</v>
      </c>
      <c r="B13" s="11">
        <f>104548+53100</f>
        <v>157648</v>
      </c>
      <c r="C13" s="11">
        <f>109740+35400</f>
        <v>145140</v>
      </c>
      <c r="D13" s="11">
        <f>54280/3+1180</f>
        <v>19273.33333</v>
      </c>
      <c r="E13" s="76">
        <f>146320+169920+1180+35400+54280/3</f>
        <v>370913.3333</v>
      </c>
      <c r="F13" s="11">
        <f>1180+35400+54280/3</f>
        <v>54673.33333</v>
      </c>
      <c r="G13" s="11">
        <f>1180+54280/3+35400</f>
        <v>54673.33333</v>
      </c>
      <c r="H13" s="11">
        <f t="shared" ref="H13:I13" si="2">54280/3</f>
        <v>18093.33333</v>
      </c>
      <c r="I13" s="17">
        <f t="shared" si="2"/>
        <v>18093.33333</v>
      </c>
      <c r="J13" s="117"/>
      <c r="K13" s="121"/>
      <c r="L13" s="111"/>
      <c r="M13" s="111"/>
      <c r="N13" s="14">
        <f t="shared" si="1"/>
        <v>838508</v>
      </c>
    </row>
    <row r="14">
      <c r="A14" s="122" t="s">
        <v>77</v>
      </c>
      <c r="B14" s="11"/>
      <c r="C14" s="11"/>
      <c r="D14" s="11"/>
      <c r="E14" s="17">
        <v>5000.0</v>
      </c>
      <c r="F14" s="11"/>
      <c r="G14" s="11">
        <f>171000</f>
        <v>171000</v>
      </c>
      <c r="H14" s="11"/>
      <c r="I14" s="17"/>
      <c r="J14" s="111"/>
      <c r="K14" s="121"/>
      <c r="L14" s="117"/>
      <c r="M14" s="111"/>
      <c r="N14" s="14">
        <f t="shared" si="1"/>
        <v>176000</v>
      </c>
    </row>
    <row r="15">
      <c r="A15" s="124" t="s">
        <v>79</v>
      </c>
      <c r="B15" s="11">
        <f>181890*1.18</f>
        <v>214630.2</v>
      </c>
      <c r="C15" s="11">
        <f>191440*1.18</f>
        <v>225899.2</v>
      </c>
      <c r="D15" s="17">
        <f>177201.31*1.18</f>
        <v>209097.5458</v>
      </c>
      <c r="E15" s="11">
        <f>247099.79*1.18</f>
        <v>291577.7522</v>
      </c>
      <c r="F15" s="11">
        <f>212840.68*1.18</f>
        <v>251152.0024</v>
      </c>
      <c r="G15" s="11">
        <f>263177.69*1.18</f>
        <v>310549.6742</v>
      </c>
      <c r="H15" s="11"/>
      <c r="I15" s="11"/>
      <c r="J15" s="117"/>
      <c r="K15" s="121"/>
      <c r="L15" s="117"/>
      <c r="M15" s="117"/>
      <c r="N15" s="14">
        <f t="shared" si="1"/>
        <v>1502906.375</v>
      </c>
    </row>
    <row r="16">
      <c r="A16" s="124" t="s">
        <v>80</v>
      </c>
      <c r="B16" s="11">
        <f>200734.71*1.18+48167.27*1.18</f>
        <v>293704.3364</v>
      </c>
      <c r="C16" s="11">
        <f>334754</f>
        <v>334754</v>
      </c>
      <c r="D16" s="11">
        <f>93039.42*1.18</f>
        <v>109786.5156</v>
      </c>
      <c r="E16" s="11">
        <f>287550*1.18</f>
        <v>339309</v>
      </c>
      <c r="F16" s="11">
        <f>302511*1.18+100837.7*1.18</f>
        <v>475951.466</v>
      </c>
      <c r="G16" s="11">
        <f>257588*1.18+109804*1.18+127966*1.18</f>
        <v>584522.44</v>
      </c>
      <c r="H16" s="11"/>
      <c r="I16" s="11"/>
      <c r="J16" s="117"/>
      <c r="K16" s="121"/>
      <c r="L16" s="117"/>
      <c r="M16" s="117"/>
      <c r="N16" s="14">
        <f t="shared" si="1"/>
        <v>2138027.758</v>
      </c>
    </row>
    <row r="17">
      <c r="A17" s="35" t="s">
        <v>82</v>
      </c>
      <c r="B17" s="36">
        <f t="shared" ref="B17:E17" si="3">SUM(B4:B16)</f>
        <v>811748.2164</v>
      </c>
      <c r="C17" s="36">
        <f t="shared" si="3"/>
        <v>907161.2</v>
      </c>
      <c r="D17" s="36">
        <f t="shared" si="3"/>
        <v>470257.3947</v>
      </c>
      <c r="E17" s="36">
        <f t="shared" si="3"/>
        <v>1156117.086</v>
      </c>
      <c r="F17" s="36">
        <f t="shared" ref="F17:M17" si="4">sum(F14:F16)</f>
        <v>727103.4684</v>
      </c>
      <c r="G17" s="36">
        <f t="shared" si="4"/>
        <v>1066072.114</v>
      </c>
      <c r="H17" s="36">
        <f t="shared" si="4"/>
        <v>0</v>
      </c>
      <c r="I17" s="36">
        <f t="shared" si="4"/>
        <v>0</v>
      </c>
      <c r="J17" s="36">
        <f t="shared" si="4"/>
        <v>0</v>
      </c>
      <c r="K17" s="36">
        <f t="shared" si="4"/>
        <v>0</v>
      </c>
      <c r="L17" s="36">
        <f t="shared" si="4"/>
        <v>0</v>
      </c>
      <c r="M17" s="36">
        <f t="shared" si="4"/>
        <v>0</v>
      </c>
      <c r="N17" s="36">
        <f t="shared" si="1"/>
        <v>5138459.479</v>
      </c>
    </row>
    <row r="19">
      <c r="C19" s="125"/>
    </row>
    <row r="20">
      <c r="C20" s="125"/>
    </row>
    <row r="21">
      <c r="C21" s="125"/>
    </row>
    <row r="22">
      <c r="C22" s="114"/>
    </row>
    <row r="23">
      <c r="C23" s="125"/>
    </row>
  </sheetData>
  <drawing r:id="rId4"/>
  <legacyDrawing r:id="rId5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</cols>
  <sheetData>
    <row r="1">
      <c r="A1" s="127" t="s">
        <v>84</v>
      </c>
      <c r="B1" s="128">
        <f>Summary!C1</f>
        <v>46113</v>
      </c>
      <c r="C1" s="128">
        <f>Summary!D1</f>
        <v>46143</v>
      </c>
      <c r="D1" s="128">
        <f>Summary!E1</f>
        <v>46174</v>
      </c>
      <c r="E1" s="128">
        <f>Summary!F1</f>
        <v>46204</v>
      </c>
      <c r="F1" s="128">
        <f>Summary!G1</f>
        <v>46235</v>
      </c>
      <c r="G1" s="128">
        <f>Summary!H1</f>
        <v>46266</v>
      </c>
      <c r="H1" s="128">
        <f>Summary!I1</f>
        <v>46296</v>
      </c>
      <c r="I1" s="128">
        <f>Summary!J1</f>
        <v>46327</v>
      </c>
      <c r="J1" s="128">
        <f>Summary!K1</f>
        <v>46357</v>
      </c>
      <c r="K1" s="128">
        <f>Summary!L1</f>
        <v>46388</v>
      </c>
      <c r="L1" s="128">
        <f>Summary!M1</f>
        <v>46419</v>
      </c>
      <c r="M1" s="128">
        <f>Summary!N1</f>
        <v>46447</v>
      </c>
      <c r="N1" s="128">
        <v>46478.0</v>
      </c>
      <c r="O1" s="130" t="s">
        <v>63</v>
      </c>
      <c r="P1" s="131"/>
    </row>
    <row r="2">
      <c r="A2" s="92" t="s">
        <v>85</v>
      </c>
      <c r="B2" s="13">
        <f>'Central Kitchen - Kolkata'!B25</f>
        <v>1837692.02</v>
      </c>
      <c r="C2" s="13">
        <f>'Central Kitchen - Kolkata'!C25</f>
        <v>2152593.34</v>
      </c>
      <c r="D2" s="13">
        <f>'Central Kitchen - Kolkata'!D25</f>
        <v>2182757.4</v>
      </c>
      <c r="E2" s="13">
        <f>'Central Kitchen - Kolkata'!E25</f>
        <v>2185646.203</v>
      </c>
      <c r="F2" s="13">
        <f>'Central Kitchen - Kolkata'!F25</f>
        <v>2211764.567</v>
      </c>
      <c r="G2" s="13">
        <f>'Central Kitchen - Kolkata'!G25</f>
        <v>2381275.733</v>
      </c>
      <c r="H2" s="13">
        <f>'Central Kitchen - Kolkata'!H25</f>
        <v>6114.25</v>
      </c>
      <c r="I2" s="13">
        <f>'Central Kitchen - Kolkata'!I25</f>
        <v>6114.25</v>
      </c>
      <c r="J2" s="13">
        <f>'Central Kitchen - Kolkata'!J25</f>
        <v>6114.25</v>
      </c>
      <c r="K2" s="13">
        <f>'Central Kitchen - Kolkata'!K25</f>
        <v>6114.25</v>
      </c>
      <c r="L2" s="13">
        <f>'Central Kitchen - Kolkata'!L25</f>
        <v>6114.25</v>
      </c>
      <c r="M2" s="13">
        <f>'Central Kitchen - Kolkata'!M25</f>
        <v>6114.25</v>
      </c>
      <c r="N2" s="13"/>
      <c r="O2" s="100"/>
      <c r="P2" s="100"/>
    </row>
    <row r="3">
      <c r="A3" s="92" t="s">
        <v>87</v>
      </c>
      <c r="B3" s="13"/>
      <c r="C3" s="13"/>
      <c r="D3" s="13"/>
      <c r="E3" s="98"/>
      <c r="F3" s="98"/>
      <c r="G3" s="98"/>
      <c r="H3" s="98"/>
      <c r="I3" s="98"/>
      <c r="J3" s="98"/>
      <c r="K3" s="98"/>
      <c r="L3" s="98"/>
      <c r="M3" s="98"/>
      <c r="N3" s="13"/>
      <c r="O3" s="100"/>
      <c r="P3" s="100"/>
    </row>
    <row r="4">
      <c r="A4" s="92" t="s">
        <v>88</v>
      </c>
      <c r="B4" s="13"/>
      <c r="C4" s="13"/>
      <c r="D4" s="13"/>
      <c r="E4" s="98"/>
      <c r="F4" s="98"/>
      <c r="G4" s="98"/>
      <c r="H4" s="98"/>
      <c r="I4" s="98"/>
      <c r="J4" s="98"/>
      <c r="K4" s="98"/>
      <c r="L4" s="98"/>
      <c r="M4" s="98"/>
      <c r="N4" s="13"/>
      <c r="O4" s="100"/>
      <c r="P4" s="100"/>
    </row>
    <row r="5">
      <c r="A5" s="92" t="s">
        <v>89</v>
      </c>
      <c r="B5" s="13">
        <f>352.82</f>
        <v>352.82</v>
      </c>
      <c r="C5" s="15">
        <v>352.82</v>
      </c>
      <c r="D5" s="15">
        <v>352.82</v>
      </c>
      <c r="E5" s="15">
        <v>352.82</v>
      </c>
      <c r="F5" s="15">
        <v>352.82</v>
      </c>
      <c r="G5" s="15">
        <v>352.82</v>
      </c>
      <c r="H5" s="13"/>
      <c r="I5" s="13"/>
      <c r="J5" s="13"/>
      <c r="K5" s="13"/>
      <c r="L5" s="13"/>
      <c r="M5" s="13"/>
      <c r="N5" s="13"/>
      <c r="O5" s="100"/>
      <c r="P5" s="132"/>
    </row>
    <row r="6">
      <c r="A6" s="133" t="s">
        <v>90</v>
      </c>
      <c r="B6" s="13">
        <f>120000+14000+50514+9259+11726+11377+28276+1358110+619455+71710+130000</f>
        <v>2424427</v>
      </c>
      <c r="C6" s="13">
        <f>120000+1265079+121618+620944+73060+130000+14000</f>
        <v>2344701</v>
      </c>
      <c r="D6" s="13">
        <f>120000+1418849+628385+74431+130000+14000</f>
        <v>2385665</v>
      </c>
      <c r="E6" s="13">
        <f>120000+14000+1287117.61+197814.51+130000+14000+620000+73000</f>
        <v>2455932.12</v>
      </c>
      <c r="F6" s="13">
        <f>1256434+196564.51+120000+14000+623580+72195</f>
        <v>2282773.51</v>
      </c>
      <c r="G6" s="135">
        <f>120000+14000+1263351+197191++623580+72195</f>
        <v>2290317</v>
      </c>
      <c r="H6" s="13"/>
      <c r="I6" s="13"/>
      <c r="J6" s="13"/>
      <c r="K6" s="13"/>
      <c r="L6" s="13"/>
      <c r="M6" s="13"/>
      <c r="N6" s="13"/>
      <c r="O6" s="136">
        <f>sum(B6:M6)</f>
        <v>14183815.63</v>
      </c>
      <c r="P6" s="132"/>
    </row>
    <row r="7">
      <c r="A7" s="92" t="s">
        <v>93</v>
      </c>
      <c r="B7" s="13"/>
      <c r="C7" s="13"/>
      <c r="D7" s="13"/>
      <c r="E7" s="98"/>
      <c r="F7" s="98"/>
      <c r="G7" s="98"/>
      <c r="H7" s="98"/>
      <c r="I7" s="98"/>
      <c r="J7" s="98"/>
      <c r="K7" s="98"/>
      <c r="L7" s="98"/>
      <c r="M7" s="98"/>
      <c r="N7" s="13"/>
      <c r="O7" s="100"/>
      <c r="P7" s="100"/>
    </row>
    <row r="8">
      <c r="A8" s="92" t="s">
        <v>31</v>
      </c>
      <c r="B8" s="15">
        <f>25825.49</f>
        <v>25825.49</v>
      </c>
      <c r="C8" s="15">
        <v>37637.52</v>
      </c>
      <c r="D8" s="15">
        <v>55049.0</v>
      </c>
      <c r="E8" s="15">
        <f>'Misc Exp'!T126</f>
        <v>22226</v>
      </c>
      <c r="F8" s="13">
        <f>'Misc Exp'!T84</f>
        <v>116701.58</v>
      </c>
      <c r="G8" s="13">
        <f>'Misc Exp'!T38</f>
        <v>119016.08</v>
      </c>
      <c r="H8" s="15"/>
      <c r="I8" s="13"/>
      <c r="J8" s="15"/>
      <c r="K8" s="15"/>
      <c r="L8" s="15"/>
      <c r="M8" s="13"/>
      <c r="N8" s="13"/>
      <c r="O8" s="100"/>
      <c r="P8" s="100"/>
    </row>
    <row r="9">
      <c r="A9" s="92" t="s">
        <v>95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00"/>
      <c r="P9" s="100"/>
    </row>
    <row r="10">
      <c r="A10" s="92" t="s">
        <v>96</v>
      </c>
      <c r="B10" s="13"/>
      <c r="C10" s="13"/>
      <c r="D10" s="13"/>
      <c r="E10" s="98"/>
      <c r="F10" s="98"/>
      <c r="G10" s="98"/>
      <c r="H10" s="98"/>
      <c r="I10" s="98"/>
      <c r="J10" s="98"/>
      <c r="K10" s="98"/>
      <c r="L10" s="98"/>
      <c r="M10" s="98"/>
      <c r="N10" s="13"/>
      <c r="O10" s="100"/>
      <c r="P10" s="100"/>
    </row>
    <row r="11">
      <c r="A11" s="92" t="s">
        <v>97</v>
      </c>
      <c r="B11" s="13">
        <f>65025+4000+7000+11800/12+42480</f>
        <v>119488.3333</v>
      </c>
      <c r="C11" s="13">
        <f>7000+6000+11800/12+10000+27258+42480</f>
        <v>93721.33333</v>
      </c>
      <c r="D11" s="13">
        <f>11800/12+10000+27258+6000+42480</f>
        <v>86721.33333</v>
      </c>
      <c r="E11" s="13">
        <f t="shared" ref="E11:G11" si="1">11800/12+27258+8000+10000+42480</f>
        <v>88721.33333</v>
      </c>
      <c r="F11" s="13">
        <f t="shared" si="1"/>
        <v>88721.33333</v>
      </c>
      <c r="G11" s="13">
        <f t="shared" si="1"/>
        <v>88721.33333</v>
      </c>
      <c r="H11" s="13">
        <f t="shared" ref="H11:N11" si="2">11800/12</f>
        <v>983.3333333</v>
      </c>
      <c r="I11" s="13">
        <f t="shared" si="2"/>
        <v>983.3333333</v>
      </c>
      <c r="J11" s="13">
        <f t="shared" si="2"/>
        <v>983.3333333</v>
      </c>
      <c r="K11" s="13">
        <f t="shared" si="2"/>
        <v>983.3333333</v>
      </c>
      <c r="L11" s="13">
        <f t="shared" si="2"/>
        <v>983.3333333</v>
      </c>
      <c r="M11" s="13">
        <f t="shared" si="2"/>
        <v>983.3333333</v>
      </c>
      <c r="N11" s="13">
        <f t="shared" si="2"/>
        <v>983.3333333</v>
      </c>
      <c r="O11" s="100"/>
      <c r="P11" s="100"/>
    </row>
    <row r="12">
      <c r="A12" s="92" t="s">
        <v>98</v>
      </c>
      <c r="B12" s="13"/>
      <c r="C12" s="13"/>
      <c r="D12" s="13"/>
      <c r="E12" s="98"/>
      <c r="F12" s="98"/>
      <c r="G12" s="98"/>
      <c r="H12" s="98"/>
      <c r="I12" s="98"/>
      <c r="J12" s="13"/>
      <c r="K12" s="98"/>
      <c r="L12" s="98"/>
      <c r="M12" s="98"/>
      <c r="N12" s="13"/>
      <c r="O12" s="100"/>
      <c r="P12" s="100"/>
    </row>
    <row r="13">
      <c r="A13" s="92" t="s">
        <v>99</v>
      </c>
      <c r="B13" s="13"/>
      <c r="C13" s="13"/>
      <c r="D13" s="13"/>
      <c r="E13" s="98"/>
      <c r="F13" s="98"/>
      <c r="G13" s="98"/>
      <c r="H13" s="98"/>
      <c r="I13" s="98"/>
      <c r="J13" s="98"/>
      <c r="K13" s="98"/>
      <c r="L13" s="98"/>
      <c r="M13" s="98"/>
      <c r="N13" s="13"/>
      <c r="O13" s="100"/>
      <c r="P13" s="100"/>
    </row>
    <row r="14">
      <c r="A14" s="92" t="s">
        <v>100</v>
      </c>
      <c r="B14" s="13">
        <f t="shared" ref="B14:C14" si="3">26904/6+109848/3+259978/12+8000+10000</f>
        <v>80764.83333</v>
      </c>
      <c r="C14" s="13">
        <f t="shared" si="3"/>
        <v>80764.83333</v>
      </c>
      <c r="D14" s="15">
        <v>10000.0</v>
      </c>
      <c r="E14" s="13">
        <f>26904/6+109848/3+259978/12+8000</f>
        <v>70764.83333</v>
      </c>
      <c r="F14" s="13">
        <f t="shared" ref="F14:H14" si="4">26904/6+259978/12+118444/3</f>
        <v>65630.16667</v>
      </c>
      <c r="G14" s="13">
        <f t="shared" si="4"/>
        <v>65630.16667</v>
      </c>
      <c r="H14" s="13">
        <f t="shared" si="4"/>
        <v>65630.16667</v>
      </c>
      <c r="I14" s="13">
        <f t="shared" ref="I14:M14" si="5">26904/6+259978/12</f>
        <v>26148.83333</v>
      </c>
      <c r="J14" s="13">
        <f t="shared" si="5"/>
        <v>26148.83333</v>
      </c>
      <c r="K14" s="13">
        <f t="shared" si="5"/>
        <v>26148.83333</v>
      </c>
      <c r="L14" s="13">
        <f t="shared" si="5"/>
        <v>26148.83333</v>
      </c>
      <c r="M14" s="13">
        <f t="shared" si="5"/>
        <v>26148.83333</v>
      </c>
      <c r="N14" s="13"/>
      <c r="O14" s="100"/>
      <c r="P14" s="100"/>
    </row>
    <row r="15">
      <c r="A15" s="92" t="s">
        <v>101</v>
      </c>
      <c r="B15" s="13"/>
      <c r="C15" s="13"/>
      <c r="D15" s="13"/>
      <c r="E15" s="135"/>
      <c r="F15" s="98"/>
      <c r="G15" s="98"/>
      <c r="H15" s="98"/>
      <c r="I15" s="98"/>
      <c r="J15" s="98"/>
      <c r="K15" s="98"/>
      <c r="L15" s="98"/>
      <c r="M15" s="98"/>
      <c r="N15" s="13"/>
      <c r="O15" s="100"/>
      <c r="P15" s="100"/>
    </row>
    <row r="16">
      <c r="A16" s="92" t="s">
        <v>102</v>
      </c>
      <c r="B16" s="13"/>
      <c r="C16" s="13"/>
      <c r="D16" s="13"/>
      <c r="E16" s="98"/>
      <c r="F16" s="98"/>
      <c r="G16" s="98"/>
      <c r="H16" s="98"/>
      <c r="I16" s="98"/>
      <c r="J16" s="98"/>
      <c r="K16" s="98"/>
      <c r="L16" s="98"/>
      <c r="M16" s="98"/>
      <c r="N16" s="13"/>
      <c r="O16" s="100"/>
      <c r="P16" s="100"/>
    </row>
    <row r="17">
      <c r="A17" s="133" t="s">
        <v>103</v>
      </c>
      <c r="B17" s="13">
        <f>27258</f>
        <v>27258</v>
      </c>
      <c r="C17" s="15">
        <v>27258.0</v>
      </c>
      <c r="D17" s="15">
        <v>27258.0</v>
      </c>
      <c r="E17" s="15">
        <v>27258.0</v>
      </c>
      <c r="F17" s="15">
        <v>27258.0</v>
      </c>
      <c r="G17" s="15">
        <v>27258.0</v>
      </c>
      <c r="H17" s="13"/>
      <c r="I17" s="13"/>
      <c r="J17" s="13"/>
      <c r="K17" s="13"/>
      <c r="L17" s="13"/>
      <c r="M17" s="13"/>
      <c r="N17" s="13"/>
      <c r="O17" s="100"/>
      <c r="P17" s="100"/>
    </row>
    <row r="18">
      <c r="A18" s="92" t="s">
        <v>104</v>
      </c>
      <c r="B18" s="13"/>
      <c r="C18" s="13"/>
      <c r="D18" s="13"/>
      <c r="E18" s="98"/>
      <c r="F18" s="98"/>
      <c r="G18" s="13"/>
      <c r="H18" s="98"/>
      <c r="I18" s="98"/>
      <c r="J18" s="98"/>
      <c r="K18" s="98"/>
      <c r="L18" s="98"/>
      <c r="M18" s="98"/>
      <c r="N18" s="13"/>
      <c r="O18" s="100"/>
      <c r="P18" s="100"/>
    </row>
    <row r="19">
      <c r="A19" s="92" t="s">
        <v>105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00"/>
      <c r="P19" s="100"/>
    </row>
    <row r="20">
      <c r="A20" s="140" t="s">
        <v>106</v>
      </c>
      <c r="B20" s="15">
        <v>-4264.0</v>
      </c>
      <c r="C20" s="15">
        <v>-10717.4</v>
      </c>
      <c r="D20" s="15">
        <v>-13694.0</v>
      </c>
      <c r="E20" s="15">
        <v>-7117.6</v>
      </c>
      <c r="F20" s="13">
        <f>-7535.8</f>
        <v>-7535.8</v>
      </c>
      <c r="G20" s="13">
        <f>-3523.8-19081.4</f>
        <v>-22605.2</v>
      </c>
      <c r="H20" s="13"/>
      <c r="I20" s="99"/>
      <c r="J20" s="99"/>
      <c r="K20" s="143"/>
      <c r="L20" s="144"/>
      <c r="M20" s="144"/>
      <c r="N20" s="13"/>
      <c r="O20" s="146"/>
      <c r="P20" s="146"/>
    </row>
    <row r="21">
      <c r="A21" s="99"/>
      <c r="B21" s="13"/>
      <c r="C21" s="13"/>
      <c r="D21" s="13"/>
      <c r="E21" s="13"/>
      <c r="F21" s="13"/>
      <c r="G21" s="13"/>
      <c r="H21" s="13"/>
      <c r="I21" s="99"/>
      <c r="J21" s="99"/>
      <c r="K21" s="99"/>
      <c r="L21" s="99"/>
      <c r="M21" s="99"/>
      <c r="N21" s="13"/>
      <c r="O21" s="146"/>
      <c r="P21" s="146"/>
    </row>
    <row r="22">
      <c r="A22" s="38" t="s">
        <v>127</v>
      </c>
      <c r="B22" s="152">
        <f t="shared" ref="B22:K22" si="6">+SUM(B2:B19)</f>
        <v>4515808.497</v>
      </c>
      <c r="C22" s="152">
        <f t="shared" si="6"/>
        <v>4737028.847</v>
      </c>
      <c r="D22" s="152">
        <f t="shared" si="6"/>
        <v>4747803.553</v>
      </c>
      <c r="E22" s="152">
        <f t="shared" si="6"/>
        <v>4850901.31</v>
      </c>
      <c r="F22" s="152">
        <f t="shared" si="6"/>
        <v>4793201.977</v>
      </c>
      <c r="G22" s="152">
        <f t="shared" si="6"/>
        <v>4972571.133</v>
      </c>
      <c r="H22" s="152">
        <f t="shared" si="6"/>
        <v>72727.75</v>
      </c>
      <c r="I22" s="152">
        <f t="shared" si="6"/>
        <v>33246.41667</v>
      </c>
      <c r="J22" s="152">
        <f t="shared" si="6"/>
        <v>33246.41667</v>
      </c>
      <c r="K22" s="152">
        <f t="shared" si="6"/>
        <v>33246.41667</v>
      </c>
      <c r="L22" s="152">
        <f t="shared" ref="L22:M22" si="7">+SUM(L2:L20)</f>
        <v>33246.41667</v>
      </c>
      <c r="M22" s="152">
        <f t="shared" si="7"/>
        <v>33246.41667</v>
      </c>
      <c r="N22" s="155"/>
      <c r="O22" s="155"/>
      <c r="P22" s="155"/>
    </row>
    <row r="23">
      <c r="A23" s="156"/>
      <c r="B23" s="156"/>
      <c r="C23" s="74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</row>
    <row r="24">
      <c r="A24" s="157"/>
      <c r="B24" s="127" t="s">
        <v>133</v>
      </c>
      <c r="C24" s="38" t="s">
        <v>134</v>
      </c>
      <c r="D24" s="38" t="s">
        <v>135</v>
      </c>
      <c r="E24" s="158"/>
      <c r="F24" s="127" t="s">
        <v>137</v>
      </c>
      <c r="G24" s="38" t="s">
        <v>134</v>
      </c>
      <c r="H24" s="38" t="s">
        <v>135</v>
      </c>
      <c r="I24" s="158"/>
      <c r="J24" s="127" t="s">
        <v>139</v>
      </c>
      <c r="K24" s="38" t="s">
        <v>134</v>
      </c>
      <c r="L24" s="38" t="s">
        <v>135</v>
      </c>
      <c r="M24" s="158"/>
      <c r="N24" s="127" t="s">
        <v>140</v>
      </c>
      <c r="O24" s="38" t="s">
        <v>134</v>
      </c>
      <c r="P24" s="38" t="s">
        <v>135</v>
      </c>
    </row>
    <row r="25">
      <c r="A25" s="133" t="s">
        <v>107</v>
      </c>
      <c r="B25" s="159">
        <f>'Ideal Plaza'!B13</f>
        <v>2654726.839</v>
      </c>
      <c r="C25" s="160">
        <f t="shared" ref="C25:C41" si="8">B25/$B$42</f>
        <v>0.1305244182</v>
      </c>
      <c r="D25" s="161">
        <f t="shared" ref="D25:D41" si="9">C25*$B$22</f>
        <v>589423.2769</v>
      </c>
      <c r="E25" s="162"/>
      <c r="F25" s="159">
        <f>'Ideal Plaza'!C13</f>
        <v>3066561.306</v>
      </c>
      <c r="G25" s="160">
        <f t="shared" ref="G25:G41" si="10">F25/$F$42</f>
        <v>0.1360015051</v>
      </c>
      <c r="H25" s="159">
        <f t="shared" ref="H25:H41" si="11">G25*$C$22</f>
        <v>644243.0527</v>
      </c>
      <c r="I25" s="162"/>
      <c r="J25" s="159">
        <f>'Ideal Plaza'!D13</f>
        <v>2742937.998</v>
      </c>
      <c r="K25" s="160">
        <f t="shared" ref="K25:K41" si="12">J25/$J$42</f>
        <v>0.1265858303</v>
      </c>
      <c r="L25" s="159">
        <f t="shared" ref="L25:L41" si="13">K25*$D$22</f>
        <v>601004.6549</v>
      </c>
      <c r="M25" s="162"/>
      <c r="N25" s="159">
        <f>'Ideal Plaza'!E13</f>
        <v>2930080.918</v>
      </c>
      <c r="O25" s="160">
        <f t="shared" ref="O25:O41" si="14">N25/$N$42</f>
        <v>0.1321266114</v>
      </c>
      <c r="P25" s="159">
        <f t="shared" ref="P25:P41" si="15">O25*$E$22</f>
        <v>640933.1524</v>
      </c>
    </row>
    <row r="26">
      <c r="A26" s="133" t="s">
        <v>152</v>
      </c>
      <c r="B26" s="159">
        <f>'Salt Lake JC -21'!B13</f>
        <v>2344387.752</v>
      </c>
      <c r="C26" s="160">
        <f t="shared" si="8"/>
        <v>0.1152660391</v>
      </c>
      <c r="D26" s="161">
        <f t="shared" si="9"/>
        <v>520519.3586</v>
      </c>
      <c r="E26" s="162"/>
      <c r="F26" s="159">
        <f>'Salt Lake JC -21'!C13</f>
        <v>2493684.366</v>
      </c>
      <c r="G26" s="160">
        <f t="shared" si="10"/>
        <v>0.1105945041</v>
      </c>
      <c r="H26" s="159">
        <f t="shared" si="11"/>
        <v>523889.3561</v>
      </c>
      <c r="I26" s="162"/>
      <c r="J26" s="159">
        <f>'Salt Lake JC -21'!D13</f>
        <v>2358955.584</v>
      </c>
      <c r="K26" s="160">
        <f t="shared" si="12"/>
        <v>0.1088651481</v>
      </c>
      <c r="L26" s="159">
        <f t="shared" si="13"/>
        <v>516870.3368</v>
      </c>
      <c r="M26" s="162"/>
      <c r="N26" s="159">
        <f>'Salt Lake JC -21'!E13</f>
        <v>2441746.229</v>
      </c>
      <c r="O26" s="160">
        <f t="shared" si="14"/>
        <v>0.1101060565</v>
      </c>
      <c r="P26" s="159">
        <f t="shared" si="15"/>
        <v>534113.6139</v>
      </c>
    </row>
    <row r="27">
      <c r="A27" s="133" t="s">
        <v>159</v>
      </c>
      <c r="B27" s="159">
        <f>'Forum Mall'!B13</f>
        <v>646989.41</v>
      </c>
      <c r="C27" s="160">
        <f t="shared" si="8"/>
        <v>0.03181039764</v>
      </c>
      <c r="D27" s="161">
        <f t="shared" si="9"/>
        <v>143649.6639</v>
      </c>
      <c r="E27" s="162"/>
      <c r="F27" s="159">
        <f>'Forum Mall'!C13</f>
        <v>714949.64</v>
      </c>
      <c r="G27" s="160">
        <f t="shared" si="10"/>
        <v>0.03170790256</v>
      </c>
      <c r="H27" s="159">
        <f t="shared" si="11"/>
        <v>150201.2491</v>
      </c>
      <c r="I27" s="162"/>
      <c r="J27" s="159">
        <f>'Forum Mall'!D13</f>
        <v>805796.68</v>
      </c>
      <c r="K27" s="160">
        <f t="shared" si="12"/>
        <v>0.03718729402</v>
      </c>
      <c r="L27" s="159">
        <f t="shared" si="13"/>
        <v>176557.9667</v>
      </c>
      <c r="M27" s="162"/>
      <c r="N27" s="159">
        <f>'Forum Mall'!E13</f>
        <v>719156.82</v>
      </c>
      <c r="O27" s="160">
        <f t="shared" si="14"/>
        <v>0.03242905448</v>
      </c>
      <c r="P27" s="159">
        <f t="shared" si="15"/>
        <v>157310.1428</v>
      </c>
    </row>
    <row r="28">
      <c r="A28" s="133" t="s">
        <v>117</v>
      </c>
      <c r="B28" s="159">
        <f>'Lake Town'!B13</f>
        <v>1175952.363</v>
      </c>
      <c r="C28" s="160">
        <f t="shared" si="8"/>
        <v>0.05781781231</v>
      </c>
      <c r="D28" s="161">
        <f t="shared" si="9"/>
        <v>261094.1681</v>
      </c>
      <c r="E28" s="162"/>
      <c r="F28" s="159">
        <f>'Lake Town'!C13</f>
        <v>1274898.835</v>
      </c>
      <c r="G28" s="160">
        <f t="shared" si="10"/>
        <v>0.05654156008</v>
      </c>
      <c r="H28" s="159">
        <f t="shared" si="11"/>
        <v>267839.0011</v>
      </c>
      <c r="I28" s="162"/>
      <c r="J28" s="159">
        <f>'Lake Town'!D13</f>
        <v>1210362.816</v>
      </c>
      <c r="K28" s="160">
        <f t="shared" si="12"/>
        <v>0.05585790934</v>
      </c>
      <c r="L28" s="159">
        <f t="shared" si="13"/>
        <v>265202.3804</v>
      </c>
      <c r="M28" s="162"/>
      <c r="N28" s="159">
        <f>'Lake Town'!E13</f>
        <v>1211291.984</v>
      </c>
      <c r="O28" s="160">
        <f t="shared" si="14"/>
        <v>0.05462098482</v>
      </c>
      <c r="P28" s="159">
        <f t="shared" si="15"/>
        <v>264961.0068</v>
      </c>
    </row>
    <row r="29">
      <c r="A29" s="133" t="s">
        <v>120</v>
      </c>
      <c r="B29" s="159">
        <f>'Quest Mall'!B13</f>
        <v>812876.2</v>
      </c>
      <c r="C29" s="160">
        <f t="shared" si="8"/>
        <v>0.03996651993</v>
      </c>
      <c r="D29" s="161">
        <f t="shared" si="9"/>
        <v>180481.1503</v>
      </c>
      <c r="E29" s="162"/>
      <c r="F29" s="159">
        <f>'Quest Mall'!C13</f>
        <v>886185.85</v>
      </c>
      <c r="G29" s="160">
        <f t="shared" si="10"/>
        <v>0.03930220117</v>
      </c>
      <c r="H29" s="159">
        <f t="shared" si="11"/>
        <v>186175.6607</v>
      </c>
      <c r="I29" s="162"/>
      <c r="J29" s="159">
        <f>'Quest Mall'!D13</f>
        <v>1031212.73</v>
      </c>
      <c r="K29" s="160">
        <f t="shared" si="12"/>
        <v>0.04759018241</v>
      </c>
      <c r="L29" s="159">
        <f t="shared" si="13"/>
        <v>225948.8371</v>
      </c>
      <c r="M29" s="162"/>
      <c r="N29" s="159">
        <f>'Quest Mall'!E13</f>
        <v>1119835.82</v>
      </c>
      <c r="O29" s="160">
        <f t="shared" si="14"/>
        <v>0.05049693725</v>
      </c>
      <c r="P29" s="159">
        <f t="shared" si="15"/>
        <v>244955.6591</v>
      </c>
    </row>
    <row r="30">
      <c r="A30" s="133" t="s">
        <v>109</v>
      </c>
      <c r="B30" s="159">
        <f>'Rosedale Plaza'!B13</f>
        <v>1811589.229</v>
      </c>
      <c r="C30" s="160">
        <f t="shared" si="8"/>
        <v>0.08907004168</v>
      </c>
      <c r="D30" s="161">
        <f t="shared" si="9"/>
        <v>402223.251</v>
      </c>
      <c r="E30" s="162"/>
      <c r="F30" s="159">
        <f>'Rosedale Plaza'!C13</f>
        <v>1947856.873</v>
      </c>
      <c r="G30" s="160">
        <f t="shared" si="10"/>
        <v>0.08638714178</v>
      </c>
      <c r="H30" s="159">
        <f t="shared" si="11"/>
        <v>409218.3826</v>
      </c>
      <c r="I30" s="162"/>
      <c r="J30" s="159">
        <f>'Rosedale Plaza'!D13</f>
        <v>1849744.603</v>
      </c>
      <c r="K30" s="160">
        <f t="shared" si="12"/>
        <v>0.08536520206</v>
      </c>
      <c r="L30" s="159">
        <f t="shared" si="13"/>
        <v>405297.2097</v>
      </c>
      <c r="M30" s="162"/>
      <c r="N30" s="159">
        <f>'Rosedale Plaza'!E13</f>
        <v>1903018.446</v>
      </c>
      <c r="O30" s="160">
        <f t="shared" si="14"/>
        <v>0.0858131177</v>
      </c>
      <c r="P30" s="159">
        <f t="shared" si="15"/>
        <v>416270.9651</v>
      </c>
    </row>
    <row r="31">
      <c r="A31" s="133" t="s">
        <v>171</v>
      </c>
      <c r="B31" s="159">
        <f>'Mani Square Mall'!B13</f>
        <v>1151242.286</v>
      </c>
      <c r="C31" s="160">
        <f t="shared" si="8"/>
        <v>0.05660289695</v>
      </c>
      <c r="D31" s="161">
        <f t="shared" si="9"/>
        <v>255607.843</v>
      </c>
      <c r="E31" s="162"/>
      <c r="F31" s="159">
        <f>'Mani Square Mall'!C13</f>
        <v>1360887.651</v>
      </c>
      <c r="G31" s="160">
        <f t="shared" si="10"/>
        <v>0.06035515039</v>
      </c>
      <c r="H31" s="159">
        <f t="shared" si="11"/>
        <v>285904.0884</v>
      </c>
      <c r="I31" s="162"/>
      <c r="J31" s="159">
        <f>'Mani Square Mall'!D13</f>
        <v>1313807.016</v>
      </c>
      <c r="K31" s="160">
        <f t="shared" si="12"/>
        <v>0.06063183057</v>
      </c>
      <c r="L31" s="159">
        <f t="shared" si="13"/>
        <v>287868.0206</v>
      </c>
      <c r="M31" s="162"/>
      <c r="N31" s="159">
        <f>'Mani Square Mall'!E13</f>
        <v>1430090.873</v>
      </c>
      <c r="O31" s="160">
        <f t="shared" si="14"/>
        <v>0.0644873184</v>
      </c>
      <c r="P31" s="159">
        <f t="shared" si="15"/>
        <v>312821.6173</v>
      </c>
    </row>
    <row r="32">
      <c r="A32" s="133" t="s">
        <v>172</v>
      </c>
      <c r="B32" s="159">
        <f>'Forum Rangoli'!B13</f>
        <v>1056810.775</v>
      </c>
      <c r="C32" s="160">
        <f t="shared" si="8"/>
        <v>0.0519600019</v>
      </c>
      <c r="D32" s="161">
        <f t="shared" si="9"/>
        <v>234641.4181</v>
      </c>
      <c r="E32" s="162"/>
      <c r="F32" s="159">
        <f>'Forum Rangoli'!C13</f>
        <v>1341259.548</v>
      </c>
      <c r="G32" s="160">
        <f t="shared" si="10"/>
        <v>0.05948464712</v>
      </c>
      <c r="H32" s="159">
        <f t="shared" si="11"/>
        <v>281780.4893</v>
      </c>
      <c r="I32" s="162"/>
      <c r="J32" s="159">
        <f>'Forum Rangoli'!D13</f>
        <v>1166852.993</v>
      </c>
      <c r="K32" s="160">
        <f t="shared" si="12"/>
        <v>0.05384994305</v>
      </c>
      <c r="L32" s="159">
        <f t="shared" si="13"/>
        <v>255668.9509</v>
      </c>
      <c r="M32" s="162"/>
      <c r="N32" s="159">
        <f>'Forum Rangoli'!E13</f>
        <v>1093468.378</v>
      </c>
      <c r="O32" s="160">
        <f t="shared" si="14"/>
        <v>0.04930794592</v>
      </c>
      <c r="P32" s="159">
        <f t="shared" si="15"/>
        <v>239187.9794</v>
      </c>
    </row>
    <row r="33">
      <c r="A33" s="133" t="s">
        <v>108</v>
      </c>
      <c r="B33" s="159">
        <f>CSC!B13</f>
        <v>100225.27</v>
      </c>
      <c r="C33" s="160">
        <f t="shared" si="8"/>
        <v>0.004927755606</v>
      </c>
      <c r="D33" s="161">
        <f t="shared" si="9"/>
        <v>22252.80063</v>
      </c>
      <c r="E33" s="162"/>
      <c r="F33" s="159">
        <f>CSC!C13</f>
        <v>125499.4</v>
      </c>
      <c r="G33" s="160">
        <f t="shared" si="10"/>
        <v>0.005565878383</v>
      </c>
      <c r="H33" s="159">
        <f t="shared" si="11"/>
        <v>26365.72646</v>
      </c>
      <c r="I33" s="162"/>
      <c r="J33" s="159">
        <f>CSC!D13</f>
        <v>161860</v>
      </c>
      <c r="K33" s="160">
        <f t="shared" si="12"/>
        <v>0.007469794253</v>
      </c>
      <c r="L33" s="159">
        <f t="shared" si="13"/>
        <v>35465.1157</v>
      </c>
      <c r="M33" s="162"/>
      <c r="N33" s="159">
        <f>CSC!E13</f>
        <v>129663.74</v>
      </c>
      <c r="O33" s="160">
        <f t="shared" si="14"/>
        <v>0.005846947941</v>
      </c>
      <c r="P33" s="159">
        <f t="shared" si="15"/>
        <v>28362.96743</v>
      </c>
    </row>
    <row r="34">
      <c r="A34" s="133" t="s">
        <v>115</v>
      </c>
      <c r="B34" s="159">
        <f>Jameslong!B13</f>
        <v>1206841.186</v>
      </c>
      <c r="C34" s="160">
        <f t="shared" si="8"/>
        <v>0.05933651683</v>
      </c>
      <c r="D34" s="161">
        <f t="shared" si="9"/>
        <v>267952.3469</v>
      </c>
      <c r="E34" s="162"/>
      <c r="F34" s="159">
        <f>Jameslong!C13</f>
        <v>1377279.883</v>
      </c>
      <c r="G34" s="160">
        <f t="shared" si="10"/>
        <v>0.06108214323</v>
      </c>
      <c r="H34" s="159">
        <f t="shared" si="11"/>
        <v>289347.8745</v>
      </c>
      <c r="I34" s="162"/>
      <c r="J34" s="159">
        <f>Jameslong!D13</f>
        <v>1342851.685</v>
      </c>
      <c r="K34" s="160">
        <f t="shared" si="12"/>
        <v>0.06197223404</v>
      </c>
      <c r="L34" s="159">
        <f t="shared" si="13"/>
        <v>294231.993</v>
      </c>
      <c r="M34" s="162"/>
      <c r="N34" s="159">
        <f>Jameslong!E13</f>
        <v>1428893.311</v>
      </c>
      <c r="O34" s="160">
        <f t="shared" si="14"/>
        <v>0.06443331656</v>
      </c>
      <c r="P34" s="159">
        <f t="shared" si="15"/>
        <v>312559.6597</v>
      </c>
    </row>
    <row r="35">
      <c r="A35" s="133" t="s">
        <v>123</v>
      </c>
      <c r="B35" s="159">
        <f>Technopolis!B13</f>
        <v>66928.33</v>
      </c>
      <c r="C35" s="160">
        <f t="shared" si="8"/>
        <v>0.003290651682</v>
      </c>
      <c r="D35" s="161">
        <f t="shared" si="9"/>
        <v>14859.95283</v>
      </c>
      <c r="E35" s="162"/>
      <c r="F35" s="159">
        <f>Technopolis!C13</f>
        <v>60107.25</v>
      </c>
      <c r="G35" s="160">
        <f t="shared" si="10"/>
        <v>0.002665746955</v>
      </c>
      <c r="H35" s="159">
        <f t="shared" si="11"/>
        <v>12627.72022</v>
      </c>
      <c r="I35" s="162"/>
      <c r="J35" s="159">
        <f>Technopolis!D13</f>
        <v>71847.78</v>
      </c>
      <c r="K35" s="160">
        <f t="shared" si="12"/>
        <v>0.003315755184</v>
      </c>
      <c r="L35" s="159">
        <f t="shared" si="13"/>
        <v>15742.55425</v>
      </c>
      <c r="M35" s="162"/>
      <c r="N35" s="169">
        <f>Technopolis!E13</f>
        <v>84255.87</v>
      </c>
      <c r="O35" s="160">
        <f t="shared" si="14"/>
        <v>0.003799363535</v>
      </c>
      <c r="P35" s="159">
        <f t="shared" si="15"/>
        <v>18430.33755</v>
      </c>
    </row>
    <row r="36">
      <c r="A36" s="133" t="s">
        <v>110</v>
      </c>
      <c r="B36" s="159">
        <f>Santoshpur!B13</f>
        <v>1086414.786</v>
      </c>
      <c r="C36" s="160">
        <f t="shared" si="8"/>
        <v>0.05341553632</v>
      </c>
      <c r="D36" s="161">
        <f t="shared" si="9"/>
        <v>241214.3328</v>
      </c>
      <c r="E36" s="162"/>
      <c r="F36" s="159">
        <f>Santoshpur!C13</f>
        <v>1126730.577</v>
      </c>
      <c r="G36" s="160">
        <f t="shared" si="10"/>
        <v>0.04997032147</v>
      </c>
      <c r="H36" s="159">
        <f t="shared" si="11"/>
        <v>236710.8543</v>
      </c>
      <c r="I36" s="162"/>
      <c r="J36" s="159">
        <f>Santoshpur!D13</f>
        <v>1081536.415</v>
      </c>
      <c r="K36" s="160">
        <f t="shared" si="12"/>
        <v>0.04991260657</v>
      </c>
      <c r="L36" s="159">
        <f t="shared" si="13"/>
        <v>236975.2508</v>
      </c>
      <c r="M36" s="162"/>
      <c r="N36" s="159">
        <f>Santoshpur!E13</f>
        <v>1127720.968</v>
      </c>
      <c r="O36" s="160">
        <f t="shared" si="14"/>
        <v>0.05085250351</v>
      </c>
      <c r="P36" s="159">
        <f t="shared" si="15"/>
        <v>246680.4759</v>
      </c>
    </row>
    <row r="37">
      <c r="A37" s="133" t="s">
        <v>185</v>
      </c>
      <c r="B37" s="159">
        <f>'Chinar Park'!B13</f>
        <v>619326.3092</v>
      </c>
      <c r="C37" s="160">
        <f t="shared" si="8"/>
        <v>0.03045029155</v>
      </c>
      <c r="D37" s="161">
        <f t="shared" si="9"/>
        <v>137507.6853</v>
      </c>
      <c r="E37" s="162"/>
      <c r="F37" s="159">
        <f>'Chinar Park'!C13</f>
        <v>679892.1008</v>
      </c>
      <c r="G37" s="160">
        <f t="shared" si="10"/>
        <v>0.03015310628</v>
      </c>
      <c r="H37" s="159">
        <f t="shared" si="11"/>
        <v>142836.1343</v>
      </c>
      <c r="I37" s="162"/>
      <c r="J37" s="159">
        <f>'Chinar Park'!D13</f>
        <v>643481.645</v>
      </c>
      <c r="K37" s="160">
        <f t="shared" si="12"/>
        <v>0.02969650002</v>
      </c>
      <c r="L37" s="159">
        <f t="shared" si="13"/>
        <v>140993.1483</v>
      </c>
      <c r="M37" s="162"/>
      <c r="N37" s="159">
        <f>'Chinar Park'!E13</f>
        <v>667792.11</v>
      </c>
      <c r="O37" s="160">
        <f t="shared" si="14"/>
        <v>0.03011285732</v>
      </c>
      <c r="P37" s="159">
        <f t="shared" si="15"/>
        <v>146074.499</v>
      </c>
    </row>
    <row r="38">
      <c r="A38" s="175" t="s">
        <v>112</v>
      </c>
      <c r="B38" s="159">
        <f>'Sector 1'!B13</f>
        <v>2321462.008</v>
      </c>
      <c r="C38" s="160">
        <f t="shared" si="8"/>
        <v>0.1141388536</v>
      </c>
      <c r="D38" s="161">
        <f t="shared" si="9"/>
        <v>515429.2051</v>
      </c>
      <c r="E38" s="162"/>
      <c r="F38" s="159">
        <f>'Sector 1'!C13</f>
        <v>2542443.449</v>
      </c>
      <c r="G38" s="160">
        <f t="shared" si="10"/>
        <v>0.1127569616</v>
      </c>
      <c r="H38" s="159">
        <f t="shared" si="11"/>
        <v>534132.9799</v>
      </c>
      <c r="I38" s="162"/>
      <c r="J38" s="159">
        <f>'Sector 1'!D13</f>
        <v>2373679.648</v>
      </c>
      <c r="K38" s="160">
        <f t="shared" si="12"/>
        <v>0.1095446595</v>
      </c>
      <c r="L38" s="159">
        <f t="shared" si="13"/>
        <v>520096.5237</v>
      </c>
      <c r="M38" s="162"/>
      <c r="N38" s="159">
        <f>'Sector 1'!E13</f>
        <v>2434078.783</v>
      </c>
      <c r="O38" s="160">
        <f t="shared" si="14"/>
        <v>0.1097603072</v>
      </c>
      <c r="P38" s="159">
        <f t="shared" si="15"/>
        <v>532436.4178</v>
      </c>
    </row>
    <row r="39">
      <c r="A39" s="175" t="s">
        <v>118</v>
      </c>
      <c r="B39" s="159">
        <f>'Lake Road'!B13</f>
        <v>2064429.392</v>
      </c>
      <c r="C39" s="160">
        <f t="shared" si="8"/>
        <v>0.1015013829</v>
      </c>
      <c r="D39" s="161">
        <f t="shared" si="9"/>
        <v>458360.8074</v>
      </c>
      <c r="E39" s="162"/>
      <c r="F39" s="159">
        <f>'Lake Road'!C13</f>
        <v>2254440.909</v>
      </c>
      <c r="G39" s="160">
        <f t="shared" si="10"/>
        <v>0.0999840949</v>
      </c>
      <c r="H39" s="159">
        <f t="shared" si="11"/>
        <v>473627.5418</v>
      </c>
      <c r="I39" s="162"/>
      <c r="J39" s="159">
        <f>'Lake Road'!D13</f>
        <v>2193356.263</v>
      </c>
      <c r="K39" s="160">
        <f t="shared" si="12"/>
        <v>0.1012227852</v>
      </c>
      <c r="L39" s="159">
        <f t="shared" si="13"/>
        <v>480585.8992</v>
      </c>
      <c r="M39" s="162"/>
      <c r="N39" s="159">
        <f>'Lake Road'!E13</f>
        <v>2128990.63</v>
      </c>
      <c r="O39" s="160">
        <f t="shared" si="14"/>
        <v>0.09600291787</v>
      </c>
      <c r="P39" s="159">
        <f t="shared" si="15"/>
        <v>465700.6801</v>
      </c>
    </row>
    <row r="40">
      <c r="A40" s="175" t="s">
        <v>111</v>
      </c>
      <c r="B40" s="159">
        <f>Kalikapur!B13</f>
        <v>1168727.333</v>
      </c>
      <c r="C40" s="160">
        <f t="shared" si="8"/>
        <v>0.05746258069</v>
      </c>
      <c r="D40" s="161">
        <f t="shared" si="9"/>
        <v>259490.0101</v>
      </c>
      <c r="E40" s="162"/>
      <c r="F40" s="159">
        <f>Kalikapur!C13</f>
        <v>1261717.732</v>
      </c>
      <c r="G40" s="160">
        <f t="shared" si="10"/>
        <v>0.05595698028</v>
      </c>
      <c r="H40" s="159">
        <f t="shared" si="11"/>
        <v>265069.8298</v>
      </c>
      <c r="I40" s="162"/>
      <c r="J40" s="159">
        <f>Kalikapur!D13</f>
        <v>1193378.319</v>
      </c>
      <c r="K40" s="160">
        <f t="shared" si="12"/>
        <v>0.05507407951</v>
      </c>
      <c r="L40" s="159">
        <f t="shared" si="13"/>
        <v>261480.9104</v>
      </c>
      <c r="M40" s="162"/>
      <c r="N40" s="159">
        <f>Kalikapur!E13</f>
        <v>1189684.113</v>
      </c>
      <c r="O40" s="160">
        <f t="shared" si="14"/>
        <v>0.05364661757</v>
      </c>
      <c r="P40" s="159">
        <f t="shared" si="15"/>
        <v>260234.4475</v>
      </c>
    </row>
    <row r="41">
      <c r="A41" s="175" t="s">
        <v>177</v>
      </c>
      <c r="B41" s="159">
        <f>'Event Sales'!B13</f>
        <v>49999.25</v>
      </c>
      <c r="C41" s="160">
        <f t="shared" si="8"/>
        <v>0.002458303025</v>
      </c>
      <c r="D41" s="161">
        <f t="shared" si="9"/>
        <v>11101.22569</v>
      </c>
      <c r="E41" s="162"/>
      <c r="F41" s="159">
        <f>'Event Sales'!C13</f>
        <v>33600</v>
      </c>
      <c r="G41" s="160">
        <f t="shared" si="10"/>
        <v>0.001490154643</v>
      </c>
      <c r="H41" s="159">
        <f t="shared" si="11"/>
        <v>7058.905532</v>
      </c>
      <c r="I41" s="162"/>
      <c r="J41" s="159">
        <f>'Event Sales'!D13</f>
        <v>126940</v>
      </c>
      <c r="K41" s="160">
        <f t="shared" si="12"/>
        <v>0.005858245907</v>
      </c>
      <c r="L41" s="159">
        <f t="shared" si="13"/>
        <v>27813.80073</v>
      </c>
      <c r="M41" s="162"/>
      <c r="N41" s="159">
        <f>'Event Sales'!E13</f>
        <v>136542.7</v>
      </c>
      <c r="O41" s="160">
        <f t="shared" si="14"/>
        <v>0.006157141994</v>
      </c>
      <c r="P41" s="159">
        <f t="shared" si="15"/>
        <v>29867.68816</v>
      </c>
    </row>
    <row r="42">
      <c r="A42" s="162"/>
      <c r="B42" s="192">
        <f t="shared" ref="B42:D42" si="16">sum(B25:B41)</f>
        <v>20338928.72</v>
      </c>
      <c r="C42" s="192">
        <f t="shared" si="16"/>
        <v>1</v>
      </c>
      <c r="D42" s="192">
        <f t="shared" si="16"/>
        <v>4515808.497</v>
      </c>
      <c r="E42" s="162"/>
      <c r="F42" s="192">
        <f t="shared" ref="F42:H42" si="17">sum(F25:F41)</f>
        <v>22547995.37</v>
      </c>
      <c r="G42" s="192">
        <f t="shared" si="17"/>
        <v>1</v>
      </c>
      <c r="H42" s="192">
        <f t="shared" si="17"/>
        <v>4737028.847</v>
      </c>
      <c r="I42" s="162"/>
      <c r="J42" s="192">
        <f t="shared" ref="J42:L42" si="18">sum(J25:J41)</f>
        <v>21668602.17</v>
      </c>
      <c r="K42" s="192">
        <f t="shared" si="18"/>
        <v>1</v>
      </c>
      <c r="L42" s="192">
        <f t="shared" si="18"/>
        <v>4747803.553</v>
      </c>
      <c r="M42" s="162"/>
      <c r="N42" s="192">
        <f>sum(N25:N41)</f>
        <v>22176311.69</v>
      </c>
      <c r="O42" s="162"/>
      <c r="P42" s="196">
        <f>sum(P25:P41)</f>
        <v>4850901.31</v>
      </c>
    </row>
    <row r="43">
      <c r="A43" s="157"/>
      <c r="B43" s="127" t="s">
        <v>190</v>
      </c>
      <c r="C43" s="38" t="s">
        <v>134</v>
      </c>
      <c r="D43" s="38" t="s">
        <v>135</v>
      </c>
      <c r="E43" s="162"/>
      <c r="F43" s="127" t="s">
        <v>191</v>
      </c>
      <c r="G43" s="38" t="s">
        <v>134</v>
      </c>
      <c r="H43" s="38" t="s">
        <v>135</v>
      </c>
      <c r="I43" s="162"/>
      <c r="J43" s="127" t="s">
        <v>192</v>
      </c>
      <c r="K43" s="38" t="s">
        <v>134</v>
      </c>
      <c r="L43" s="38" t="s">
        <v>135</v>
      </c>
      <c r="M43" s="162"/>
      <c r="N43" s="127" t="s">
        <v>193</v>
      </c>
      <c r="O43" s="38" t="s">
        <v>134</v>
      </c>
      <c r="P43" s="38" t="s">
        <v>135</v>
      </c>
    </row>
    <row r="44">
      <c r="A44" s="133" t="s">
        <v>107</v>
      </c>
      <c r="B44" s="159">
        <f>'Ideal Plaza'!F13</f>
        <v>3223537.085</v>
      </c>
      <c r="C44" s="160">
        <f t="shared" ref="C44:C60" si="19">B44/$B$61</f>
        <v>0.1335229288</v>
      </c>
      <c r="D44" s="159">
        <f t="shared" ref="D44:D60" si="20">C44*$F$22</f>
        <v>640002.3663</v>
      </c>
      <c r="E44" s="162"/>
      <c r="F44" s="159">
        <f>'Ideal Plaza'!G13</f>
        <v>2958334.531</v>
      </c>
      <c r="G44" s="160">
        <f t="shared" ref="G44:G60" si="21">F44/$F$61</f>
        <v>0.1332929987</v>
      </c>
      <c r="H44" s="159">
        <f t="shared" ref="H44:H60" si="22">G44*$G$22</f>
        <v>662808.9178</v>
      </c>
      <c r="I44" s="162"/>
      <c r="J44" s="159">
        <f>'Ideal Plaza'!H13</f>
        <v>0</v>
      </c>
      <c r="K44" s="160" t="str">
        <f t="shared" ref="K44:K60" si="23">J44/$J$61</f>
        <v>#DIV/0!</v>
      </c>
      <c r="L44" s="159" t="str">
        <f t="shared" ref="L44:L60" si="24">K44*$H$22</f>
        <v>#DIV/0!</v>
      </c>
      <c r="M44" s="162"/>
      <c r="N44" s="159">
        <f>'Ideal Plaza'!I13</f>
        <v>0</v>
      </c>
      <c r="O44" s="160" t="str">
        <f t="shared" ref="O44:O60" si="25">N44/$N$61</f>
        <v>#DIV/0!</v>
      </c>
      <c r="P44" s="159" t="str">
        <f t="shared" ref="P44:P60" si="26">O44*$I$22</f>
        <v>#DIV/0!</v>
      </c>
    </row>
    <row r="45">
      <c r="A45" s="133" t="s">
        <v>152</v>
      </c>
      <c r="B45" s="159">
        <f>'Salt Lake JC -21'!F13</f>
        <v>2622002.618</v>
      </c>
      <c r="C45" s="160">
        <f t="shared" si="19"/>
        <v>0.1086066205</v>
      </c>
      <c r="D45" s="159">
        <f t="shared" si="20"/>
        <v>520573.468</v>
      </c>
      <c r="E45" s="162"/>
      <c r="F45" s="159">
        <f>'Salt Lake JC -21'!G13</f>
        <v>2429395.402</v>
      </c>
      <c r="G45" s="160">
        <f t="shared" si="21"/>
        <v>0.10946071</v>
      </c>
      <c r="H45" s="159">
        <f t="shared" si="22"/>
        <v>544301.167</v>
      </c>
      <c r="I45" s="162"/>
      <c r="J45" s="159">
        <f>'Salt Lake JC -21'!H13</f>
        <v>0</v>
      </c>
      <c r="K45" s="160" t="str">
        <f t="shared" si="23"/>
        <v>#DIV/0!</v>
      </c>
      <c r="L45" s="159" t="str">
        <f t="shared" si="24"/>
        <v>#DIV/0!</v>
      </c>
      <c r="M45" s="162"/>
      <c r="N45" s="159">
        <f>'Salt Lake JC -21'!I13</f>
        <v>0</v>
      </c>
      <c r="O45" s="160" t="str">
        <f t="shared" si="25"/>
        <v>#DIV/0!</v>
      </c>
      <c r="P45" s="159" t="str">
        <f t="shared" si="26"/>
        <v>#DIV/0!</v>
      </c>
    </row>
    <row r="46">
      <c r="A46" s="133" t="s">
        <v>159</v>
      </c>
      <c r="B46" s="159">
        <f>'Forum Mall'!F13</f>
        <v>690888.59</v>
      </c>
      <c r="C46" s="160">
        <f t="shared" si="19"/>
        <v>0.02861746758</v>
      </c>
      <c r="D46" s="159">
        <f t="shared" si="20"/>
        <v>137169.3021</v>
      </c>
      <c r="E46" s="162"/>
      <c r="F46" s="159">
        <f>'Forum Mall'!G13</f>
        <v>738345.92</v>
      </c>
      <c r="G46" s="160">
        <f t="shared" si="21"/>
        <v>0.03326748235</v>
      </c>
      <c r="H46" s="159">
        <f t="shared" si="22"/>
        <v>165424.9224</v>
      </c>
      <c r="I46" s="162"/>
      <c r="J46" s="159">
        <f>'Forum Mall'!H13</f>
        <v>0</v>
      </c>
      <c r="K46" s="160" t="str">
        <f t="shared" si="23"/>
        <v>#DIV/0!</v>
      </c>
      <c r="L46" s="159" t="str">
        <f t="shared" si="24"/>
        <v>#DIV/0!</v>
      </c>
      <c r="M46" s="162"/>
      <c r="N46" s="159">
        <f>'Forum Mall'!I13</f>
        <v>0</v>
      </c>
      <c r="O46" s="160" t="str">
        <f t="shared" si="25"/>
        <v>#DIV/0!</v>
      </c>
      <c r="P46" s="159" t="str">
        <f t="shared" si="26"/>
        <v>#DIV/0!</v>
      </c>
    </row>
    <row r="47">
      <c r="A47" s="133" t="s">
        <v>117</v>
      </c>
      <c r="B47" s="159">
        <f>'Lake Town'!F13</f>
        <v>1302384.666</v>
      </c>
      <c r="C47" s="160">
        <f t="shared" si="19"/>
        <v>0.05394639815</v>
      </c>
      <c r="D47" s="159">
        <f t="shared" si="20"/>
        <v>258575.9823</v>
      </c>
      <c r="E47" s="162"/>
      <c r="F47" s="159">
        <f>'Lake Town'!G13</f>
        <v>1227785.137</v>
      </c>
      <c r="G47" s="160">
        <f t="shared" si="21"/>
        <v>0.05532003262</v>
      </c>
      <c r="H47" s="159">
        <f t="shared" si="22"/>
        <v>275082.7973</v>
      </c>
      <c r="I47" s="162"/>
      <c r="J47" s="159">
        <f>'Lake Town'!H13</f>
        <v>0</v>
      </c>
      <c r="K47" s="160" t="str">
        <f t="shared" si="23"/>
        <v>#DIV/0!</v>
      </c>
      <c r="L47" s="159" t="str">
        <f t="shared" si="24"/>
        <v>#DIV/0!</v>
      </c>
      <c r="M47" s="162"/>
      <c r="N47" s="159">
        <f>'Lake Town'!I13</f>
        <v>0</v>
      </c>
      <c r="O47" s="160" t="str">
        <f t="shared" si="25"/>
        <v>#DIV/0!</v>
      </c>
      <c r="P47" s="159" t="str">
        <f t="shared" si="26"/>
        <v>#DIV/0!</v>
      </c>
    </row>
    <row r="48">
      <c r="A48" s="133" t="s">
        <v>120</v>
      </c>
      <c r="B48" s="159">
        <f>'Quest Mall'!F13</f>
        <v>1230446.98</v>
      </c>
      <c r="C48" s="160">
        <f t="shared" si="19"/>
        <v>0.05096664942</v>
      </c>
      <c r="D48" s="159">
        <f t="shared" si="20"/>
        <v>244293.4447</v>
      </c>
      <c r="E48" s="162"/>
      <c r="F48" s="159">
        <f>'Quest Mall'!G13</f>
        <v>1014168.4</v>
      </c>
      <c r="G48" s="160">
        <f t="shared" si="21"/>
        <v>0.04569515241</v>
      </c>
      <c r="H48" s="159">
        <f t="shared" si="22"/>
        <v>227222.3958</v>
      </c>
      <c r="I48" s="162"/>
      <c r="J48" s="159">
        <f>'Quest Mall'!H13</f>
        <v>0</v>
      </c>
      <c r="K48" s="160" t="str">
        <f t="shared" si="23"/>
        <v>#DIV/0!</v>
      </c>
      <c r="L48" s="159" t="str">
        <f t="shared" si="24"/>
        <v>#DIV/0!</v>
      </c>
      <c r="M48" s="162"/>
      <c r="N48" s="159">
        <f>'Quest Mall'!I13</f>
        <v>0</v>
      </c>
      <c r="O48" s="160" t="str">
        <f t="shared" si="25"/>
        <v>#DIV/0!</v>
      </c>
      <c r="P48" s="159" t="str">
        <f t="shared" si="26"/>
        <v>#DIV/0!</v>
      </c>
    </row>
    <row r="49">
      <c r="A49" s="133" t="s">
        <v>109</v>
      </c>
      <c r="B49" s="159">
        <f>'Rosedale Plaza'!F13</f>
        <v>2082208.112</v>
      </c>
      <c r="C49" s="160">
        <f t="shared" si="19"/>
        <v>0.08624765844</v>
      </c>
      <c r="D49" s="159">
        <f t="shared" si="20"/>
        <v>413402.4469</v>
      </c>
      <c r="E49" s="162"/>
      <c r="F49" s="159">
        <f>'Rosedale Plaza'!G13</f>
        <v>1809787.775</v>
      </c>
      <c r="G49" s="160">
        <f t="shared" si="21"/>
        <v>0.08154319164</v>
      </c>
      <c r="H49" s="159">
        <f t="shared" si="22"/>
        <v>405479.3209</v>
      </c>
      <c r="I49" s="162"/>
      <c r="J49" s="159">
        <f>'Rosedale Plaza'!H13</f>
        <v>0</v>
      </c>
      <c r="K49" s="160" t="str">
        <f t="shared" si="23"/>
        <v>#DIV/0!</v>
      </c>
      <c r="L49" s="159" t="str">
        <f t="shared" si="24"/>
        <v>#DIV/0!</v>
      </c>
      <c r="M49" s="162"/>
      <c r="N49" s="159">
        <f>'Rosedale Plaza'!I13</f>
        <v>0</v>
      </c>
      <c r="O49" s="160" t="str">
        <f t="shared" si="25"/>
        <v>#DIV/0!</v>
      </c>
      <c r="P49" s="159" t="str">
        <f t="shared" si="26"/>
        <v>#DIV/0!</v>
      </c>
    </row>
    <row r="50">
      <c r="A50" s="133" t="s">
        <v>171</v>
      </c>
      <c r="B50" s="159">
        <f>'Mani Square Mall'!F13</f>
        <v>1618954.6</v>
      </c>
      <c r="C50" s="160">
        <f t="shared" si="19"/>
        <v>0.06705911987</v>
      </c>
      <c r="D50" s="159">
        <f t="shared" si="20"/>
        <v>321427.9059</v>
      </c>
      <c r="E50" s="162"/>
      <c r="F50" s="159">
        <f>'Mani Square Mall'!G13</f>
        <v>1615568.227</v>
      </c>
      <c r="G50" s="160">
        <f t="shared" si="21"/>
        <v>0.07279228615</v>
      </c>
      <c r="H50" s="159">
        <f t="shared" si="22"/>
        <v>361964.8208</v>
      </c>
      <c r="I50" s="162"/>
      <c r="J50" s="159">
        <f>'Mani Square Mall'!H13</f>
        <v>0</v>
      </c>
      <c r="K50" s="160" t="str">
        <f t="shared" si="23"/>
        <v>#DIV/0!</v>
      </c>
      <c r="L50" s="159" t="str">
        <f t="shared" si="24"/>
        <v>#DIV/0!</v>
      </c>
      <c r="M50" s="162"/>
      <c r="N50" s="159">
        <f>'Mani Square Mall'!I13</f>
        <v>0</v>
      </c>
      <c r="O50" s="160" t="str">
        <f t="shared" si="25"/>
        <v>#DIV/0!</v>
      </c>
      <c r="P50" s="159" t="str">
        <f t="shared" si="26"/>
        <v>#DIV/0!</v>
      </c>
    </row>
    <row r="51">
      <c r="A51" s="133" t="s">
        <v>172</v>
      </c>
      <c r="B51" s="159">
        <f>'Forum Rangoli'!F13</f>
        <v>1332631.531</v>
      </c>
      <c r="C51" s="160">
        <f t="shared" si="19"/>
        <v>0.05519926104</v>
      </c>
      <c r="D51" s="159">
        <f t="shared" si="20"/>
        <v>264581.2071</v>
      </c>
      <c r="E51" s="162"/>
      <c r="F51" s="159">
        <f>'Forum Rangoli'!G13</f>
        <v>1206533.895</v>
      </c>
      <c r="G51" s="160">
        <f t="shared" si="21"/>
        <v>0.05436252028</v>
      </c>
      <c r="H51" s="159">
        <f t="shared" si="22"/>
        <v>270321.4991</v>
      </c>
      <c r="I51" s="162"/>
      <c r="J51" s="159">
        <f>'Forum Rangoli'!H13</f>
        <v>0</v>
      </c>
      <c r="K51" s="160" t="str">
        <f t="shared" si="23"/>
        <v>#DIV/0!</v>
      </c>
      <c r="L51" s="159" t="str">
        <f t="shared" si="24"/>
        <v>#DIV/0!</v>
      </c>
      <c r="M51" s="162"/>
      <c r="N51" s="159">
        <f>'Forum Rangoli'!I13</f>
        <v>0</v>
      </c>
      <c r="O51" s="160" t="str">
        <f t="shared" si="25"/>
        <v>#DIV/0!</v>
      </c>
      <c r="P51" s="159" t="str">
        <f t="shared" si="26"/>
        <v>#DIV/0!</v>
      </c>
    </row>
    <row r="52">
      <c r="A52" s="133" t="s">
        <v>108</v>
      </c>
      <c r="B52" s="159">
        <f>CSC!F13</f>
        <v>151447.67</v>
      </c>
      <c r="C52" s="160">
        <f t="shared" si="19"/>
        <v>0.006273151487</v>
      </c>
      <c r="D52" s="159">
        <f t="shared" si="20"/>
        <v>30068.48211</v>
      </c>
      <c r="E52" s="162"/>
      <c r="F52" s="159">
        <f>CSC!G13</f>
        <v>126050.93</v>
      </c>
      <c r="G52" s="160">
        <f t="shared" si="21"/>
        <v>0.005679447771</v>
      </c>
      <c r="H52" s="159">
        <f t="shared" si="22"/>
        <v>28241.45804</v>
      </c>
      <c r="I52" s="162"/>
      <c r="J52" s="159">
        <f>CSC!H13</f>
        <v>0</v>
      </c>
      <c r="K52" s="160" t="str">
        <f t="shared" si="23"/>
        <v>#DIV/0!</v>
      </c>
      <c r="L52" s="159" t="str">
        <f t="shared" si="24"/>
        <v>#DIV/0!</v>
      </c>
      <c r="M52" s="162"/>
      <c r="N52" s="159">
        <f>CSC!I13</f>
        <v>0</v>
      </c>
      <c r="O52" s="160" t="str">
        <f t="shared" si="25"/>
        <v>#DIV/0!</v>
      </c>
      <c r="P52" s="159" t="str">
        <f t="shared" si="26"/>
        <v>#DIV/0!</v>
      </c>
    </row>
    <row r="53">
      <c r="A53" s="133" t="s">
        <v>115</v>
      </c>
      <c r="B53" s="159">
        <f>Jameslong!F13</f>
        <v>1584972.412</v>
      </c>
      <c r="C53" s="160">
        <f t="shared" si="19"/>
        <v>0.06565153524</v>
      </c>
      <c r="D53" s="159">
        <f t="shared" si="20"/>
        <v>314681.0685</v>
      </c>
      <c r="E53" s="162"/>
      <c r="F53" s="159">
        <f>Jameslong!G13</f>
        <v>1475955.371</v>
      </c>
      <c r="G53" s="160">
        <f t="shared" si="21"/>
        <v>0.06650178181</v>
      </c>
      <c r="H53" s="159">
        <f t="shared" si="22"/>
        <v>330684.8405</v>
      </c>
      <c r="I53" s="162"/>
      <c r="J53" s="159">
        <f>Jameslong!H13</f>
        <v>0</v>
      </c>
      <c r="K53" s="160" t="str">
        <f t="shared" si="23"/>
        <v>#DIV/0!</v>
      </c>
      <c r="L53" s="159" t="str">
        <f t="shared" si="24"/>
        <v>#DIV/0!</v>
      </c>
      <c r="M53" s="162"/>
      <c r="N53" s="159">
        <f>Jameslong!I13</f>
        <v>0</v>
      </c>
      <c r="O53" s="160" t="str">
        <f t="shared" si="25"/>
        <v>#DIV/0!</v>
      </c>
      <c r="P53" s="159" t="str">
        <f t="shared" si="26"/>
        <v>#DIV/0!</v>
      </c>
    </row>
    <row r="54">
      <c r="A54" s="133" t="s">
        <v>123</v>
      </c>
      <c r="B54" s="159">
        <f>Technopolis!F13</f>
        <v>85698</v>
      </c>
      <c r="C54" s="160">
        <f t="shared" si="19"/>
        <v>0.003549718105</v>
      </c>
      <c r="D54" s="159">
        <f t="shared" si="20"/>
        <v>17014.51584</v>
      </c>
      <c r="E54" s="162"/>
      <c r="F54" s="159">
        <f>Technopolis!G13</f>
        <v>92109.77</v>
      </c>
      <c r="G54" s="160">
        <f t="shared" si="21"/>
        <v>0.004150168728</v>
      </c>
      <c r="H54" s="159">
        <f t="shared" si="22"/>
        <v>20637.00922</v>
      </c>
      <c r="I54" s="162"/>
      <c r="J54" s="159">
        <f>Technopolis!H13</f>
        <v>0</v>
      </c>
      <c r="K54" s="160" t="str">
        <f t="shared" si="23"/>
        <v>#DIV/0!</v>
      </c>
      <c r="L54" s="159" t="str">
        <f t="shared" si="24"/>
        <v>#DIV/0!</v>
      </c>
      <c r="M54" s="162"/>
      <c r="N54" s="159">
        <f>Technopolis!I13</f>
        <v>0</v>
      </c>
      <c r="O54" s="160" t="str">
        <f t="shared" si="25"/>
        <v>#DIV/0!</v>
      </c>
      <c r="P54" s="159" t="str">
        <f t="shared" si="26"/>
        <v>#DIV/0!</v>
      </c>
    </row>
    <row r="55">
      <c r="A55" s="133" t="s">
        <v>110</v>
      </c>
      <c r="B55" s="159">
        <f>Santoshpur!F13</f>
        <v>1258073.316</v>
      </c>
      <c r="C55" s="160">
        <f t="shared" si="19"/>
        <v>0.05211096673</v>
      </c>
      <c r="D55" s="159">
        <f t="shared" si="20"/>
        <v>249778.3887</v>
      </c>
      <c r="E55" s="162"/>
      <c r="F55" s="159">
        <f>Santoshpur!G13</f>
        <v>1105747.962</v>
      </c>
      <c r="G55" s="160">
        <f t="shared" si="21"/>
        <v>0.0498214317</v>
      </c>
      <c r="H55" s="159">
        <f t="shared" si="22"/>
        <v>247740.6131</v>
      </c>
      <c r="I55" s="162"/>
      <c r="J55" s="159">
        <f>Santoshpur!H13</f>
        <v>0</v>
      </c>
      <c r="K55" s="160" t="str">
        <f t="shared" si="23"/>
        <v>#DIV/0!</v>
      </c>
      <c r="L55" s="159" t="str">
        <f t="shared" si="24"/>
        <v>#DIV/0!</v>
      </c>
      <c r="M55" s="162"/>
      <c r="N55" s="159">
        <f>Santoshpur!I13</f>
        <v>0</v>
      </c>
      <c r="O55" s="160" t="str">
        <f t="shared" si="25"/>
        <v>#DIV/0!</v>
      </c>
      <c r="P55" s="159" t="str">
        <f t="shared" si="26"/>
        <v>#DIV/0!</v>
      </c>
    </row>
    <row r="56">
      <c r="A56" s="133" t="s">
        <v>185</v>
      </c>
      <c r="B56" s="159">
        <f>'Chinar Park'!F13</f>
        <v>685937.4448</v>
      </c>
      <c r="C56" s="160">
        <f t="shared" si="19"/>
        <v>0.02841238496</v>
      </c>
      <c r="D56" s="159">
        <f t="shared" si="20"/>
        <v>136186.2998</v>
      </c>
      <c r="E56" s="162"/>
      <c r="F56" s="159">
        <f>'Chinar Park'!G13</f>
        <v>580525.8902</v>
      </c>
      <c r="G56" s="160">
        <f t="shared" si="21"/>
        <v>0.02615662156</v>
      </c>
      <c r="H56" s="159">
        <f t="shared" si="22"/>
        <v>130065.6613</v>
      </c>
      <c r="I56" s="162"/>
      <c r="J56" s="159">
        <f>'Chinar Park'!H13</f>
        <v>0</v>
      </c>
      <c r="K56" s="160" t="str">
        <f t="shared" si="23"/>
        <v>#DIV/0!</v>
      </c>
      <c r="L56" s="159" t="str">
        <f t="shared" si="24"/>
        <v>#DIV/0!</v>
      </c>
      <c r="M56" s="162"/>
      <c r="N56" s="159">
        <f>'Chinar Park'!I13</f>
        <v>0</v>
      </c>
      <c r="O56" s="160" t="str">
        <f t="shared" si="25"/>
        <v>#DIV/0!</v>
      </c>
      <c r="P56" s="159" t="str">
        <f t="shared" si="26"/>
        <v>#DIV/0!</v>
      </c>
    </row>
    <row r="57">
      <c r="A57" s="175" t="s">
        <v>112</v>
      </c>
      <c r="B57" s="159">
        <f>'Sector 1'!F13</f>
        <v>2684345.376</v>
      </c>
      <c r="C57" s="160">
        <f t="shared" si="19"/>
        <v>0.1111889353</v>
      </c>
      <c r="D57" s="159">
        <f t="shared" si="20"/>
        <v>532951.0246</v>
      </c>
      <c r="E57" s="162"/>
      <c r="F57" s="159">
        <f>'Sector 1'!G13</f>
        <v>2306750.552</v>
      </c>
      <c r="G57" s="160">
        <f t="shared" si="21"/>
        <v>0.1039347292</v>
      </c>
      <c r="H57" s="159">
        <f t="shared" si="22"/>
        <v>516822.8344</v>
      </c>
      <c r="I57" s="162"/>
      <c r="J57" s="159">
        <f>'Sector 1'!H13</f>
        <v>0</v>
      </c>
      <c r="K57" s="160" t="str">
        <f t="shared" si="23"/>
        <v>#DIV/0!</v>
      </c>
      <c r="L57" s="159" t="str">
        <f t="shared" si="24"/>
        <v>#DIV/0!</v>
      </c>
      <c r="M57" s="162"/>
      <c r="N57" s="159">
        <f>'Sector 1'!I13</f>
        <v>0</v>
      </c>
      <c r="O57" s="160" t="str">
        <f t="shared" si="25"/>
        <v>#DIV/0!</v>
      </c>
      <c r="P57" s="159" t="str">
        <f t="shared" si="26"/>
        <v>#DIV/0!</v>
      </c>
    </row>
    <row r="58">
      <c r="A58" s="175" t="s">
        <v>118</v>
      </c>
      <c r="B58" s="209">
        <f>'Lake Road'!F13</f>
        <v>2320570.751</v>
      </c>
      <c r="C58" s="160">
        <f t="shared" si="19"/>
        <v>0.0961209364</v>
      </c>
      <c r="D58" s="159">
        <f t="shared" si="20"/>
        <v>460727.0623</v>
      </c>
      <c r="E58" s="162"/>
      <c r="F58" s="209">
        <f>'Lake Road'!G13</f>
        <v>2244789.06</v>
      </c>
      <c r="G58" s="160">
        <f t="shared" si="21"/>
        <v>0.1011429446</v>
      </c>
      <c r="H58" s="159">
        <f t="shared" si="22"/>
        <v>502940.4865</v>
      </c>
      <c r="I58" s="162"/>
      <c r="J58" s="209">
        <f>'Lake Road'!H13</f>
        <v>0</v>
      </c>
      <c r="K58" s="160" t="str">
        <f t="shared" si="23"/>
        <v>#DIV/0!</v>
      </c>
      <c r="L58" s="159" t="str">
        <f t="shared" si="24"/>
        <v>#DIV/0!</v>
      </c>
      <c r="M58" s="162"/>
      <c r="N58" s="209">
        <f>'Lake Road'!I13</f>
        <v>0</v>
      </c>
      <c r="O58" s="160" t="str">
        <f t="shared" si="25"/>
        <v>#DIV/0!</v>
      </c>
      <c r="P58" s="159" t="str">
        <f t="shared" si="26"/>
        <v>#DIV/0!</v>
      </c>
    </row>
    <row r="59">
      <c r="A59" s="175" t="s">
        <v>111</v>
      </c>
      <c r="B59" s="159">
        <f>Kalikapur!F13</f>
        <v>1262689.601</v>
      </c>
      <c r="C59" s="160">
        <f t="shared" si="19"/>
        <v>0.05230217901</v>
      </c>
      <c r="D59" s="159">
        <f t="shared" si="20"/>
        <v>250694.9078</v>
      </c>
      <c r="E59" s="162"/>
      <c r="F59" s="159">
        <f>Kalikapur!G13</f>
        <v>1262374.118</v>
      </c>
      <c r="G59" s="160">
        <f t="shared" si="21"/>
        <v>0.05687850039</v>
      </c>
      <c r="H59" s="159">
        <f t="shared" si="22"/>
        <v>282832.3892</v>
      </c>
      <c r="I59" s="162"/>
      <c r="J59" s="159">
        <f>Kalikapur!H13</f>
        <v>0</v>
      </c>
      <c r="K59" s="160" t="str">
        <f t="shared" si="23"/>
        <v>#DIV/0!</v>
      </c>
      <c r="L59" s="159" t="str">
        <f t="shared" si="24"/>
        <v>#DIV/0!</v>
      </c>
      <c r="M59" s="162"/>
      <c r="N59" s="159">
        <f>Kalikapur!I13</f>
        <v>0</v>
      </c>
      <c r="O59" s="160" t="str">
        <f t="shared" si="25"/>
        <v>#DIV/0!</v>
      </c>
      <c r="P59" s="159" t="str">
        <f t="shared" si="26"/>
        <v>#DIV/0!</v>
      </c>
    </row>
    <row r="60">
      <c r="A60" s="175" t="s">
        <v>177</v>
      </c>
      <c r="B60" s="159">
        <f>'Event Sales'!F13</f>
        <v>5410</v>
      </c>
      <c r="C60" s="160">
        <f t="shared" si="19"/>
        <v>0.0002240889513</v>
      </c>
      <c r="D60" s="159">
        <f t="shared" si="20"/>
        <v>1074.103604</v>
      </c>
      <c r="E60" s="162"/>
      <c r="F60" s="159">
        <f>'Event Sales'!G13</f>
        <v>0</v>
      </c>
      <c r="G60" s="160">
        <f t="shared" si="21"/>
        <v>0</v>
      </c>
      <c r="H60" s="159">
        <f t="shared" si="22"/>
        <v>0</v>
      </c>
      <c r="I60" s="162"/>
      <c r="J60" s="159">
        <f>'Event Sales'!H13</f>
        <v>0</v>
      </c>
      <c r="K60" s="160" t="str">
        <f t="shared" si="23"/>
        <v>#DIV/0!</v>
      </c>
      <c r="L60" s="159" t="str">
        <f t="shared" si="24"/>
        <v>#DIV/0!</v>
      </c>
      <c r="M60" s="162"/>
      <c r="N60" s="159">
        <f>'Event Sales'!I13</f>
        <v>0</v>
      </c>
      <c r="O60" s="160" t="str">
        <f t="shared" si="25"/>
        <v>#DIV/0!</v>
      </c>
      <c r="P60" s="159" t="str">
        <f t="shared" si="26"/>
        <v>#DIV/0!</v>
      </c>
    </row>
    <row r="61">
      <c r="A61" s="162"/>
      <c r="B61" s="192">
        <f>sum(B44:B60)</f>
        <v>24142198.75</v>
      </c>
      <c r="C61" s="210"/>
      <c r="D61" s="192">
        <f>sum(D44:D60)</f>
        <v>4793201.977</v>
      </c>
      <c r="E61" s="162"/>
      <c r="F61" s="192">
        <f>sum(F44:F60)</f>
        <v>22194222.94</v>
      </c>
      <c r="G61" s="210"/>
      <c r="H61" s="192">
        <f>sum(H44:H60)</f>
        <v>4972571.133</v>
      </c>
      <c r="I61" s="162"/>
      <c r="J61" s="192">
        <f>sum(J44:J60)</f>
        <v>0</v>
      </c>
      <c r="K61" s="162"/>
      <c r="L61" s="192" t="str">
        <f>sum(L44:L60)</f>
        <v>#DIV/0!</v>
      </c>
      <c r="M61" s="162"/>
      <c r="N61" s="192">
        <f>sum(N44:N60)</f>
        <v>0</v>
      </c>
      <c r="O61" s="162"/>
      <c r="P61" s="192" t="str">
        <f>sum(P44:P60)</f>
        <v>#DIV/0!</v>
      </c>
    </row>
    <row r="62">
      <c r="A62" s="157"/>
      <c r="B62" s="127" t="s">
        <v>209</v>
      </c>
      <c r="C62" s="38" t="s">
        <v>134</v>
      </c>
      <c r="D62" s="38" t="s">
        <v>135</v>
      </c>
      <c r="E62" s="162"/>
      <c r="F62" s="211" t="s">
        <v>210</v>
      </c>
      <c r="G62" s="38" t="s">
        <v>134</v>
      </c>
      <c r="H62" s="38" t="s">
        <v>135</v>
      </c>
      <c r="I62" s="162"/>
      <c r="J62" s="127" t="s">
        <v>211</v>
      </c>
      <c r="K62" s="38" t="s">
        <v>134</v>
      </c>
      <c r="L62" s="38" t="s">
        <v>135</v>
      </c>
      <c r="M62" s="162"/>
      <c r="N62" s="127" t="s">
        <v>212</v>
      </c>
      <c r="O62" s="38" t="s">
        <v>134</v>
      </c>
      <c r="P62" s="38" t="s">
        <v>135</v>
      </c>
    </row>
    <row r="63">
      <c r="A63" s="133" t="s">
        <v>107</v>
      </c>
      <c r="B63" s="13">
        <f>'Ideal Plaza'!J13</f>
        <v>0</v>
      </c>
      <c r="C63" s="160" t="str">
        <f t="shared" ref="C63:C79" si="27">B63/$B$80</f>
        <v>#DIV/0!</v>
      </c>
      <c r="D63" s="13" t="str">
        <f t="shared" ref="D63:D79" si="28">C63*$J$22</f>
        <v>#DIV/0!</v>
      </c>
      <c r="E63" s="162"/>
      <c r="F63" s="13">
        <f>'Ideal Plaza'!K13</f>
        <v>0</v>
      </c>
      <c r="G63" s="160" t="str">
        <f t="shared" ref="G63:G79" si="29">F63/$F$80</f>
        <v>#DIV/0!</v>
      </c>
      <c r="H63" s="159" t="str">
        <f t="shared" ref="H63:H79" si="30">G63*$K$22</f>
        <v>#DIV/0!</v>
      </c>
      <c r="I63" s="162"/>
      <c r="J63" s="13">
        <f>'Ideal Plaza'!L13</f>
        <v>0</v>
      </c>
      <c r="K63" s="160" t="str">
        <f t="shared" ref="K63:K79" si="31">J63/$J$80</f>
        <v>#DIV/0!</v>
      </c>
      <c r="L63" s="159" t="str">
        <f t="shared" ref="L63:L79" si="32">K63*$L$22</f>
        <v>#DIV/0!</v>
      </c>
      <c r="M63" s="162"/>
      <c r="N63" s="13">
        <f>'Ideal Plaza'!M13</f>
        <v>0</v>
      </c>
      <c r="O63" s="160" t="str">
        <f t="shared" ref="O63:O79" si="33">N63/$N$80</f>
        <v>#DIV/0!</v>
      </c>
      <c r="P63" s="13" t="str">
        <f t="shared" ref="P63:P79" si="34">O63*$M$22</f>
        <v>#DIV/0!</v>
      </c>
    </row>
    <row r="64">
      <c r="A64" s="133" t="s">
        <v>152</v>
      </c>
      <c r="B64" s="13">
        <f>'Salt Lake JC -21'!J13</f>
        <v>0</v>
      </c>
      <c r="C64" s="160" t="str">
        <f t="shared" si="27"/>
        <v>#DIV/0!</v>
      </c>
      <c r="D64" s="13" t="str">
        <f t="shared" si="28"/>
        <v>#DIV/0!</v>
      </c>
      <c r="E64" s="162"/>
      <c r="F64" s="13">
        <f>'Salt Lake JC -21'!K13</f>
        <v>0</v>
      </c>
      <c r="G64" s="160" t="str">
        <f t="shared" si="29"/>
        <v>#DIV/0!</v>
      </c>
      <c r="H64" s="159" t="str">
        <f t="shared" si="30"/>
        <v>#DIV/0!</v>
      </c>
      <c r="I64" s="162"/>
      <c r="J64" s="13">
        <f>'Salt Lake JC -21'!L13</f>
        <v>0</v>
      </c>
      <c r="K64" s="160" t="str">
        <f t="shared" si="31"/>
        <v>#DIV/0!</v>
      </c>
      <c r="L64" s="159" t="str">
        <f t="shared" si="32"/>
        <v>#DIV/0!</v>
      </c>
      <c r="M64" s="162"/>
      <c r="N64" s="13">
        <f>'Salt Lake JC -21'!M13</f>
        <v>0</v>
      </c>
      <c r="O64" s="160" t="str">
        <f t="shared" si="33"/>
        <v>#DIV/0!</v>
      </c>
      <c r="P64" s="13" t="str">
        <f t="shared" si="34"/>
        <v>#DIV/0!</v>
      </c>
    </row>
    <row r="65">
      <c r="A65" s="133" t="s">
        <v>159</v>
      </c>
      <c r="B65" s="13">
        <f>'Forum Mall'!J13</f>
        <v>0</v>
      </c>
      <c r="C65" s="160" t="str">
        <f t="shared" si="27"/>
        <v>#DIV/0!</v>
      </c>
      <c r="D65" s="13" t="str">
        <f t="shared" si="28"/>
        <v>#DIV/0!</v>
      </c>
      <c r="E65" s="162"/>
      <c r="F65" s="13">
        <f>'Forum Mall'!K13</f>
        <v>0</v>
      </c>
      <c r="G65" s="160" t="str">
        <f t="shared" si="29"/>
        <v>#DIV/0!</v>
      </c>
      <c r="H65" s="159" t="str">
        <f t="shared" si="30"/>
        <v>#DIV/0!</v>
      </c>
      <c r="I65" s="162"/>
      <c r="J65" s="13">
        <f>'Forum Mall'!L13</f>
        <v>0</v>
      </c>
      <c r="K65" s="160" t="str">
        <f t="shared" si="31"/>
        <v>#DIV/0!</v>
      </c>
      <c r="L65" s="159" t="str">
        <f t="shared" si="32"/>
        <v>#DIV/0!</v>
      </c>
      <c r="M65" s="162"/>
      <c r="N65" s="13">
        <f>'Forum Mall'!M13</f>
        <v>0</v>
      </c>
      <c r="O65" s="160" t="str">
        <f t="shared" si="33"/>
        <v>#DIV/0!</v>
      </c>
      <c r="P65" s="13" t="str">
        <f t="shared" si="34"/>
        <v>#DIV/0!</v>
      </c>
    </row>
    <row r="66">
      <c r="A66" s="133" t="s">
        <v>117</v>
      </c>
      <c r="B66" s="13">
        <f>'Lake Town'!J13</f>
        <v>0</v>
      </c>
      <c r="C66" s="160" t="str">
        <f t="shared" si="27"/>
        <v>#DIV/0!</v>
      </c>
      <c r="D66" s="13" t="str">
        <f t="shared" si="28"/>
        <v>#DIV/0!</v>
      </c>
      <c r="E66" s="162"/>
      <c r="F66" s="13">
        <f>'Lake Town'!K13</f>
        <v>0</v>
      </c>
      <c r="G66" s="160" t="str">
        <f t="shared" si="29"/>
        <v>#DIV/0!</v>
      </c>
      <c r="H66" s="159" t="str">
        <f t="shared" si="30"/>
        <v>#DIV/0!</v>
      </c>
      <c r="I66" s="162"/>
      <c r="J66" s="13">
        <f>'Lake Town'!L13</f>
        <v>0</v>
      </c>
      <c r="K66" s="160" t="str">
        <f t="shared" si="31"/>
        <v>#DIV/0!</v>
      </c>
      <c r="L66" s="159" t="str">
        <f t="shared" si="32"/>
        <v>#DIV/0!</v>
      </c>
      <c r="M66" s="162"/>
      <c r="N66" s="13">
        <f>'Lake Town'!M13</f>
        <v>0</v>
      </c>
      <c r="O66" s="160" t="str">
        <f t="shared" si="33"/>
        <v>#DIV/0!</v>
      </c>
      <c r="P66" s="13" t="str">
        <f t="shared" si="34"/>
        <v>#DIV/0!</v>
      </c>
    </row>
    <row r="67">
      <c r="A67" s="133" t="s">
        <v>120</v>
      </c>
      <c r="B67" s="13">
        <f>'Quest Mall'!J13</f>
        <v>0</v>
      </c>
      <c r="C67" s="160" t="str">
        <f t="shared" si="27"/>
        <v>#DIV/0!</v>
      </c>
      <c r="D67" s="13" t="str">
        <f t="shared" si="28"/>
        <v>#DIV/0!</v>
      </c>
      <c r="E67" s="162"/>
      <c r="F67" s="13">
        <f>'Quest Mall'!K13</f>
        <v>0</v>
      </c>
      <c r="G67" s="160" t="str">
        <f t="shared" si="29"/>
        <v>#DIV/0!</v>
      </c>
      <c r="H67" s="159" t="str">
        <f t="shared" si="30"/>
        <v>#DIV/0!</v>
      </c>
      <c r="I67" s="162"/>
      <c r="J67" s="13">
        <f>'Quest Mall'!L13</f>
        <v>0</v>
      </c>
      <c r="K67" s="160" t="str">
        <f t="shared" si="31"/>
        <v>#DIV/0!</v>
      </c>
      <c r="L67" s="159" t="str">
        <f t="shared" si="32"/>
        <v>#DIV/0!</v>
      </c>
      <c r="M67" s="162"/>
      <c r="N67" s="13">
        <f>'Quest Mall'!M13</f>
        <v>0</v>
      </c>
      <c r="O67" s="160" t="str">
        <f t="shared" si="33"/>
        <v>#DIV/0!</v>
      </c>
      <c r="P67" s="13" t="str">
        <f t="shared" si="34"/>
        <v>#DIV/0!</v>
      </c>
    </row>
    <row r="68">
      <c r="A68" s="133" t="s">
        <v>109</v>
      </c>
      <c r="B68" s="13">
        <f>'Rosedale Plaza'!J13</f>
        <v>0</v>
      </c>
      <c r="C68" s="160" t="str">
        <f t="shared" si="27"/>
        <v>#DIV/0!</v>
      </c>
      <c r="D68" s="13" t="str">
        <f t="shared" si="28"/>
        <v>#DIV/0!</v>
      </c>
      <c r="E68" s="162"/>
      <c r="F68" s="13">
        <f>'Rosedale Plaza'!K13</f>
        <v>0</v>
      </c>
      <c r="G68" s="160" t="str">
        <f t="shared" si="29"/>
        <v>#DIV/0!</v>
      </c>
      <c r="H68" s="159" t="str">
        <f t="shared" si="30"/>
        <v>#DIV/0!</v>
      </c>
      <c r="I68" s="162"/>
      <c r="J68" s="13">
        <f>'Rosedale Plaza'!L13</f>
        <v>0</v>
      </c>
      <c r="K68" s="160" t="str">
        <f t="shared" si="31"/>
        <v>#DIV/0!</v>
      </c>
      <c r="L68" s="159" t="str">
        <f t="shared" si="32"/>
        <v>#DIV/0!</v>
      </c>
      <c r="M68" s="162"/>
      <c r="N68" s="13">
        <f>'Rosedale Plaza'!M13</f>
        <v>0</v>
      </c>
      <c r="O68" s="160" t="str">
        <f t="shared" si="33"/>
        <v>#DIV/0!</v>
      </c>
      <c r="P68" s="13" t="str">
        <f t="shared" si="34"/>
        <v>#DIV/0!</v>
      </c>
    </row>
    <row r="69">
      <c r="A69" s="133" t="s">
        <v>171</v>
      </c>
      <c r="B69" s="13">
        <f>'Mani Square Mall'!J13</f>
        <v>0</v>
      </c>
      <c r="C69" s="160" t="str">
        <f t="shared" si="27"/>
        <v>#DIV/0!</v>
      </c>
      <c r="D69" s="13" t="str">
        <f t="shared" si="28"/>
        <v>#DIV/0!</v>
      </c>
      <c r="E69" s="162"/>
      <c r="F69" s="13">
        <f>'Mani Square Mall'!K13</f>
        <v>0</v>
      </c>
      <c r="G69" s="160" t="str">
        <f t="shared" si="29"/>
        <v>#DIV/0!</v>
      </c>
      <c r="H69" s="159" t="str">
        <f t="shared" si="30"/>
        <v>#DIV/0!</v>
      </c>
      <c r="I69" s="162"/>
      <c r="J69" s="13">
        <f>'Mani Square Mall'!L13</f>
        <v>0</v>
      </c>
      <c r="K69" s="160" t="str">
        <f t="shared" si="31"/>
        <v>#DIV/0!</v>
      </c>
      <c r="L69" s="159" t="str">
        <f t="shared" si="32"/>
        <v>#DIV/0!</v>
      </c>
      <c r="M69" s="162"/>
      <c r="N69" s="13">
        <f>'Mani Square Mall'!M13</f>
        <v>0</v>
      </c>
      <c r="O69" s="160" t="str">
        <f t="shared" si="33"/>
        <v>#DIV/0!</v>
      </c>
      <c r="P69" s="13" t="str">
        <f t="shared" si="34"/>
        <v>#DIV/0!</v>
      </c>
    </row>
    <row r="70">
      <c r="A70" s="133" t="s">
        <v>172</v>
      </c>
      <c r="B70" s="13">
        <f>'Forum Rangoli'!J13</f>
        <v>0</v>
      </c>
      <c r="C70" s="160" t="str">
        <f t="shared" si="27"/>
        <v>#DIV/0!</v>
      </c>
      <c r="D70" s="13" t="str">
        <f t="shared" si="28"/>
        <v>#DIV/0!</v>
      </c>
      <c r="E70" s="162"/>
      <c r="F70" s="13">
        <f>'Forum Rangoli'!K13</f>
        <v>0</v>
      </c>
      <c r="G70" s="160" t="str">
        <f t="shared" si="29"/>
        <v>#DIV/0!</v>
      </c>
      <c r="H70" s="159" t="str">
        <f t="shared" si="30"/>
        <v>#DIV/0!</v>
      </c>
      <c r="I70" s="162"/>
      <c r="J70" s="13">
        <f>'Forum Rangoli'!L13</f>
        <v>0</v>
      </c>
      <c r="K70" s="160" t="str">
        <f t="shared" si="31"/>
        <v>#DIV/0!</v>
      </c>
      <c r="L70" s="159" t="str">
        <f t="shared" si="32"/>
        <v>#DIV/0!</v>
      </c>
      <c r="M70" s="162"/>
      <c r="N70" s="13">
        <f>'Forum Rangoli'!M13</f>
        <v>0</v>
      </c>
      <c r="O70" s="160" t="str">
        <f t="shared" si="33"/>
        <v>#DIV/0!</v>
      </c>
      <c r="P70" s="13" t="str">
        <f t="shared" si="34"/>
        <v>#DIV/0!</v>
      </c>
    </row>
    <row r="71">
      <c r="A71" s="133" t="s">
        <v>108</v>
      </c>
      <c r="B71" s="13">
        <f>CSC!J13</f>
        <v>0</v>
      </c>
      <c r="C71" s="160" t="str">
        <f t="shared" si="27"/>
        <v>#DIV/0!</v>
      </c>
      <c r="D71" s="13" t="str">
        <f t="shared" si="28"/>
        <v>#DIV/0!</v>
      </c>
      <c r="E71" s="162"/>
      <c r="F71" s="13">
        <f>CSC!K13</f>
        <v>0</v>
      </c>
      <c r="G71" s="160" t="str">
        <f t="shared" si="29"/>
        <v>#DIV/0!</v>
      </c>
      <c r="H71" s="159" t="str">
        <f t="shared" si="30"/>
        <v>#DIV/0!</v>
      </c>
      <c r="I71" s="162"/>
      <c r="J71" s="13">
        <f>CSC!L13</f>
        <v>0</v>
      </c>
      <c r="K71" s="160" t="str">
        <f t="shared" si="31"/>
        <v>#DIV/0!</v>
      </c>
      <c r="L71" s="159" t="str">
        <f t="shared" si="32"/>
        <v>#DIV/0!</v>
      </c>
      <c r="M71" s="162"/>
      <c r="N71" s="13">
        <f>CSC!M13</f>
        <v>0</v>
      </c>
      <c r="O71" s="160" t="str">
        <f t="shared" si="33"/>
        <v>#DIV/0!</v>
      </c>
      <c r="P71" s="13" t="str">
        <f t="shared" si="34"/>
        <v>#DIV/0!</v>
      </c>
    </row>
    <row r="72">
      <c r="A72" s="133" t="s">
        <v>115</v>
      </c>
      <c r="B72" s="13">
        <f>Jameslong!J13</f>
        <v>0</v>
      </c>
      <c r="C72" s="160" t="str">
        <f t="shared" si="27"/>
        <v>#DIV/0!</v>
      </c>
      <c r="D72" s="13" t="str">
        <f t="shared" si="28"/>
        <v>#DIV/0!</v>
      </c>
      <c r="E72" s="162"/>
      <c r="F72" s="13">
        <f>Jameslong!K13</f>
        <v>0</v>
      </c>
      <c r="G72" s="160" t="str">
        <f t="shared" si="29"/>
        <v>#DIV/0!</v>
      </c>
      <c r="H72" s="159" t="str">
        <f t="shared" si="30"/>
        <v>#DIV/0!</v>
      </c>
      <c r="I72" s="162"/>
      <c r="J72" s="13">
        <f>Jameslong!L13</f>
        <v>0</v>
      </c>
      <c r="K72" s="160" t="str">
        <f t="shared" si="31"/>
        <v>#DIV/0!</v>
      </c>
      <c r="L72" s="159" t="str">
        <f t="shared" si="32"/>
        <v>#DIV/0!</v>
      </c>
      <c r="M72" s="162"/>
      <c r="N72" s="13">
        <f>Jameslong!M13</f>
        <v>0</v>
      </c>
      <c r="O72" s="160" t="str">
        <f t="shared" si="33"/>
        <v>#DIV/0!</v>
      </c>
      <c r="P72" s="13" t="str">
        <f t="shared" si="34"/>
        <v>#DIV/0!</v>
      </c>
    </row>
    <row r="73">
      <c r="A73" s="133" t="s">
        <v>123</v>
      </c>
      <c r="B73" s="13">
        <f>Technopolis!J13</f>
        <v>0</v>
      </c>
      <c r="C73" s="160" t="str">
        <f t="shared" si="27"/>
        <v>#DIV/0!</v>
      </c>
      <c r="D73" s="13" t="str">
        <f t="shared" si="28"/>
        <v>#DIV/0!</v>
      </c>
      <c r="E73" s="162"/>
      <c r="F73" s="13">
        <f>Technopolis!K13</f>
        <v>0</v>
      </c>
      <c r="G73" s="160" t="str">
        <f t="shared" si="29"/>
        <v>#DIV/0!</v>
      </c>
      <c r="H73" s="159" t="str">
        <f t="shared" si="30"/>
        <v>#DIV/0!</v>
      </c>
      <c r="I73" s="162"/>
      <c r="J73" s="13">
        <f>Technopolis!L13</f>
        <v>0</v>
      </c>
      <c r="K73" s="160" t="str">
        <f t="shared" si="31"/>
        <v>#DIV/0!</v>
      </c>
      <c r="L73" s="159" t="str">
        <f t="shared" si="32"/>
        <v>#DIV/0!</v>
      </c>
      <c r="M73" s="162"/>
      <c r="N73" s="13">
        <f>Technopolis!M13</f>
        <v>0</v>
      </c>
      <c r="O73" s="160" t="str">
        <f t="shared" si="33"/>
        <v>#DIV/0!</v>
      </c>
      <c r="P73" s="13" t="str">
        <f t="shared" si="34"/>
        <v>#DIV/0!</v>
      </c>
    </row>
    <row r="74">
      <c r="A74" s="133" t="s">
        <v>110</v>
      </c>
      <c r="B74" s="13">
        <f>Santoshpur!J13</f>
        <v>0</v>
      </c>
      <c r="C74" s="160" t="str">
        <f t="shared" si="27"/>
        <v>#DIV/0!</v>
      </c>
      <c r="D74" s="13" t="str">
        <f t="shared" si="28"/>
        <v>#DIV/0!</v>
      </c>
      <c r="E74" s="162"/>
      <c r="F74" s="13">
        <f>Santoshpur!K13</f>
        <v>0</v>
      </c>
      <c r="G74" s="160" t="str">
        <f t="shared" si="29"/>
        <v>#DIV/0!</v>
      </c>
      <c r="H74" s="159" t="str">
        <f t="shared" si="30"/>
        <v>#DIV/0!</v>
      </c>
      <c r="I74" s="162"/>
      <c r="J74" s="13">
        <f>Santoshpur!L13</f>
        <v>0</v>
      </c>
      <c r="K74" s="160" t="str">
        <f t="shared" si="31"/>
        <v>#DIV/0!</v>
      </c>
      <c r="L74" s="159" t="str">
        <f t="shared" si="32"/>
        <v>#DIV/0!</v>
      </c>
      <c r="M74" s="162"/>
      <c r="N74" s="13">
        <f>Santoshpur!M13</f>
        <v>0</v>
      </c>
      <c r="O74" s="160" t="str">
        <f t="shared" si="33"/>
        <v>#DIV/0!</v>
      </c>
      <c r="P74" s="13" t="str">
        <f t="shared" si="34"/>
        <v>#DIV/0!</v>
      </c>
    </row>
    <row r="75">
      <c r="A75" s="133" t="s">
        <v>185</v>
      </c>
      <c r="B75" s="13">
        <f>'Chinar Park'!J13</f>
        <v>0</v>
      </c>
      <c r="C75" s="160" t="str">
        <f t="shared" si="27"/>
        <v>#DIV/0!</v>
      </c>
      <c r="D75" s="13" t="str">
        <f t="shared" si="28"/>
        <v>#DIV/0!</v>
      </c>
      <c r="E75" s="162"/>
      <c r="F75" s="13">
        <f>'Chinar Park'!K13</f>
        <v>0</v>
      </c>
      <c r="G75" s="160" t="str">
        <f t="shared" si="29"/>
        <v>#DIV/0!</v>
      </c>
      <c r="H75" s="159" t="str">
        <f t="shared" si="30"/>
        <v>#DIV/0!</v>
      </c>
      <c r="I75" s="162"/>
      <c r="J75" s="13">
        <f>'Chinar Park'!L13</f>
        <v>0</v>
      </c>
      <c r="K75" s="160" t="str">
        <f t="shared" si="31"/>
        <v>#DIV/0!</v>
      </c>
      <c r="L75" s="159" t="str">
        <f t="shared" si="32"/>
        <v>#DIV/0!</v>
      </c>
      <c r="M75" s="162"/>
      <c r="N75" s="13">
        <f>'Chinar Park'!M13</f>
        <v>0</v>
      </c>
      <c r="O75" s="160" t="str">
        <f t="shared" si="33"/>
        <v>#DIV/0!</v>
      </c>
      <c r="P75" s="13" t="str">
        <f t="shared" si="34"/>
        <v>#DIV/0!</v>
      </c>
    </row>
    <row r="76">
      <c r="A76" s="175" t="s">
        <v>112</v>
      </c>
      <c r="B76" s="13">
        <f>'Sector 1'!J13</f>
        <v>0</v>
      </c>
      <c r="C76" s="160" t="str">
        <f t="shared" si="27"/>
        <v>#DIV/0!</v>
      </c>
      <c r="D76" s="13" t="str">
        <f t="shared" si="28"/>
        <v>#DIV/0!</v>
      </c>
      <c r="E76" s="162"/>
      <c r="F76" s="13">
        <f>'Sector 1'!K13</f>
        <v>0</v>
      </c>
      <c r="G76" s="160" t="str">
        <f t="shared" si="29"/>
        <v>#DIV/0!</v>
      </c>
      <c r="H76" s="159" t="str">
        <f t="shared" si="30"/>
        <v>#DIV/0!</v>
      </c>
      <c r="I76" s="162"/>
      <c r="J76" s="13">
        <f>'Sector 1'!L13</f>
        <v>0</v>
      </c>
      <c r="K76" s="160" t="str">
        <f t="shared" si="31"/>
        <v>#DIV/0!</v>
      </c>
      <c r="L76" s="159" t="str">
        <f t="shared" si="32"/>
        <v>#DIV/0!</v>
      </c>
      <c r="M76" s="162"/>
      <c r="N76" s="13">
        <f>'Sector 1'!M13</f>
        <v>0</v>
      </c>
      <c r="O76" s="160" t="str">
        <f t="shared" si="33"/>
        <v>#DIV/0!</v>
      </c>
      <c r="P76" s="13" t="str">
        <f t="shared" si="34"/>
        <v>#DIV/0!</v>
      </c>
    </row>
    <row r="77">
      <c r="A77" s="175" t="s">
        <v>118</v>
      </c>
      <c r="B77" s="13">
        <f>'Lake Road'!J13</f>
        <v>0</v>
      </c>
      <c r="C77" s="160" t="str">
        <f t="shared" si="27"/>
        <v>#DIV/0!</v>
      </c>
      <c r="D77" s="13" t="str">
        <f t="shared" si="28"/>
        <v>#DIV/0!</v>
      </c>
      <c r="E77" s="162"/>
      <c r="F77" s="13">
        <f>'Lake Road'!K13</f>
        <v>0</v>
      </c>
      <c r="G77" s="160" t="str">
        <f t="shared" si="29"/>
        <v>#DIV/0!</v>
      </c>
      <c r="H77" s="159" t="str">
        <f t="shared" si="30"/>
        <v>#DIV/0!</v>
      </c>
      <c r="I77" s="162"/>
      <c r="J77" s="13">
        <f>'Lake Road'!L13</f>
        <v>0</v>
      </c>
      <c r="K77" s="160" t="str">
        <f t="shared" si="31"/>
        <v>#DIV/0!</v>
      </c>
      <c r="L77" s="159" t="str">
        <f t="shared" si="32"/>
        <v>#DIV/0!</v>
      </c>
      <c r="M77" s="162"/>
      <c r="N77" s="13">
        <f>'Lake Road'!M13</f>
        <v>0</v>
      </c>
      <c r="O77" s="160" t="str">
        <f t="shared" si="33"/>
        <v>#DIV/0!</v>
      </c>
      <c r="P77" s="13" t="str">
        <f t="shared" si="34"/>
        <v>#DIV/0!</v>
      </c>
    </row>
    <row r="78">
      <c r="A78" s="175" t="s">
        <v>111</v>
      </c>
      <c r="B78" s="13">
        <f>Kalikapur!J13</f>
        <v>0</v>
      </c>
      <c r="C78" s="160" t="str">
        <f t="shared" si="27"/>
        <v>#DIV/0!</v>
      </c>
      <c r="D78" s="13" t="str">
        <f t="shared" si="28"/>
        <v>#DIV/0!</v>
      </c>
      <c r="E78" s="162"/>
      <c r="F78" s="13">
        <f>Kalikapur!K13</f>
        <v>0</v>
      </c>
      <c r="G78" s="160" t="str">
        <f t="shared" si="29"/>
        <v>#DIV/0!</v>
      </c>
      <c r="H78" s="159" t="str">
        <f t="shared" si="30"/>
        <v>#DIV/0!</v>
      </c>
      <c r="I78" s="162"/>
      <c r="J78" s="13">
        <f>Kalikapur!L13</f>
        <v>0</v>
      </c>
      <c r="K78" s="160" t="str">
        <f t="shared" si="31"/>
        <v>#DIV/0!</v>
      </c>
      <c r="L78" s="159" t="str">
        <f t="shared" si="32"/>
        <v>#DIV/0!</v>
      </c>
      <c r="M78" s="162"/>
      <c r="N78" s="13">
        <f>Kalikapur!M13</f>
        <v>0</v>
      </c>
      <c r="O78" s="160" t="str">
        <f t="shared" si="33"/>
        <v>#DIV/0!</v>
      </c>
      <c r="P78" s="13" t="str">
        <f t="shared" si="34"/>
        <v>#DIV/0!</v>
      </c>
    </row>
    <row r="79">
      <c r="A79" s="175" t="s">
        <v>177</v>
      </c>
      <c r="B79" s="98">
        <f>'Event Sales'!J13</f>
        <v>0</v>
      </c>
      <c r="C79" s="160" t="str">
        <f t="shared" si="27"/>
        <v>#DIV/0!</v>
      </c>
      <c r="D79" s="13" t="str">
        <f t="shared" si="28"/>
        <v>#DIV/0!</v>
      </c>
      <c r="E79" s="162"/>
      <c r="F79" s="98">
        <f>'Event Sales'!K13</f>
        <v>0</v>
      </c>
      <c r="G79" s="160" t="str">
        <f t="shared" si="29"/>
        <v>#DIV/0!</v>
      </c>
      <c r="H79" s="159" t="str">
        <f t="shared" si="30"/>
        <v>#DIV/0!</v>
      </c>
      <c r="I79" s="162"/>
      <c r="J79" s="98">
        <f>'Event Sales'!L13</f>
        <v>0</v>
      </c>
      <c r="K79" s="160" t="str">
        <f t="shared" si="31"/>
        <v>#DIV/0!</v>
      </c>
      <c r="L79" s="159" t="str">
        <f t="shared" si="32"/>
        <v>#DIV/0!</v>
      </c>
      <c r="M79" s="162"/>
      <c r="N79" s="98">
        <f>'Event Sales'!M13</f>
        <v>0</v>
      </c>
      <c r="O79" s="160" t="str">
        <f t="shared" si="33"/>
        <v>#DIV/0!</v>
      </c>
      <c r="P79" s="13" t="str">
        <f t="shared" si="34"/>
        <v>#DIV/0!</v>
      </c>
    </row>
    <row r="80">
      <c r="A80" s="99"/>
      <c r="B80" s="212">
        <f>sum(B63:B79)</f>
        <v>0</v>
      </c>
      <c r="C80" s="99"/>
      <c r="D80" s="212" t="str">
        <f>sum(D63:D79)</f>
        <v>#DIV/0!</v>
      </c>
      <c r="E80" s="99"/>
      <c r="F80" s="212">
        <f>sum(F63:F79)</f>
        <v>0</v>
      </c>
      <c r="G80" s="99"/>
      <c r="H80" s="212" t="str">
        <f>sum(H63:H79)</f>
        <v>#DIV/0!</v>
      </c>
      <c r="I80" s="99"/>
      <c r="J80" s="212">
        <f>sum(J63:J79)</f>
        <v>0</v>
      </c>
      <c r="K80" s="99"/>
      <c r="L80" s="212" t="str">
        <f>sum(L63:L79)</f>
        <v>#DIV/0!</v>
      </c>
      <c r="M80" s="99"/>
      <c r="N80" s="212">
        <f>sum(N63:N79)</f>
        <v>0</v>
      </c>
      <c r="O80" s="99"/>
      <c r="P80" s="212" t="str">
        <f>sum(P63:P79)</f>
        <v>#DIV/0!</v>
      </c>
    </row>
  </sheetData>
  <mergeCells count="1">
    <mergeCell ref="O1:P1"/>
  </mergeCells>
  <drawing r:id="rId4"/>
  <legacyDrawing r:id="rId5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0.5"/>
  </cols>
  <sheetData>
    <row r="1">
      <c r="A1" s="139">
        <v>46291.0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</row>
    <row r="2">
      <c r="A2" s="141" t="s">
        <v>31</v>
      </c>
      <c r="B2" s="142" t="s">
        <v>107</v>
      </c>
      <c r="C2" s="142" t="s">
        <v>108</v>
      </c>
      <c r="D2" s="142" t="s">
        <v>109</v>
      </c>
      <c r="E2" s="142" t="s">
        <v>110</v>
      </c>
      <c r="F2" s="142" t="s">
        <v>111</v>
      </c>
      <c r="G2" s="142" t="s">
        <v>112</v>
      </c>
      <c r="H2" s="142" t="s">
        <v>113</v>
      </c>
      <c r="I2" s="142" t="s">
        <v>114</v>
      </c>
      <c r="J2" s="142" t="s">
        <v>115</v>
      </c>
      <c r="K2" s="142" t="s">
        <v>116</v>
      </c>
      <c r="L2" s="142" t="s">
        <v>117</v>
      </c>
      <c r="M2" s="142" t="s">
        <v>118</v>
      </c>
      <c r="N2" s="142" t="s">
        <v>119</v>
      </c>
      <c r="O2" s="142" t="s">
        <v>120</v>
      </c>
      <c r="P2" s="142" t="s">
        <v>121</v>
      </c>
      <c r="Q2" s="142" t="s">
        <v>122</v>
      </c>
      <c r="R2" s="142" t="s">
        <v>123</v>
      </c>
      <c r="S2" s="142" t="s">
        <v>124</v>
      </c>
      <c r="T2" s="142" t="s">
        <v>125</v>
      </c>
      <c r="U2" s="145" t="s">
        <v>82</v>
      </c>
    </row>
    <row r="3">
      <c r="A3" s="147" t="s">
        <v>126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</row>
    <row r="4">
      <c r="A4" s="149" t="s">
        <v>128</v>
      </c>
      <c r="B4" s="150">
        <v>381.0</v>
      </c>
      <c r="C4" s="150">
        <v>184.0</v>
      </c>
      <c r="D4" s="150">
        <v>471.0</v>
      </c>
      <c r="E4" s="150">
        <v>376.0</v>
      </c>
      <c r="F4" s="150">
        <v>180.0</v>
      </c>
      <c r="G4" s="150">
        <v>2210.0</v>
      </c>
      <c r="H4" s="151">
        <f>4230</f>
        <v>4230</v>
      </c>
      <c r="I4" s="150">
        <v>5995.0</v>
      </c>
      <c r="J4" s="150">
        <v>4390.0</v>
      </c>
      <c r="K4" s="150">
        <v>642.0</v>
      </c>
      <c r="L4" s="150">
        <v>173.0</v>
      </c>
      <c r="M4" s="150">
        <v>2190.0</v>
      </c>
      <c r="N4" s="150">
        <v>392.0</v>
      </c>
      <c r="O4" s="150">
        <v>83.0</v>
      </c>
      <c r="P4" s="150">
        <v>125.0</v>
      </c>
      <c r="Q4" s="150">
        <v>131.0</v>
      </c>
      <c r="R4" s="153"/>
      <c r="S4" s="151">
        <f>11788</f>
        <v>11788</v>
      </c>
      <c r="T4" s="150">
        <v>89938.0</v>
      </c>
      <c r="U4" s="154">
        <f t="shared" ref="U4:U19" si="1">sum(B4:T4)</f>
        <v>123879</v>
      </c>
    </row>
    <row r="5">
      <c r="A5" s="149" t="s">
        <v>129</v>
      </c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1">
        <v>0.0</v>
      </c>
      <c r="T5" s="153"/>
      <c r="U5" s="154">
        <f t="shared" si="1"/>
        <v>0</v>
      </c>
    </row>
    <row r="6">
      <c r="A6" s="149" t="s">
        <v>130</v>
      </c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1">
        <f>21380+44414/12+17450/12</f>
        <v>26535.33333</v>
      </c>
      <c r="T6" s="153"/>
      <c r="U6" s="154">
        <f t="shared" si="1"/>
        <v>26535.33333</v>
      </c>
    </row>
    <row r="7">
      <c r="A7" s="149" t="s">
        <v>131</v>
      </c>
      <c r="B7" s="153"/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0">
        <f>4917</f>
        <v>4917</v>
      </c>
      <c r="U7" s="154">
        <f t="shared" si="1"/>
        <v>4917</v>
      </c>
    </row>
    <row r="8">
      <c r="A8" s="149" t="s">
        <v>132</v>
      </c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1">
        <f>-3662.91+38</f>
        <v>-3624.91</v>
      </c>
      <c r="U8" s="154">
        <f t="shared" si="1"/>
        <v>-3624.91</v>
      </c>
    </row>
    <row r="9">
      <c r="A9" s="149" t="s">
        <v>136</v>
      </c>
      <c r="B9" s="150">
        <v>4000.0</v>
      </c>
      <c r="C9" s="150">
        <v>1000.0</v>
      </c>
      <c r="D9" s="153"/>
      <c r="E9" s="150">
        <v>2000.0</v>
      </c>
      <c r="F9" s="150">
        <v>3000.0</v>
      </c>
      <c r="G9" s="153"/>
      <c r="H9" s="153"/>
      <c r="I9" s="153"/>
      <c r="J9" s="150">
        <v>4500.0</v>
      </c>
      <c r="K9" s="150">
        <v>120.0</v>
      </c>
      <c r="L9" s="153"/>
      <c r="M9" s="153"/>
      <c r="N9" s="153"/>
      <c r="O9" s="153"/>
      <c r="P9" s="153"/>
      <c r="Q9" s="153"/>
      <c r="R9" s="153"/>
      <c r="S9" s="150">
        <v>11700.0</v>
      </c>
      <c r="T9" s="153"/>
      <c r="U9" s="154">
        <f t="shared" si="1"/>
        <v>26320</v>
      </c>
    </row>
    <row r="10">
      <c r="A10" s="149" t="s">
        <v>138</v>
      </c>
      <c r="B10" s="150">
        <v>5185.0</v>
      </c>
      <c r="C10" s="150">
        <v>330.0</v>
      </c>
      <c r="D10" s="150">
        <v>2130.0</v>
      </c>
      <c r="E10" s="150">
        <v>1000.0</v>
      </c>
      <c r="F10" s="150">
        <v>150.0</v>
      </c>
      <c r="G10" s="150">
        <v>2700.0</v>
      </c>
      <c r="H10" s="150">
        <v>8117.0</v>
      </c>
      <c r="I10" s="150">
        <v>450.0</v>
      </c>
      <c r="J10" s="150">
        <v>612.0</v>
      </c>
      <c r="K10" s="150">
        <v>1380.0</v>
      </c>
      <c r="L10" s="150">
        <v>200.0</v>
      </c>
      <c r="M10" s="150">
        <v>500.0</v>
      </c>
      <c r="N10" s="150">
        <v>615.0</v>
      </c>
      <c r="O10" s="150">
        <v>413.0</v>
      </c>
      <c r="P10" s="153"/>
      <c r="Q10" s="153"/>
      <c r="R10" s="153"/>
      <c r="S10" s="150">
        <v>35320.0</v>
      </c>
      <c r="T10" s="150">
        <v>12000.0</v>
      </c>
      <c r="U10" s="154">
        <f t="shared" si="1"/>
        <v>71102</v>
      </c>
    </row>
    <row r="11">
      <c r="A11" s="149" t="s">
        <v>141</v>
      </c>
      <c r="B11" s="150">
        <v>4085.03</v>
      </c>
      <c r="C11" s="153"/>
      <c r="D11" s="150">
        <v>3243.84</v>
      </c>
      <c r="E11" s="150">
        <v>1103.41</v>
      </c>
      <c r="F11" s="150">
        <v>1728.1</v>
      </c>
      <c r="G11" s="150">
        <v>3939.19</v>
      </c>
      <c r="H11" s="150">
        <v>4006.24</v>
      </c>
      <c r="I11" s="150">
        <v>1577.66</v>
      </c>
      <c r="J11" s="150">
        <v>1471.34</v>
      </c>
      <c r="K11" s="153"/>
      <c r="L11" s="150">
        <v>584.4</v>
      </c>
      <c r="M11" s="150">
        <v>4239.0</v>
      </c>
      <c r="N11" s="150">
        <v>23.71</v>
      </c>
      <c r="O11" s="150">
        <v>2517.36</v>
      </c>
      <c r="P11" s="153"/>
      <c r="Q11" s="153"/>
      <c r="R11" s="153"/>
      <c r="S11" s="153"/>
      <c r="T11" s="150">
        <f>7221.6+152.37</f>
        <v>7373.97</v>
      </c>
      <c r="U11" s="154">
        <f t="shared" si="1"/>
        <v>35893.25</v>
      </c>
    </row>
    <row r="12">
      <c r="A12" s="149" t="s">
        <v>142</v>
      </c>
      <c r="B12" s="153"/>
      <c r="C12" s="153"/>
      <c r="D12" s="150">
        <v>513.0</v>
      </c>
      <c r="E12" s="150">
        <v>180.0</v>
      </c>
      <c r="F12" s="150">
        <v>50.0</v>
      </c>
      <c r="G12" s="151">
        <f>480+9870</f>
        <v>10350</v>
      </c>
      <c r="H12" s="151">
        <f>1145+720</f>
        <v>1865</v>
      </c>
      <c r="I12" s="150">
        <v>600.0</v>
      </c>
      <c r="J12" s="150">
        <v>608.0</v>
      </c>
      <c r="K12" s="153"/>
      <c r="L12" s="150">
        <v>180.0</v>
      </c>
      <c r="M12" s="150">
        <v>415.0</v>
      </c>
      <c r="N12" s="150">
        <v>350.0</v>
      </c>
      <c r="O12" s="153"/>
      <c r="P12" s="150">
        <v>460.0</v>
      </c>
      <c r="Q12" s="153"/>
      <c r="R12" s="153"/>
      <c r="S12" s="150">
        <v>4600.0</v>
      </c>
      <c r="T12" s="153"/>
      <c r="U12" s="154">
        <f t="shared" si="1"/>
        <v>20171</v>
      </c>
    </row>
    <row r="13">
      <c r="A13" s="149" t="s">
        <v>144</v>
      </c>
      <c r="B13" s="153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3"/>
      <c r="U13" s="154">
        <f t="shared" si="1"/>
        <v>0</v>
      </c>
    </row>
    <row r="14">
      <c r="A14" s="149" t="s">
        <v>145</v>
      </c>
      <c r="B14" s="150">
        <v>6136.0</v>
      </c>
      <c r="C14" s="150">
        <v>6254.0</v>
      </c>
      <c r="D14" s="150">
        <v>6254.0</v>
      </c>
      <c r="E14" s="150">
        <v>6136.0</v>
      </c>
      <c r="F14" s="150">
        <v>6254.0</v>
      </c>
      <c r="G14" s="150">
        <v>6254.0</v>
      </c>
      <c r="H14" s="150">
        <v>6254.0</v>
      </c>
      <c r="I14" s="150">
        <v>6372.0</v>
      </c>
      <c r="J14" s="150">
        <v>6018.0</v>
      </c>
      <c r="K14" s="150">
        <v>6254.0</v>
      </c>
      <c r="L14" s="150">
        <v>6254.0</v>
      </c>
      <c r="M14" s="150">
        <v>6254.0</v>
      </c>
      <c r="N14" s="150">
        <v>6254.0</v>
      </c>
      <c r="O14" s="150">
        <v>6254.0</v>
      </c>
      <c r="P14" s="150">
        <v>6136.0</v>
      </c>
      <c r="Q14" s="153"/>
      <c r="R14" s="150">
        <v>6254.0</v>
      </c>
      <c r="S14" s="150">
        <v>6254.0</v>
      </c>
      <c r="T14" s="153"/>
      <c r="U14" s="154">
        <f t="shared" si="1"/>
        <v>105846</v>
      </c>
    </row>
    <row r="15">
      <c r="A15" s="149" t="s">
        <v>146</v>
      </c>
      <c r="B15" s="153"/>
      <c r="C15" s="153"/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4">
        <f t="shared" si="1"/>
        <v>0</v>
      </c>
    </row>
    <row r="16">
      <c r="A16" s="149" t="s">
        <v>147</v>
      </c>
      <c r="B16" s="150">
        <v>1803.0</v>
      </c>
      <c r="C16" s="153"/>
      <c r="D16" s="150">
        <v>548.0</v>
      </c>
      <c r="E16" s="150">
        <v>799.0</v>
      </c>
      <c r="F16" s="150">
        <v>605.0</v>
      </c>
      <c r="G16" s="150">
        <v>380.0</v>
      </c>
      <c r="H16" s="150">
        <v>574.0</v>
      </c>
      <c r="I16" s="150">
        <v>565.0</v>
      </c>
      <c r="J16" s="150">
        <v>1183.0</v>
      </c>
      <c r="K16" s="150">
        <v>104.0</v>
      </c>
      <c r="L16" s="150">
        <v>1710.0</v>
      </c>
      <c r="M16" s="150">
        <v>2514.0</v>
      </c>
      <c r="N16" s="150">
        <v>435.0</v>
      </c>
      <c r="O16" s="153"/>
      <c r="P16" s="153"/>
      <c r="Q16" s="153"/>
      <c r="R16" s="153"/>
      <c r="S16" s="153"/>
      <c r="T16" s="153"/>
      <c r="U16" s="154">
        <f t="shared" si="1"/>
        <v>11220</v>
      </c>
    </row>
    <row r="17">
      <c r="A17" s="149" t="s">
        <v>148</v>
      </c>
      <c r="B17" s="153"/>
      <c r="C17" s="153"/>
      <c r="D17" s="150">
        <v>4305.0</v>
      </c>
      <c r="E17" s="150">
        <v>1520.0</v>
      </c>
      <c r="F17" s="150">
        <v>600.0</v>
      </c>
      <c r="G17" s="153"/>
      <c r="H17" s="153"/>
      <c r="I17" s="150">
        <v>400.0</v>
      </c>
      <c r="J17" s="153"/>
      <c r="K17" s="150">
        <v>1505.0</v>
      </c>
      <c r="L17" s="153"/>
      <c r="M17" s="153"/>
      <c r="N17" s="150">
        <v>720.0</v>
      </c>
      <c r="O17" s="153"/>
      <c r="P17" s="153"/>
      <c r="Q17" s="153"/>
      <c r="R17" s="153"/>
      <c r="S17" s="150">
        <v>2950.0</v>
      </c>
      <c r="T17" s="153"/>
      <c r="U17" s="154">
        <f t="shared" si="1"/>
        <v>12000</v>
      </c>
    </row>
    <row r="18">
      <c r="A18" s="149" t="s">
        <v>88</v>
      </c>
      <c r="B18" s="150">
        <v>1070.0</v>
      </c>
      <c r="C18" s="153"/>
      <c r="D18" s="150">
        <v>234.0</v>
      </c>
      <c r="E18" s="153"/>
      <c r="F18" s="153"/>
      <c r="G18" s="153"/>
      <c r="H18" s="150">
        <v>66.0</v>
      </c>
      <c r="I18" s="150">
        <v>220.0</v>
      </c>
      <c r="J18" s="153"/>
      <c r="K18" s="150">
        <v>250.0</v>
      </c>
      <c r="L18" s="150">
        <v>473.0</v>
      </c>
      <c r="M18" s="150">
        <v>83.0</v>
      </c>
      <c r="N18" s="150">
        <v>225.0</v>
      </c>
      <c r="O18" s="150">
        <v>25.0</v>
      </c>
      <c r="P18" s="153"/>
      <c r="Q18" s="153"/>
      <c r="R18" s="153"/>
      <c r="S18" s="150">
        <v>5080.0</v>
      </c>
      <c r="T18" s="153"/>
      <c r="U18" s="154">
        <f t="shared" si="1"/>
        <v>7726</v>
      </c>
    </row>
    <row r="19">
      <c r="A19" s="149" t="s">
        <v>149</v>
      </c>
      <c r="B19" s="153"/>
      <c r="C19" s="153"/>
      <c r="D19" s="150">
        <v>150.0</v>
      </c>
      <c r="E19" s="153"/>
      <c r="F19" s="153"/>
      <c r="G19" s="153"/>
      <c r="H19" s="153"/>
      <c r="I19" s="153"/>
      <c r="J19" s="153"/>
      <c r="K19" s="153"/>
      <c r="L19" s="153"/>
      <c r="M19" s="153"/>
      <c r="N19" s="150">
        <v>190.0</v>
      </c>
      <c r="O19" s="153"/>
      <c r="P19" s="153"/>
      <c r="Q19" s="153"/>
      <c r="R19" s="153"/>
      <c r="S19" s="150">
        <v>76200.0</v>
      </c>
      <c r="T19" s="153"/>
      <c r="U19" s="154">
        <f t="shared" si="1"/>
        <v>76540</v>
      </c>
    </row>
    <row r="20">
      <c r="A20" s="149" t="s">
        <v>150</v>
      </c>
      <c r="B20" s="150">
        <v>749.94</v>
      </c>
      <c r="C20" s="163"/>
      <c r="D20" s="163"/>
      <c r="E20" s="163"/>
      <c r="F20" s="150">
        <v>78.5</v>
      </c>
      <c r="G20" s="163"/>
      <c r="H20" s="150">
        <v>310.83</v>
      </c>
      <c r="I20" s="150">
        <v>697.49</v>
      </c>
      <c r="J20" s="150">
        <v>30.0</v>
      </c>
      <c r="K20" s="163"/>
      <c r="L20" s="150">
        <v>1447.19</v>
      </c>
      <c r="M20" s="163"/>
      <c r="N20" s="150">
        <v>227.24</v>
      </c>
      <c r="O20" s="163"/>
      <c r="P20" s="163"/>
      <c r="Q20" s="163"/>
      <c r="R20" s="163"/>
      <c r="S20" s="163"/>
      <c r="T20" s="163"/>
      <c r="U20" s="154">
        <f>sum(B64:T64)</f>
        <v>4283.46</v>
      </c>
    </row>
    <row r="21">
      <c r="A21" s="149" t="s">
        <v>151</v>
      </c>
      <c r="B21" s="150">
        <v>6300.0</v>
      </c>
      <c r="C21" s="153"/>
      <c r="D21" s="153"/>
      <c r="E21" s="153"/>
      <c r="F21" s="153"/>
      <c r="G21" s="150"/>
      <c r="H21" s="150"/>
      <c r="I21" s="153"/>
      <c r="J21" s="153"/>
      <c r="K21" s="153"/>
      <c r="L21" s="153"/>
      <c r="M21" s="153"/>
      <c r="N21" s="153"/>
      <c r="O21" s="153"/>
      <c r="P21" s="153"/>
      <c r="Q21" s="153"/>
      <c r="R21" s="150"/>
      <c r="S21" s="153"/>
      <c r="T21" s="153"/>
      <c r="U21" s="154">
        <f t="shared" ref="U21:U37" si="2">sum(B21:T21)</f>
        <v>6300</v>
      </c>
    </row>
    <row r="22">
      <c r="A22" s="149" t="s">
        <v>31</v>
      </c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0">
        <v>118.0</v>
      </c>
      <c r="U22" s="154">
        <f t="shared" si="2"/>
        <v>118</v>
      </c>
    </row>
    <row r="23">
      <c r="A23" s="149" t="s">
        <v>153</v>
      </c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0">
        <v>254.88</v>
      </c>
      <c r="U23" s="154">
        <f t="shared" si="2"/>
        <v>254.88</v>
      </c>
    </row>
    <row r="24">
      <c r="A24" s="149" t="s">
        <v>154</v>
      </c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0"/>
      <c r="T24" s="153"/>
      <c r="U24" s="154">
        <f t="shared" si="2"/>
        <v>0</v>
      </c>
    </row>
    <row r="25">
      <c r="A25" s="149" t="s">
        <v>155</v>
      </c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153"/>
      <c r="S25" s="150"/>
      <c r="T25" s="153"/>
      <c r="U25" s="154">
        <f t="shared" si="2"/>
        <v>0</v>
      </c>
    </row>
    <row r="26">
      <c r="A26" s="149" t="s">
        <v>156</v>
      </c>
      <c r="B26" s="150" t="s">
        <v>94</v>
      </c>
      <c r="C26" s="153"/>
      <c r="D26" s="150">
        <v>1125.0</v>
      </c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  <c r="R26" s="153"/>
      <c r="S26" s="153"/>
      <c r="T26" s="153"/>
      <c r="U26" s="154">
        <f t="shared" si="2"/>
        <v>1125</v>
      </c>
    </row>
    <row r="27">
      <c r="A27" s="149" t="s">
        <v>157</v>
      </c>
      <c r="B27" s="153"/>
      <c r="C27" s="153"/>
      <c r="D27" s="153"/>
      <c r="E27" s="153"/>
      <c r="F27" s="153"/>
      <c r="G27" s="153"/>
      <c r="H27" s="150">
        <v>100.0</v>
      </c>
      <c r="I27" s="153"/>
      <c r="J27" s="153"/>
      <c r="K27" s="153"/>
      <c r="L27" s="153"/>
      <c r="M27" s="153"/>
      <c r="N27" s="153"/>
      <c r="O27" s="150">
        <v>88.0</v>
      </c>
      <c r="P27" s="153"/>
      <c r="Q27" s="153"/>
      <c r="R27" s="153"/>
      <c r="S27" s="150">
        <v>2636.0</v>
      </c>
      <c r="T27" s="153"/>
      <c r="U27" s="154">
        <f t="shared" si="2"/>
        <v>2824</v>
      </c>
    </row>
    <row r="28">
      <c r="A28" s="149" t="s">
        <v>158</v>
      </c>
      <c r="B28" s="150">
        <f>1179.46+75.71+340.91+673.5</f>
        <v>2269.58</v>
      </c>
      <c r="C28" s="153"/>
      <c r="D28" s="150">
        <f>168+379.3</f>
        <v>547.3</v>
      </c>
      <c r="E28" s="150">
        <f>1021.83+165</f>
        <v>1186.83</v>
      </c>
      <c r="F28" s="150">
        <v>1182.95</v>
      </c>
      <c r="G28" s="150">
        <f>178+86.16</f>
        <v>264.16</v>
      </c>
      <c r="H28" s="150">
        <f>219.83+185.9</f>
        <v>405.73</v>
      </c>
      <c r="I28" s="150">
        <v>1215.0</v>
      </c>
      <c r="J28" s="150">
        <f>148.04+102.69</f>
        <v>250.73</v>
      </c>
      <c r="K28" s="153"/>
      <c r="L28" s="150">
        <f>259.6+67.7</f>
        <v>327.3</v>
      </c>
      <c r="M28" s="150">
        <v>1946.0</v>
      </c>
      <c r="N28" s="153"/>
      <c r="O28" s="153"/>
      <c r="P28" s="153"/>
      <c r="Q28" s="153"/>
      <c r="R28" s="153"/>
      <c r="S28" s="153"/>
      <c r="T28" s="153"/>
      <c r="U28" s="154">
        <f t="shared" si="2"/>
        <v>9595.58</v>
      </c>
    </row>
    <row r="29">
      <c r="A29" s="149" t="s">
        <v>160</v>
      </c>
      <c r="B29" s="150">
        <v>44494.0</v>
      </c>
      <c r="C29" s="153"/>
      <c r="D29" s="150">
        <v>680.0</v>
      </c>
      <c r="E29" s="150">
        <v>1200.0</v>
      </c>
      <c r="F29" s="150">
        <v>680.0</v>
      </c>
      <c r="G29" s="153"/>
      <c r="H29" s="150">
        <v>680.0</v>
      </c>
      <c r="I29" s="150">
        <v>680.0</v>
      </c>
      <c r="J29" s="150">
        <f>1019+1150</f>
        <v>2169</v>
      </c>
      <c r="K29" s="153"/>
      <c r="L29" s="153"/>
      <c r="M29" s="150">
        <v>1360.0</v>
      </c>
      <c r="N29" s="153"/>
      <c r="O29" s="153"/>
      <c r="P29" s="151">
        <f>700</f>
        <v>700</v>
      </c>
      <c r="Q29" s="153"/>
      <c r="R29" s="153"/>
      <c r="S29" s="150">
        <v>33040.0</v>
      </c>
      <c r="T29" s="153"/>
      <c r="U29" s="154">
        <f t="shared" si="2"/>
        <v>85683</v>
      </c>
    </row>
    <row r="30">
      <c r="A30" s="149" t="s">
        <v>161</v>
      </c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4">
        <f t="shared" si="2"/>
        <v>0</v>
      </c>
    </row>
    <row r="31">
      <c r="A31" s="149" t="s">
        <v>162</v>
      </c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4">
        <f t="shared" si="2"/>
        <v>0</v>
      </c>
    </row>
    <row r="32">
      <c r="A32" s="149" t="s">
        <v>163</v>
      </c>
      <c r="B32" s="150">
        <v>809.84</v>
      </c>
      <c r="C32" s="153"/>
      <c r="D32" s="150">
        <v>1433.8</v>
      </c>
      <c r="E32" s="150">
        <v>377.79</v>
      </c>
      <c r="F32" s="150">
        <v>835.6</v>
      </c>
      <c r="G32" s="150">
        <v>1020.37</v>
      </c>
      <c r="H32" s="150">
        <v>1460.4</v>
      </c>
      <c r="I32" s="150">
        <v>1054.51</v>
      </c>
      <c r="J32" s="150">
        <v>968.0</v>
      </c>
      <c r="K32" s="153"/>
      <c r="L32" s="150">
        <v>555.4</v>
      </c>
      <c r="M32" s="150">
        <v>984.97</v>
      </c>
      <c r="N32" s="150">
        <v>45.84</v>
      </c>
      <c r="O32" s="150">
        <v>699.02</v>
      </c>
      <c r="P32" s="153"/>
      <c r="Q32" s="153"/>
      <c r="R32" s="150">
        <v>224.48</v>
      </c>
      <c r="S32" s="153"/>
      <c r="T32" s="150">
        <v>4039.14</v>
      </c>
      <c r="U32" s="154">
        <f t="shared" si="2"/>
        <v>14509.16</v>
      </c>
    </row>
    <row r="33">
      <c r="A33" s="149" t="s">
        <v>164</v>
      </c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0">
        <v>39305.0</v>
      </c>
      <c r="T33" s="153"/>
      <c r="U33" s="154">
        <f t="shared" si="2"/>
        <v>39305</v>
      </c>
    </row>
    <row r="34">
      <c r="A34" s="149" t="s">
        <v>122</v>
      </c>
      <c r="B34" s="153"/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0">
        <v>25000.0</v>
      </c>
      <c r="R34" s="153"/>
      <c r="S34" s="153"/>
      <c r="T34" s="153"/>
      <c r="U34" s="154">
        <f t="shared" si="2"/>
        <v>25000</v>
      </c>
    </row>
    <row r="35">
      <c r="A35" s="149" t="s">
        <v>165</v>
      </c>
      <c r="B35" s="153"/>
      <c r="C35" s="153"/>
      <c r="D35" s="150">
        <v>1790.0</v>
      </c>
      <c r="E35" s="153"/>
      <c r="F35" s="153"/>
      <c r="G35" s="153"/>
      <c r="H35" s="153"/>
      <c r="I35" s="153"/>
      <c r="J35" s="153"/>
      <c r="K35" s="153"/>
      <c r="L35" s="153"/>
      <c r="M35" s="150">
        <v>1600.0</v>
      </c>
      <c r="N35" s="153"/>
      <c r="O35" s="153"/>
      <c r="P35" s="153"/>
      <c r="Q35" s="153"/>
      <c r="R35" s="153"/>
      <c r="S35" s="153"/>
      <c r="T35" s="153"/>
      <c r="U35" s="154">
        <f t="shared" si="2"/>
        <v>3390</v>
      </c>
    </row>
    <row r="36">
      <c r="A36" s="149" t="s">
        <v>166</v>
      </c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3"/>
      <c r="M36" s="153"/>
      <c r="N36" s="153"/>
      <c r="O36" s="153"/>
      <c r="P36" s="153"/>
      <c r="Q36" s="153"/>
      <c r="R36" s="153"/>
      <c r="S36" s="153"/>
      <c r="T36" s="150">
        <v>4000.0</v>
      </c>
      <c r="U36" s="154">
        <f t="shared" si="2"/>
        <v>4000</v>
      </c>
    </row>
    <row r="37">
      <c r="A37" s="149" t="s">
        <v>167</v>
      </c>
      <c r="B37" s="150">
        <v>1180.0</v>
      </c>
      <c r="C37" s="153"/>
      <c r="D37" s="153"/>
      <c r="E37" s="153"/>
      <c r="F37" s="153"/>
      <c r="G37" s="153"/>
      <c r="H37" s="153"/>
      <c r="I37" s="153"/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153"/>
      <c r="U37" s="154">
        <f t="shared" si="2"/>
        <v>1180</v>
      </c>
    </row>
    <row r="38">
      <c r="A38" s="164"/>
      <c r="B38" s="154">
        <f t="shared" ref="B38:U38" si="3">SUM(B4:B37)</f>
        <v>78463.39</v>
      </c>
      <c r="C38" s="154">
        <f t="shared" si="3"/>
        <v>7768</v>
      </c>
      <c r="D38" s="154">
        <f t="shared" si="3"/>
        <v>23424.94</v>
      </c>
      <c r="E38" s="154">
        <f t="shared" si="3"/>
        <v>15879.03</v>
      </c>
      <c r="F38" s="154">
        <f t="shared" si="3"/>
        <v>15344.15</v>
      </c>
      <c r="G38" s="154">
        <f t="shared" si="3"/>
        <v>27117.72</v>
      </c>
      <c r="H38" s="154">
        <f t="shared" si="3"/>
        <v>28069.2</v>
      </c>
      <c r="I38" s="154">
        <f t="shared" si="3"/>
        <v>19826.66</v>
      </c>
      <c r="J38" s="154">
        <f t="shared" si="3"/>
        <v>22200.07</v>
      </c>
      <c r="K38" s="154">
        <f t="shared" si="3"/>
        <v>10255</v>
      </c>
      <c r="L38" s="154">
        <f t="shared" si="3"/>
        <v>11904.29</v>
      </c>
      <c r="M38" s="154">
        <f t="shared" si="3"/>
        <v>22085.97</v>
      </c>
      <c r="N38" s="154">
        <f t="shared" si="3"/>
        <v>9477.79</v>
      </c>
      <c r="O38" s="154">
        <f t="shared" si="3"/>
        <v>10079.38</v>
      </c>
      <c r="P38" s="154">
        <f t="shared" si="3"/>
        <v>7421</v>
      </c>
      <c r="Q38" s="154">
        <f t="shared" si="3"/>
        <v>25131</v>
      </c>
      <c r="R38" s="154">
        <f t="shared" si="3"/>
        <v>6478.48</v>
      </c>
      <c r="S38" s="154">
        <f t="shared" si="3"/>
        <v>255408.3333</v>
      </c>
      <c r="T38" s="154">
        <f t="shared" si="3"/>
        <v>119016.08</v>
      </c>
      <c r="U38" s="154">
        <f t="shared" si="3"/>
        <v>716092.7533</v>
      </c>
    </row>
    <row r="39">
      <c r="A39" s="147" t="s">
        <v>30</v>
      </c>
      <c r="B39" s="153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48"/>
    </row>
    <row r="40">
      <c r="A40" s="149" t="s">
        <v>168</v>
      </c>
      <c r="B40" s="150">
        <v>8260.0</v>
      </c>
      <c r="C40" s="153"/>
      <c r="D40" s="153"/>
      <c r="E40" s="153"/>
      <c r="F40" s="153"/>
      <c r="G40" s="150">
        <v>15000.0</v>
      </c>
      <c r="H40" s="150">
        <v>21000.0</v>
      </c>
      <c r="I40" s="153"/>
      <c r="J40" s="153"/>
      <c r="K40" s="153"/>
      <c r="L40" s="153"/>
      <c r="M40" s="153"/>
      <c r="N40" s="153"/>
      <c r="O40" s="153"/>
      <c r="P40" s="153"/>
      <c r="Q40" s="153"/>
      <c r="R40" s="153"/>
      <c r="S40" s="153"/>
      <c r="T40" s="153"/>
      <c r="U40" s="154">
        <f t="shared" ref="U40:U42" si="4">sum(B40:T40)</f>
        <v>44260</v>
      </c>
    </row>
    <row r="41">
      <c r="A41" s="149" t="s">
        <v>169</v>
      </c>
      <c r="B41" s="150">
        <v>3500.0</v>
      </c>
      <c r="C41" s="153"/>
      <c r="D41" s="150">
        <v>4500.0</v>
      </c>
      <c r="E41" s="153"/>
      <c r="F41" s="153"/>
      <c r="G41" s="153"/>
      <c r="H41" s="153"/>
      <c r="I41" s="153"/>
      <c r="J41" s="153"/>
      <c r="K41" s="153"/>
      <c r="L41" s="153"/>
      <c r="M41" s="150">
        <v>1200.0</v>
      </c>
      <c r="N41" s="153"/>
      <c r="O41" s="153"/>
      <c r="P41" s="153"/>
      <c r="Q41" s="153"/>
      <c r="R41" s="153"/>
      <c r="S41" s="150">
        <v>1500.0</v>
      </c>
      <c r="T41" s="153"/>
      <c r="U41" s="154">
        <f t="shared" si="4"/>
        <v>10700</v>
      </c>
    </row>
    <row r="42">
      <c r="A42" s="149" t="s">
        <v>170</v>
      </c>
      <c r="B42" s="150">
        <v>6604.0</v>
      </c>
      <c r="C42" s="150">
        <v>120.0</v>
      </c>
      <c r="D42" s="150">
        <v>1220.0</v>
      </c>
      <c r="E42" s="150">
        <v>1950.0</v>
      </c>
      <c r="F42" s="150">
        <v>782.0</v>
      </c>
      <c r="G42" s="150">
        <v>10633.0</v>
      </c>
      <c r="H42" s="150">
        <v>2121.0</v>
      </c>
      <c r="I42" s="150">
        <v>915.0</v>
      </c>
      <c r="J42" s="150">
        <v>4112.0</v>
      </c>
      <c r="K42" s="150"/>
      <c r="L42" s="150">
        <v>2600.0</v>
      </c>
      <c r="M42" s="150">
        <v>4696.0</v>
      </c>
      <c r="N42" s="153"/>
      <c r="O42" s="153"/>
      <c r="P42" s="150">
        <v>600.0</v>
      </c>
      <c r="Q42" s="153"/>
      <c r="R42" s="153"/>
      <c r="S42" s="150">
        <v>89190.0</v>
      </c>
      <c r="T42" s="153"/>
      <c r="U42" s="154">
        <f t="shared" si="4"/>
        <v>125543</v>
      </c>
    </row>
    <row r="43">
      <c r="A43" s="164"/>
      <c r="B43" s="154">
        <f t="shared" ref="B43:U43" si="5">SUM(B40:B42)</f>
        <v>18364</v>
      </c>
      <c r="C43" s="154">
        <f t="shared" si="5"/>
        <v>120</v>
      </c>
      <c r="D43" s="154">
        <f t="shared" si="5"/>
        <v>5720</v>
      </c>
      <c r="E43" s="154">
        <f t="shared" si="5"/>
        <v>1950</v>
      </c>
      <c r="F43" s="154">
        <f t="shared" si="5"/>
        <v>782</v>
      </c>
      <c r="G43" s="154">
        <f t="shared" si="5"/>
        <v>25633</v>
      </c>
      <c r="H43" s="154">
        <f t="shared" si="5"/>
        <v>23121</v>
      </c>
      <c r="I43" s="154">
        <f t="shared" si="5"/>
        <v>915</v>
      </c>
      <c r="J43" s="154">
        <f t="shared" si="5"/>
        <v>4112</v>
      </c>
      <c r="K43" s="154">
        <f t="shared" si="5"/>
        <v>0</v>
      </c>
      <c r="L43" s="154">
        <f t="shared" si="5"/>
        <v>2600</v>
      </c>
      <c r="M43" s="154">
        <f t="shared" si="5"/>
        <v>5896</v>
      </c>
      <c r="N43" s="154">
        <f t="shared" si="5"/>
        <v>0</v>
      </c>
      <c r="O43" s="154">
        <f t="shared" si="5"/>
        <v>0</v>
      </c>
      <c r="P43" s="154">
        <f t="shared" si="5"/>
        <v>600</v>
      </c>
      <c r="Q43" s="154">
        <f t="shared" si="5"/>
        <v>0</v>
      </c>
      <c r="R43" s="154">
        <f t="shared" si="5"/>
        <v>0</v>
      </c>
      <c r="S43" s="154">
        <f t="shared" si="5"/>
        <v>90690</v>
      </c>
      <c r="T43" s="154">
        <f t="shared" si="5"/>
        <v>0</v>
      </c>
      <c r="U43" s="154">
        <f t="shared" si="5"/>
        <v>180503</v>
      </c>
    </row>
    <row r="44">
      <c r="A44" s="139"/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</row>
    <row r="45">
      <c r="A45" s="139">
        <v>46260.0</v>
      </c>
      <c r="B45" s="139"/>
      <c r="C45" s="139"/>
      <c r="D45" s="139"/>
      <c r="E45" s="139"/>
      <c r="F45" s="139"/>
      <c r="G45" s="139"/>
      <c r="H45" s="139"/>
      <c r="I45" s="139"/>
      <c r="J45" s="139"/>
      <c r="K45" s="139"/>
      <c r="L45" s="139"/>
      <c r="M45" s="139"/>
      <c r="N45" s="139"/>
      <c r="O45" s="139"/>
      <c r="P45" s="139"/>
      <c r="Q45" s="139"/>
      <c r="R45" s="139"/>
      <c r="S45" s="139"/>
      <c r="T45" s="139"/>
      <c r="U45" s="139"/>
    </row>
    <row r="46">
      <c r="A46" s="141" t="s">
        <v>31</v>
      </c>
      <c r="B46" s="142" t="s">
        <v>107</v>
      </c>
      <c r="C46" s="142" t="s">
        <v>108</v>
      </c>
      <c r="D46" s="142" t="s">
        <v>109</v>
      </c>
      <c r="E46" s="142" t="s">
        <v>110</v>
      </c>
      <c r="F46" s="142" t="s">
        <v>111</v>
      </c>
      <c r="G46" s="142" t="s">
        <v>112</v>
      </c>
      <c r="H46" s="142" t="s">
        <v>113</v>
      </c>
      <c r="I46" s="142" t="s">
        <v>114</v>
      </c>
      <c r="J46" s="142" t="s">
        <v>115</v>
      </c>
      <c r="K46" s="142" t="s">
        <v>116</v>
      </c>
      <c r="L46" s="142" t="s">
        <v>117</v>
      </c>
      <c r="M46" s="142" t="s">
        <v>118</v>
      </c>
      <c r="N46" s="142" t="s">
        <v>119</v>
      </c>
      <c r="O46" s="142" t="s">
        <v>120</v>
      </c>
      <c r="P46" s="142" t="s">
        <v>121</v>
      </c>
      <c r="Q46" s="142" t="s">
        <v>122</v>
      </c>
      <c r="R46" s="142" t="s">
        <v>123</v>
      </c>
      <c r="S46" s="142" t="s">
        <v>124</v>
      </c>
      <c r="T46" s="142" t="s">
        <v>125</v>
      </c>
      <c r="U46" s="145" t="s">
        <v>82</v>
      </c>
    </row>
    <row r="47">
      <c r="A47" s="147" t="s">
        <v>126</v>
      </c>
      <c r="B47" s="148"/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</row>
    <row r="48">
      <c r="A48" s="149" t="s">
        <v>128</v>
      </c>
      <c r="B48" s="150">
        <v>872.0</v>
      </c>
      <c r="C48" s="150">
        <v>178.0</v>
      </c>
      <c r="D48" s="150">
        <v>241.0</v>
      </c>
      <c r="E48" s="150">
        <v>370.0</v>
      </c>
      <c r="F48" s="150">
        <v>376.0</v>
      </c>
      <c r="G48" s="150">
        <v>705.0</v>
      </c>
      <c r="H48" s="150">
        <f>328+2198</f>
        <v>2526</v>
      </c>
      <c r="I48" s="153"/>
      <c r="J48" s="150">
        <v>8132.0</v>
      </c>
      <c r="K48" s="150">
        <v>455.0</v>
      </c>
      <c r="L48" s="150">
        <v>195.0</v>
      </c>
      <c r="M48" s="151">
        <f>1881</f>
        <v>1881</v>
      </c>
      <c r="N48" s="150">
        <v>120.0</v>
      </c>
      <c r="O48" s="150">
        <v>171.0</v>
      </c>
      <c r="P48" s="150">
        <v>157.0</v>
      </c>
      <c r="Q48" s="150">
        <v>1457.0</v>
      </c>
      <c r="R48" s="153"/>
      <c r="S48" s="150">
        <v>15127.0</v>
      </c>
      <c r="T48" s="153"/>
      <c r="U48" s="154">
        <f t="shared" ref="U48:U83" si="6">sum(B48:T48)</f>
        <v>32963</v>
      </c>
    </row>
    <row r="49">
      <c r="A49" s="149" t="s">
        <v>129</v>
      </c>
      <c r="B49" s="153"/>
      <c r="C49" s="163"/>
      <c r="D49" s="153"/>
      <c r="E49" s="153"/>
      <c r="F49" s="153"/>
      <c r="G49" s="153"/>
      <c r="H49" s="153"/>
      <c r="I49" s="153"/>
      <c r="J49" s="153"/>
      <c r="K49" s="153"/>
      <c r="L49" s="153"/>
      <c r="M49" s="163"/>
      <c r="N49" s="153"/>
      <c r="O49" s="153"/>
      <c r="P49" s="153"/>
      <c r="Q49" s="153"/>
      <c r="R49" s="153"/>
      <c r="S49" s="151">
        <f>22700</f>
        <v>22700</v>
      </c>
      <c r="T49" s="153"/>
      <c r="U49" s="154">
        <f t="shared" si="6"/>
        <v>22700</v>
      </c>
    </row>
    <row r="50">
      <c r="A50" s="149" t="s">
        <v>130</v>
      </c>
      <c r="B50" s="153"/>
      <c r="C50" s="153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1">
        <f>57760+44414/12</f>
        <v>61461.16667</v>
      </c>
      <c r="T50" s="153"/>
      <c r="U50" s="154">
        <f t="shared" si="6"/>
        <v>61461.16667</v>
      </c>
    </row>
    <row r="51">
      <c r="A51" s="149" t="s">
        <v>131</v>
      </c>
      <c r="B51" s="153"/>
      <c r="C51" s="153"/>
      <c r="D51" s="153"/>
      <c r="E51" s="153"/>
      <c r="F51" s="153"/>
      <c r="G51" s="153"/>
      <c r="H51" s="153"/>
      <c r="I51" s="153"/>
      <c r="J51" s="153"/>
      <c r="K51" s="153"/>
      <c r="L51" s="153"/>
      <c r="M51" s="150">
        <v>4357.0</v>
      </c>
      <c r="N51" s="153"/>
      <c r="O51" s="153"/>
      <c r="P51" s="153"/>
      <c r="Q51" s="153"/>
      <c r="R51" s="153"/>
      <c r="S51" s="153"/>
      <c r="T51" s="150">
        <v>1858.0</v>
      </c>
      <c r="U51" s="154">
        <f t="shared" si="6"/>
        <v>6215</v>
      </c>
    </row>
    <row r="52">
      <c r="A52" s="149" t="s">
        <v>132</v>
      </c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150">
        <f>-3400.95+50.1</f>
        <v>-3350.85</v>
      </c>
      <c r="U52" s="154">
        <f t="shared" si="6"/>
        <v>-3350.85</v>
      </c>
    </row>
    <row r="53">
      <c r="A53" s="149" t="s">
        <v>136</v>
      </c>
      <c r="B53" s="150">
        <v>4000.0</v>
      </c>
      <c r="C53" s="153"/>
      <c r="D53" s="153"/>
      <c r="E53" s="151">
        <f>2000</f>
        <v>2000</v>
      </c>
      <c r="F53" s="151">
        <f>3000</f>
        <v>3000</v>
      </c>
      <c r="G53" s="153"/>
      <c r="H53" s="153"/>
      <c r="I53" s="153"/>
      <c r="J53" s="150">
        <v>4500.0</v>
      </c>
      <c r="K53" s="150">
        <v>70.0</v>
      </c>
      <c r="L53" s="153"/>
      <c r="M53" s="153"/>
      <c r="N53" s="153"/>
      <c r="O53" s="150">
        <v>50.0</v>
      </c>
      <c r="P53" s="153"/>
      <c r="Q53" s="153"/>
      <c r="R53" s="153"/>
      <c r="S53" s="150">
        <v>10980.0</v>
      </c>
      <c r="T53" s="153"/>
      <c r="U53" s="154">
        <f t="shared" si="6"/>
        <v>24600</v>
      </c>
    </row>
    <row r="54">
      <c r="A54" s="149" t="s">
        <v>138</v>
      </c>
      <c r="B54" s="150">
        <v>1130.0</v>
      </c>
      <c r="C54" s="153"/>
      <c r="D54" s="150">
        <v>3135.0</v>
      </c>
      <c r="E54" s="150">
        <v>400.0</v>
      </c>
      <c r="F54" s="153"/>
      <c r="G54" s="150">
        <v>2500.0</v>
      </c>
      <c r="H54" s="150">
        <v>1565.0</v>
      </c>
      <c r="I54" s="153"/>
      <c r="J54" s="150">
        <v>1500.0</v>
      </c>
      <c r="K54" s="150">
        <v>810.0</v>
      </c>
      <c r="L54" s="150">
        <v>695.0</v>
      </c>
      <c r="M54" s="150">
        <v>500.0</v>
      </c>
      <c r="N54" s="150">
        <v>360.0</v>
      </c>
      <c r="O54" s="153"/>
      <c r="P54" s="150">
        <v>908.0</v>
      </c>
      <c r="Q54" s="150">
        <v>300.0</v>
      </c>
      <c r="R54" s="153"/>
      <c r="S54" s="150">
        <v>13755.0</v>
      </c>
      <c r="T54" s="153"/>
      <c r="U54" s="154">
        <f t="shared" si="6"/>
        <v>27558</v>
      </c>
    </row>
    <row r="55">
      <c r="A55" s="149" t="s">
        <v>141</v>
      </c>
      <c r="B55" s="150">
        <v>3902.66</v>
      </c>
      <c r="C55" s="150">
        <v>4.26</v>
      </c>
      <c r="D55" s="150">
        <v>3948.61</v>
      </c>
      <c r="E55" s="150">
        <v>1451.85</v>
      </c>
      <c r="F55" s="150">
        <v>2051.86</v>
      </c>
      <c r="G55" s="150">
        <v>5578.34</v>
      </c>
      <c r="H55" s="150">
        <v>4653.01</v>
      </c>
      <c r="I55" s="150">
        <v>1803.81</v>
      </c>
      <c r="J55" s="150">
        <v>1823.35</v>
      </c>
      <c r="K55" s="153"/>
      <c r="L55" s="150">
        <v>605.61</v>
      </c>
      <c r="M55" s="150">
        <v>3874.65</v>
      </c>
      <c r="N55" s="150">
        <v>66.66</v>
      </c>
      <c r="O55" s="150">
        <v>2855.89</v>
      </c>
      <c r="P55" s="153"/>
      <c r="Q55" s="153"/>
      <c r="R55" s="153"/>
      <c r="S55" s="153"/>
      <c r="T55" s="150">
        <v>6957.54</v>
      </c>
      <c r="U55" s="154">
        <f t="shared" si="6"/>
        <v>39578.1</v>
      </c>
    </row>
    <row r="56">
      <c r="A56" s="149" t="s">
        <v>142</v>
      </c>
      <c r="B56" s="153"/>
      <c r="C56" s="150">
        <v>30.0</v>
      </c>
      <c r="D56" s="150">
        <v>487.0</v>
      </c>
      <c r="E56" s="150">
        <v>850.0</v>
      </c>
      <c r="F56" s="150">
        <v>240.0</v>
      </c>
      <c r="G56" s="150">
        <v>305.0</v>
      </c>
      <c r="H56" s="150">
        <f>1534+1396</f>
        <v>2930</v>
      </c>
      <c r="I56" s="150">
        <v>750.0</v>
      </c>
      <c r="J56" s="150">
        <v>833.0</v>
      </c>
      <c r="K56" s="150">
        <v>790.0</v>
      </c>
      <c r="L56" s="150">
        <v>265.0</v>
      </c>
      <c r="M56" s="150">
        <v>624.0</v>
      </c>
      <c r="N56" s="150">
        <v>372.0</v>
      </c>
      <c r="O56" s="150">
        <v>790.0</v>
      </c>
      <c r="P56" s="150">
        <v>16750.0</v>
      </c>
      <c r="Q56" s="153"/>
      <c r="R56" s="150">
        <v>1200.0</v>
      </c>
      <c r="S56" s="150">
        <v>13280.0</v>
      </c>
      <c r="T56" s="153"/>
      <c r="U56" s="154">
        <f t="shared" si="6"/>
        <v>40496</v>
      </c>
    </row>
    <row r="57">
      <c r="A57" s="149" t="s">
        <v>144</v>
      </c>
      <c r="B57" s="153"/>
      <c r="C57" s="153"/>
      <c r="D57" s="153"/>
      <c r="E57" s="153"/>
      <c r="F57" s="153"/>
      <c r="G57" s="153"/>
      <c r="H57" s="153"/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4">
        <f t="shared" si="6"/>
        <v>0</v>
      </c>
    </row>
    <row r="58">
      <c r="A58" s="149" t="s">
        <v>145</v>
      </c>
      <c r="B58" s="153"/>
      <c r="C58" s="153"/>
      <c r="D58" s="153"/>
      <c r="E58" s="153"/>
      <c r="F58" s="153"/>
      <c r="G58" s="153"/>
      <c r="H58" s="153"/>
      <c r="I58" s="153"/>
      <c r="J58" s="153"/>
      <c r="K58" s="153"/>
      <c r="L58" s="153"/>
      <c r="M58" s="153"/>
      <c r="N58" s="153"/>
      <c r="O58" s="153"/>
      <c r="P58" s="153"/>
      <c r="Q58" s="153"/>
      <c r="R58" s="153"/>
      <c r="S58" s="153"/>
      <c r="T58" s="153"/>
      <c r="U58" s="154">
        <f t="shared" si="6"/>
        <v>0</v>
      </c>
    </row>
    <row r="59">
      <c r="A59" s="149" t="s">
        <v>146</v>
      </c>
      <c r="B59" s="153"/>
      <c r="C59" s="153"/>
      <c r="D59" s="153"/>
      <c r="E59" s="153"/>
      <c r="F59" s="153"/>
      <c r="G59" s="153"/>
      <c r="H59" s="153"/>
      <c r="I59" s="153"/>
      <c r="J59" s="153"/>
      <c r="K59" s="153"/>
      <c r="L59" s="153"/>
      <c r="M59" s="153"/>
      <c r="N59" s="163"/>
      <c r="O59" s="153"/>
      <c r="P59" s="153"/>
      <c r="Q59" s="153"/>
      <c r="R59" s="153"/>
      <c r="S59" s="153"/>
      <c r="T59" s="153"/>
      <c r="U59" s="154">
        <f t="shared" si="6"/>
        <v>0</v>
      </c>
    </row>
    <row r="60">
      <c r="A60" s="149" t="s">
        <v>147</v>
      </c>
      <c r="B60" s="150">
        <v>1972.0</v>
      </c>
      <c r="C60" s="153"/>
      <c r="D60" s="150">
        <v>30.0</v>
      </c>
      <c r="E60" s="150">
        <v>213.0</v>
      </c>
      <c r="F60" s="150">
        <v>2432.0</v>
      </c>
      <c r="G60" s="150">
        <v>120.0</v>
      </c>
      <c r="H60" s="150">
        <v>3178.0</v>
      </c>
      <c r="I60" s="150">
        <v>1153.0</v>
      </c>
      <c r="J60" s="150">
        <v>1972.0</v>
      </c>
      <c r="K60" s="150">
        <v>1921.0</v>
      </c>
      <c r="L60" s="150">
        <v>1288.0</v>
      </c>
      <c r="M60" s="150">
        <v>580.0</v>
      </c>
      <c r="N60" s="150">
        <v>3092.0</v>
      </c>
      <c r="O60" s="153"/>
      <c r="P60" s="153"/>
      <c r="Q60" s="153"/>
      <c r="R60" s="153"/>
      <c r="S60" s="153"/>
      <c r="T60" s="153"/>
      <c r="U60" s="154">
        <f t="shared" si="6"/>
        <v>17951</v>
      </c>
    </row>
    <row r="61">
      <c r="A61" s="149" t="s">
        <v>148</v>
      </c>
      <c r="B61" s="153"/>
      <c r="C61" s="153"/>
      <c r="D61" s="150">
        <v>3920.0</v>
      </c>
      <c r="E61" s="150">
        <v>310.0</v>
      </c>
      <c r="F61" s="150">
        <v>280.0</v>
      </c>
      <c r="G61" s="153"/>
      <c r="H61" s="153"/>
      <c r="I61" s="153"/>
      <c r="J61" s="153"/>
      <c r="K61" s="150">
        <v>1222.0</v>
      </c>
      <c r="L61" s="153"/>
      <c r="M61" s="153"/>
      <c r="N61" s="150">
        <v>600.0</v>
      </c>
      <c r="O61" s="153"/>
      <c r="P61" s="153"/>
      <c r="Q61" s="153"/>
      <c r="R61" s="153"/>
      <c r="S61" s="150">
        <v>2860.0</v>
      </c>
      <c r="T61" s="153"/>
      <c r="U61" s="154">
        <f t="shared" si="6"/>
        <v>9192</v>
      </c>
    </row>
    <row r="62">
      <c r="A62" s="149" t="s">
        <v>88</v>
      </c>
      <c r="B62" s="150">
        <v>1140.0</v>
      </c>
      <c r="C62" s="150">
        <v>500.0</v>
      </c>
      <c r="D62" s="153"/>
      <c r="E62" s="153"/>
      <c r="F62" s="153"/>
      <c r="G62" s="153"/>
      <c r="H62" s="151">
        <f>101</f>
        <v>101</v>
      </c>
      <c r="I62" s="153"/>
      <c r="J62" s="150">
        <v>344.0</v>
      </c>
      <c r="K62" s="153"/>
      <c r="L62" s="153"/>
      <c r="M62" s="150">
        <v>180.0</v>
      </c>
      <c r="N62" s="153"/>
      <c r="O62" s="150">
        <v>50.0</v>
      </c>
      <c r="P62" s="153"/>
      <c r="Q62" s="150">
        <v>180.0</v>
      </c>
      <c r="R62" s="153"/>
      <c r="S62" s="150">
        <v>1735.0</v>
      </c>
      <c r="T62" s="150">
        <v>118.0</v>
      </c>
      <c r="U62" s="154">
        <f t="shared" si="6"/>
        <v>4348</v>
      </c>
    </row>
    <row r="63">
      <c r="A63" s="149" t="s">
        <v>149</v>
      </c>
      <c r="B63" s="153"/>
      <c r="C63" s="153"/>
      <c r="D63" s="150">
        <v>100.0</v>
      </c>
      <c r="E63" s="153"/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153"/>
      <c r="Q63" s="153"/>
      <c r="R63" s="153"/>
      <c r="S63" s="150">
        <v>1293.0</v>
      </c>
      <c r="T63" s="153"/>
      <c r="U63" s="154">
        <f t="shared" si="6"/>
        <v>1393</v>
      </c>
    </row>
    <row r="64">
      <c r="A64" s="149" t="s">
        <v>150</v>
      </c>
      <c r="B64" s="150">
        <v>1498.96</v>
      </c>
      <c r="C64" s="153"/>
      <c r="D64" s="153"/>
      <c r="E64" s="150">
        <v>140.0</v>
      </c>
      <c r="F64" s="150">
        <v>103.29</v>
      </c>
      <c r="G64" s="153"/>
      <c r="H64" s="153"/>
      <c r="I64" s="150">
        <v>545.26</v>
      </c>
      <c r="J64" s="150">
        <v>584.42</v>
      </c>
      <c r="K64" s="150">
        <v>53.91</v>
      </c>
      <c r="L64" s="150">
        <v>590.14</v>
      </c>
      <c r="M64" s="150">
        <v>193.95</v>
      </c>
      <c r="N64" s="150">
        <v>573.53</v>
      </c>
      <c r="O64" s="153"/>
      <c r="P64" s="153"/>
      <c r="Q64" s="153"/>
      <c r="R64" s="153"/>
      <c r="S64" s="153"/>
      <c r="T64" s="153"/>
      <c r="U64" s="154">
        <f t="shared" si="6"/>
        <v>4283.46</v>
      </c>
    </row>
    <row r="65">
      <c r="A65" s="149" t="s">
        <v>151</v>
      </c>
      <c r="B65" s="153"/>
      <c r="C65" s="153"/>
      <c r="D65" s="153"/>
      <c r="E65" s="153"/>
      <c r="F65" s="153"/>
      <c r="G65" s="150">
        <v>2600.0</v>
      </c>
      <c r="H65" s="150">
        <v>4200.0</v>
      </c>
      <c r="I65" s="153"/>
      <c r="J65" s="153"/>
      <c r="K65" s="153"/>
      <c r="L65" s="153"/>
      <c r="M65" s="153"/>
      <c r="N65" s="153"/>
      <c r="O65" s="153"/>
      <c r="P65" s="153"/>
      <c r="Q65" s="153"/>
      <c r="R65" s="150">
        <v>2000.0</v>
      </c>
      <c r="S65" s="153"/>
      <c r="T65" s="153"/>
      <c r="U65" s="154">
        <f t="shared" si="6"/>
        <v>8800</v>
      </c>
    </row>
    <row r="66">
      <c r="A66" s="149" t="s">
        <v>31</v>
      </c>
      <c r="B66" s="153"/>
      <c r="C66" s="153"/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4">
        <f t="shared" si="6"/>
        <v>0</v>
      </c>
    </row>
    <row r="67">
      <c r="A67" s="149" t="s">
        <v>153</v>
      </c>
      <c r="B67" s="153"/>
      <c r="C67" s="153"/>
      <c r="D67" s="153"/>
      <c r="E67" s="153"/>
      <c r="F67" s="153"/>
      <c r="G67" s="153"/>
      <c r="H67" s="153"/>
      <c r="I67" s="153"/>
      <c r="J67" s="153"/>
      <c r="K67" s="153"/>
      <c r="L67" s="153"/>
      <c r="M67" s="153"/>
      <c r="N67" s="153"/>
      <c r="O67" s="153"/>
      <c r="P67" s="153"/>
      <c r="Q67" s="153"/>
      <c r="R67" s="153"/>
      <c r="S67" s="153"/>
      <c r="T67" s="151">
        <f>1176.55</f>
        <v>1176.55</v>
      </c>
      <c r="U67" s="154">
        <f t="shared" si="6"/>
        <v>1176.55</v>
      </c>
    </row>
    <row r="68">
      <c r="A68" s="149" t="s">
        <v>155</v>
      </c>
      <c r="B68" s="153"/>
      <c r="C68" s="153"/>
      <c r="D68" s="153"/>
      <c r="E68" s="153"/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153"/>
      <c r="Q68" s="153"/>
      <c r="R68" s="153"/>
      <c r="S68" s="153"/>
      <c r="T68" s="153"/>
      <c r="U68" s="154">
        <f t="shared" si="6"/>
        <v>0</v>
      </c>
    </row>
    <row r="69">
      <c r="A69" s="149" t="s">
        <v>156</v>
      </c>
      <c r="B69" s="153"/>
      <c r="C69" s="153"/>
      <c r="D69" s="153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3"/>
      <c r="Q69" s="153"/>
      <c r="R69" s="153"/>
      <c r="S69" s="153"/>
      <c r="T69" s="153"/>
      <c r="U69" s="154">
        <f t="shared" si="6"/>
        <v>0</v>
      </c>
    </row>
    <row r="70">
      <c r="A70" s="149" t="s">
        <v>157</v>
      </c>
      <c r="B70" s="153"/>
      <c r="C70" s="153"/>
      <c r="D70" s="153"/>
      <c r="E70" s="153"/>
      <c r="F70" s="153"/>
      <c r="G70" s="153"/>
      <c r="H70" s="150">
        <v>100.0</v>
      </c>
      <c r="I70" s="153"/>
      <c r="J70" s="153"/>
      <c r="K70" s="153"/>
      <c r="L70" s="153"/>
      <c r="M70" s="153"/>
      <c r="N70" s="153"/>
      <c r="O70" s="153"/>
      <c r="P70" s="153"/>
      <c r="Q70" s="153"/>
      <c r="R70" s="153"/>
      <c r="S70" s="150">
        <v>20890.0</v>
      </c>
      <c r="T70" s="153"/>
      <c r="U70" s="154">
        <f t="shared" si="6"/>
        <v>20990</v>
      </c>
    </row>
    <row r="71">
      <c r="A71" s="149" t="s">
        <v>158</v>
      </c>
      <c r="B71" s="150">
        <v>433.0</v>
      </c>
      <c r="C71" s="153"/>
      <c r="D71" s="150">
        <v>925.0</v>
      </c>
      <c r="E71" s="150">
        <v>1311.2</v>
      </c>
      <c r="F71" s="150">
        <v>443.11</v>
      </c>
      <c r="G71" s="150">
        <v>198.99</v>
      </c>
      <c r="H71" s="150">
        <v>947.35</v>
      </c>
      <c r="I71" s="150">
        <v>133.4</v>
      </c>
      <c r="J71" s="150">
        <v>91.35</v>
      </c>
      <c r="K71" s="153"/>
      <c r="L71" s="150">
        <v>1012.83</v>
      </c>
      <c r="M71" s="150">
        <v>122.38</v>
      </c>
      <c r="N71" s="150">
        <v>320.72</v>
      </c>
      <c r="O71" s="153"/>
      <c r="P71" s="153"/>
      <c r="Q71" s="153"/>
      <c r="R71" s="153"/>
      <c r="S71" s="153"/>
      <c r="T71" s="153"/>
      <c r="U71" s="154">
        <f t="shared" si="6"/>
        <v>5939.33</v>
      </c>
    </row>
    <row r="72">
      <c r="A72" s="149" t="s">
        <v>160</v>
      </c>
      <c r="B72" s="153"/>
      <c r="C72" s="153"/>
      <c r="D72" s="153"/>
      <c r="E72" s="153"/>
      <c r="F72" s="153"/>
      <c r="G72" s="153"/>
      <c r="H72" s="153"/>
      <c r="I72" s="153"/>
      <c r="J72" s="150">
        <v>6855.0</v>
      </c>
      <c r="K72" s="150">
        <v>300.0</v>
      </c>
      <c r="L72" s="153"/>
      <c r="M72" s="150">
        <v>2880.0</v>
      </c>
      <c r="N72" s="153"/>
      <c r="O72" s="153"/>
      <c r="P72" s="153"/>
      <c r="Q72" s="153"/>
      <c r="R72" s="153"/>
      <c r="S72" s="153"/>
      <c r="T72" s="153"/>
      <c r="U72" s="154">
        <f t="shared" si="6"/>
        <v>10035</v>
      </c>
    </row>
    <row r="73">
      <c r="A73" s="149" t="s">
        <v>161</v>
      </c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4">
        <f t="shared" si="6"/>
        <v>0</v>
      </c>
    </row>
    <row r="74">
      <c r="A74" s="149" t="s">
        <v>162</v>
      </c>
      <c r="B74" s="153"/>
      <c r="C74" s="153"/>
      <c r="D74" s="153"/>
      <c r="E74" s="153"/>
      <c r="F74" s="153"/>
      <c r="G74" s="153"/>
      <c r="H74" s="153"/>
      <c r="I74" s="153"/>
      <c r="J74" s="153"/>
      <c r="K74" s="153"/>
      <c r="L74" s="153"/>
      <c r="M74" s="153"/>
      <c r="N74" s="153"/>
      <c r="O74" s="153"/>
      <c r="P74" s="153"/>
      <c r="Q74" s="153"/>
      <c r="R74" s="153"/>
      <c r="S74" s="153"/>
      <c r="T74" s="153"/>
      <c r="U74" s="154">
        <f t="shared" si="6"/>
        <v>0</v>
      </c>
    </row>
    <row r="75">
      <c r="A75" s="149" t="s">
        <v>163</v>
      </c>
      <c r="B75" s="150">
        <v>965.66</v>
      </c>
      <c r="C75" s="153"/>
      <c r="D75" s="150">
        <v>1695.11</v>
      </c>
      <c r="E75" s="150">
        <v>380.82</v>
      </c>
      <c r="F75" s="150">
        <v>794.96</v>
      </c>
      <c r="G75" s="150">
        <v>1648.17</v>
      </c>
      <c r="H75" s="150">
        <v>1561.33</v>
      </c>
      <c r="I75" s="150">
        <v>1131.99</v>
      </c>
      <c r="J75" s="150">
        <v>737.28</v>
      </c>
      <c r="K75" s="153"/>
      <c r="L75" s="150">
        <v>447.53</v>
      </c>
      <c r="M75" s="150">
        <v>794.76</v>
      </c>
      <c r="N75" s="150">
        <v>7.63</v>
      </c>
      <c r="O75" s="150">
        <v>994.01</v>
      </c>
      <c r="P75" s="153"/>
      <c r="Q75" s="153"/>
      <c r="R75" s="150">
        <v>191.36</v>
      </c>
      <c r="S75" s="153"/>
      <c r="T75" s="150">
        <v>4027.34</v>
      </c>
      <c r="U75" s="154">
        <f t="shared" si="6"/>
        <v>15377.95</v>
      </c>
    </row>
    <row r="76">
      <c r="A76" s="149" t="s">
        <v>164</v>
      </c>
      <c r="B76" s="153"/>
      <c r="C76" s="153"/>
      <c r="D76" s="153"/>
      <c r="E76" s="153"/>
      <c r="F76" s="153"/>
      <c r="G76" s="153"/>
      <c r="H76" s="153"/>
      <c r="I76" s="153"/>
      <c r="J76" s="153"/>
      <c r="K76" s="153"/>
      <c r="L76" s="153"/>
      <c r="M76" s="153"/>
      <c r="N76" s="153"/>
      <c r="O76" s="153"/>
      <c r="P76" s="153"/>
      <c r="Q76" s="153"/>
      <c r="R76" s="153"/>
      <c r="S76" s="150">
        <v>39305.0</v>
      </c>
      <c r="T76" s="153"/>
      <c r="U76" s="154">
        <f t="shared" si="6"/>
        <v>39305</v>
      </c>
    </row>
    <row r="77">
      <c r="A77" s="149" t="s">
        <v>122</v>
      </c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4">
        <f t="shared" si="6"/>
        <v>0</v>
      </c>
    </row>
    <row r="78">
      <c r="A78" s="149" t="s">
        <v>165</v>
      </c>
      <c r="B78" s="153"/>
      <c r="C78" s="153"/>
      <c r="D78" s="150">
        <v>1410.0</v>
      </c>
      <c r="E78" s="153"/>
      <c r="F78" s="153"/>
      <c r="G78" s="153"/>
      <c r="H78" s="153"/>
      <c r="I78" s="150">
        <v>1152.0</v>
      </c>
      <c r="J78" s="153"/>
      <c r="K78" s="153"/>
      <c r="L78" s="153"/>
      <c r="M78" s="150">
        <v>1472.0</v>
      </c>
      <c r="N78" s="153"/>
      <c r="O78" s="153"/>
      <c r="P78" s="153"/>
      <c r="Q78" s="153"/>
      <c r="R78" s="153"/>
      <c r="S78" s="153"/>
      <c r="T78" s="153"/>
      <c r="U78" s="154">
        <f t="shared" si="6"/>
        <v>4034</v>
      </c>
    </row>
    <row r="79">
      <c r="A79" s="149" t="s">
        <v>181</v>
      </c>
      <c r="B79" s="153"/>
      <c r="C79" s="153"/>
      <c r="D79" s="153"/>
      <c r="E79" s="153"/>
      <c r="F79" s="153"/>
      <c r="G79" s="153"/>
      <c r="H79" s="153"/>
      <c r="I79" s="153"/>
      <c r="J79" s="153"/>
      <c r="K79" s="153"/>
      <c r="L79" s="153"/>
      <c r="M79" s="153"/>
      <c r="N79" s="153"/>
      <c r="O79" s="153"/>
      <c r="P79" s="153"/>
      <c r="Q79" s="153"/>
      <c r="R79" s="153"/>
      <c r="S79" s="153"/>
      <c r="T79" s="150">
        <v>53100.0</v>
      </c>
      <c r="U79" s="154">
        <f t="shared" si="6"/>
        <v>53100</v>
      </c>
    </row>
    <row r="80">
      <c r="A80" s="149" t="s">
        <v>182</v>
      </c>
      <c r="B80" s="153"/>
      <c r="C80" s="153"/>
      <c r="D80" s="153"/>
      <c r="E80" s="153"/>
      <c r="F80" s="153"/>
      <c r="G80" s="153"/>
      <c r="H80" s="153"/>
      <c r="I80" s="153"/>
      <c r="J80" s="153"/>
      <c r="K80" s="153"/>
      <c r="L80" s="153"/>
      <c r="M80" s="153"/>
      <c r="N80" s="153"/>
      <c r="O80" s="153"/>
      <c r="P80" s="153"/>
      <c r="Q80" s="153"/>
      <c r="R80" s="153"/>
      <c r="S80" s="153"/>
      <c r="T80" s="150">
        <v>25983.0</v>
      </c>
      <c r="U80" s="154">
        <f t="shared" si="6"/>
        <v>25983</v>
      </c>
    </row>
    <row r="81">
      <c r="A81" s="149" t="s">
        <v>183</v>
      </c>
      <c r="B81" s="153"/>
      <c r="C81" s="153"/>
      <c r="D81" s="153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153"/>
      <c r="Q81" s="153"/>
      <c r="R81" s="153"/>
      <c r="S81" s="153"/>
      <c r="T81" s="150">
        <v>25982.0</v>
      </c>
      <c r="U81" s="154">
        <f t="shared" si="6"/>
        <v>25982</v>
      </c>
    </row>
    <row r="82">
      <c r="A82" s="168" t="s">
        <v>184</v>
      </c>
      <c r="B82" s="153"/>
      <c r="C82" s="153"/>
      <c r="D82" s="153"/>
      <c r="E82" s="153"/>
      <c r="F82" s="153"/>
      <c r="G82" s="153"/>
      <c r="H82" s="153"/>
      <c r="I82" s="153"/>
      <c r="J82" s="153"/>
      <c r="K82" s="153"/>
      <c r="L82" s="153"/>
      <c r="M82" s="153"/>
      <c r="N82" s="153"/>
      <c r="O82" s="153"/>
      <c r="P82" s="153"/>
      <c r="Q82" s="153"/>
      <c r="R82" s="153"/>
      <c r="S82" s="150">
        <f>5756+2200</f>
        <v>7956</v>
      </c>
      <c r="T82" s="153"/>
      <c r="U82" s="154">
        <f t="shared" si="6"/>
        <v>7956</v>
      </c>
    </row>
    <row r="83">
      <c r="A83" s="168" t="s">
        <v>28</v>
      </c>
      <c r="B83" s="153"/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0">
        <v>850.0</v>
      </c>
      <c r="U83" s="154">
        <f t="shared" si="6"/>
        <v>850</v>
      </c>
    </row>
    <row r="84">
      <c r="A84" s="147"/>
      <c r="B84" s="154">
        <f t="shared" ref="B84:U84" si="7">sum(B47:B83)</f>
        <v>15914.28</v>
      </c>
      <c r="C84" s="154">
        <f t="shared" si="7"/>
        <v>712.26</v>
      </c>
      <c r="D84" s="154">
        <f t="shared" si="7"/>
        <v>15891.72</v>
      </c>
      <c r="E84" s="154">
        <f t="shared" si="7"/>
        <v>7426.87</v>
      </c>
      <c r="F84" s="154">
        <f t="shared" si="7"/>
        <v>9721.22</v>
      </c>
      <c r="G84" s="154">
        <f t="shared" si="7"/>
        <v>13655.5</v>
      </c>
      <c r="H84" s="154">
        <f t="shared" si="7"/>
        <v>21761.69</v>
      </c>
      <c r="I84" s="154">
        <f t="shared" si="7"/>
        <v>6669.46</v>
      </c>
      <c r="J84" s="154">
        <f t="shared" si="7"/>
        <v>27372.4</v>
      </c>
      <c r="K84" s="154">
        <f t="shared" si="7"/>
        <v>5621.91</v>
      </c>
      <c r="L84" s="154">
        <f t="shared" si="7"/>
        <v>5099.11</v>
      </c>
      <c r="M84" s="154">
        <f t="shared" si="7"/>
        <v>17459.74</v>
      </c>
      <c r="N84" s="154">
        <f t="shared" si="7"/>
        <v>5512.54</v>
      </c>
      <c r="O84" s="154">
        <f t="shared" si="7"/>
        <v>4910.9</v>
      </c>
      <c r="P84" s="154">
        <f t="shared" si="7"/>
        <v>17815</v>
      </c>
      <c r="Q84" s="154">
        <f t="shared" si="7"/>
        <v>1937</v>
      </c>
      <c r="R84" s="154">
        <f t="shared" si="7"/>
        <v>3391.36</v>
      </c>
      <c r="S84" s="154">
        <f t="shared" si="7"/>
        <v>211342.1667</v>
      </c>
      <c r="T84" s="154">
        <f t="shared" si="7"/>
        <v>116701.58</v>
      </c>
      <c r="U84" s="154">
        <f t="shared" si="7"/>
        <v>508916.7067</v>
      </c>
    </row>
    <row r="85">
      <c r="A85" s="147"/>
      <c r="B85" s="153"/>
      <c r="C85" s="153"/>
      <c r="D85" s="153"/>
      <c r="E85" s="153"/>
      <c r="F85" s="153"/>
      <c r="G85" s="153"/>
      <c r="H85" s="153"/>
      <c r="I85" s="153"/>
      <c r="J85" s="153"/>
      <c r="K85" s="153"/>
      <c r="L85" s="153"/>
      <c r="M85" s="153"/>
      <c r="N85" s="153"/>
      <c r="O85" s="153"/>
      <c r="P85" s="153"/>
      <c r="Q85" s="153"/>
      <c r="R85" s="153"/>
      <c r="S85" s="153"/>
      <c r="T85" s="153"/>
      <c r="U85" s="154"/>
    </row>
    <row r="86">
      <c r="A86" s="147" t="s">
        <v>30</v>
      </c>
      <c r="B86" s="153"/>
      <c r="C86" s="153"/>
      <c r="D86" s="153"/>
      <c r="E86" s="153"/>
      <c r="F86" s="153"/>
      <c r="G86" s="153"/>
      <c r="H86" s="153"/>
      <c r="I86" s="153"/>
      <c r="J86" s="153"/>
      <c r="K86" s="153"/>
      <c r="L86" s="153"/>
      <c r="M86" s="153"/>
      <c r="N86" s="153"/>
      <c r="O86" s="153"/>
      <c r="P86" s="153"/>
      <c r="Q86" s="153"/>
      <c r="R86" s="153"/>
      <c r="S86" s="153"/>
      <c r="T86" s="153"/>
      <c r="U86" s="154"/>
    </row>
    <row r="87">
      <c r="A87" s="149" t="s">
        <v>168</v>
      </c>
      <c r="B87" s="150">
        <v>0.0</v>
      </c>
      <c r="C87" s="150">
        <v>0.0</v>
      </c>
      <c r="D87" s="150">
        <v>0.0</v>
      </c>
      <c r="E87" s="150">
        <v>0.0</v>
      </c>
      <c r="F87" s="150">
        <v>9083.0</v>
      </c>
      <c r="G87" s="150">
        <v>0.0</v>
      </c>
      <c r="H87" s="150">
        <v>0.0</v>
      </c>
      <c r="I87" s="150">
        <v>0.0</v>
      </c>
      <c r="J87" s="150">
        <v>0.0</v>
      </c>
      <c r="K87" s="150">
        <v>5900.0</v>
      </c>
      <c r="L87" s="150">
        <v>0.0</v>
      </c>
      <c r="M87" s="150">
        <v>0.0</v>
      </c>
      <c r="N87" s="150">
        <v>0.0</v>
      </c>
      <c r="O87" s="150">
        <v>0.0</v>
      </c>
      <c r="P87" s="150">
        <v>0.0</v>
      </c>
      <c r="Q87" s="150">
        <v>0.0</v>
      </c>
      <c r="R87" s="150">
        <v>0.0</v>
      </c>
      <c r="S87" s="150">
        <v>8555.0</v>
      </c>
      <c r="T87" s="150">
        <v>0.0</v>
      </c>
      <c r="U87" s="154">
        <f t="shared" ref="U87:U89" si="8">sum(B87:T87)</f>
        <v>23538</v>
      </c>
    </row>
    <row r="88">
      <c r="A88" s="149" t="s">
        <v>169</v>
      </c>
      <c r="B88" s="150">
        <v>0.0</v>
      </c>
      <c r="C88" s="150">
        <v>0.0</v>
      </c>
      <c r="D88" s="150">
        <v>1000.0</v>
      </c>
      <c r="E88" s="150">
        <v>0.0</v>
      </c>
      <c r="F88" s="150">
        <v>0.0</v>
      </c>
      <c r="G88" s="150">
        <v>19540.0</v>
      </c>
      <c r="H88" s="150">
        <v>1400.0</v>
      </c>
      <c r="I88" s="150">
        <v>222071.0</v>
      </c>
      <c r="J88" s="150">
        <v>800.0</v>
      </c>
      <c r="K88" s="150">
        <v>0.0</v>
      </c>
      <c r="L88" s="150">
        <v>2000.0</v>
      </c>
      <c r="M88" s="150">
        <v>0.0</v>
      </c>
      <c r="N88" s="150">
        <v>0.0</v>
      </c>
      <c r="O88" s="150">
        <v>0.0</v>
      </c>
      <c r="P88" s="150">
        <v>0.0</v>
      </c>
      <c r="Q88" s="150">
        <v>0.0</v>
      </c>
      <c r="R88" s="150">
        <v>0.0</v>
      </c>
      <c r="S88" s="150">
        <v>1000.0</v>
      </c>
      <c r="T88" s="150">
        <v>0.0</v>
      </c>
      <c r="U88" s="154">
        <f t="shared" si="8"/>
        <v>247811</v>
      </c>
    </row>
    <row r="89">
      <c r="A89" s="149" t="s">
        <v>170</v>
      </c>
      <c r="B89" s="150">
        <v>31373.0</v>
      </c>
      <c r="C89" s="150">
        <v>3410.0</v>
      </c>
      <c r="D89" s="150">
        <v>15210.0</v>
      </c>
      <c r="E89" s="150">
        <v>16857.0</v>
      </c>
      <c r="F89" s="150">
        <v>14395.0</v>
      </c>
      <c r="G89" s="150">
        <v>22364.0</v>
      </c>
      <c r="H89" s="150">
        <v>16757.0</v>
      </c>
      <c r="I89" s="150">
        <v>33320.0</v>
      </c>
      <c r="J89" s="150">
        <v>17149.0</v>
      </c>
      <c r="K89" s="150">
        <v>4232.0</v>
      </c>
      <c r="L89" s="150">
        <v>24620.0</v>
      </c>
      <c r="M89" s="150">
        <v>30041.0</v>
      </c>
      <c r="N89" s="150">
        <v>8850.0</v>
      </c>
      <c r="O89" s="150">
        <v>150.0</v>
      </c>
      <c r="P89" s="150">
        <v>6490.0</v>
      </c>
      <c r="Q89" s="150">
        <v>0.0</v>
      </c>
      <c r="R89" s="150">
        <f>7080+10000+15000</f>
        <v>32080</v>
      </c>
      <c r="S89" s="151">
        <v>116911.0</v>
      </c>
      <c r="T89" s="150">
        <v>0.0</v>
      </c>
      <c r="U89" s="154">
        <f t="shared" si="8"/>
        <v>394209</v>
      </c>
    </row>
    <row r="90">
      <c r="A90" s="164"/>
      <c r="B90" s="154">
        <f t="shared" ref="B90:U90" si="9">sum(B87:B89)</f>
        <v>31373</v>
      </c>
      <c r="C90" s="154">
        <f t="shared" si="9"/>
        <v>3410</v>
      </c>
      <c r="D90" s="154">
        <f t="shared" si="9"/>
        <v>16210</v>
      </c>
      <c r="E90" s="154">
        <f t="shared" si="9"/>
        <v>16857</v>
      </c>
      <c r="F90" s="154">
        <f t="shared" si="9"/>
        <v>23478</v>
      </c>
      <c r="G90" s="154">
        <f t="shared" si="9"/>
        <v>41904</v>
      </c>
      <c r="H90" s="154">
        <f t="shared" si="9"/>
        <v>18157</v>
      </c>
      <c r="I90" s="154">
        <f t="shared" si="9"/>
        <v>255391</v>
      </c>
      <c r="J90" s="154">
        <f t="shared" si="9"/>
        <v>17949</v>
      </c>
      <c r="K90" s="154">
        <f t="shared" si="9"/>
        <v>10132</v>
      </c>
      <c r="L90" s="154">
        <f t="shared" si="9"/>
        <v>26620</v>
      </c>
      <c r="M90" s="154">
        <f t="shared" si="9"/>
        <v>30041</v>
      </c>
      <c r="N90" s="154">
        <f t="shared" si="9"/>
        <v>8850</v>
      </c>
      <c r="O90" s="154">
        <f t="shared" si="9"/>
        <v>150</v>
      </c>
      <c r="P90" s="154">
        <f t="shared" si="9"/>
        <v>6490</v>
      </c>
      <c r="Q90" s="154">
        <f t="shared" si="9"/>
        <v>0</v>
      </c>
      <c r="R90" s="154">
        <f t="shared" si="9"/>
        <v>32080</v>
      </c>
      <c r="S90" s="154">
        <f t="shared" si="9"/>
        <v>126466</v>
      </c>
      <c r="T90" s="154">
        <f t="shared" si="9"/>
        <v>0</v>
      </c>
      <c r="U90" s="154">
        <f t="shared" si="9"/>
        <v>665558</v>
      </c>
    </row>
    <row r="91">
      <c r="A91" s="139"/>
      <c r="B91" s="139"/>
      <c r="C91" s="139"/>
      <c r="D91" s="139"/>
      <c r="E91" s="139"/>
      <c r="F91" s="139"/>
      <c r="G91" s="139"/>
      <c r="H91" s="139"/>
      <c r="I91" s="139"/>
      <c r="J91" s="139"/>
      <c r="K91" s="139"/>
      <c r="L91" s="139"/>
      <c r="M91" s="139"/>
      <c r="N91" s="139"/>
      <c r="O91" s="139"/>
      <c r="P91" s="139"/>
      <c r="Q91" s="139"/>
      <c r="R91" s="139"/>
      <c r="S91" s="139"/>
      <c r="T91" s="139"/>
      <c r="U91" s="139"/>
    </row>
    <row r="92">
      <c r="A92" s="172">
        <v>46229.0</v>
      </c>
      <c r="B92" s="173"/>
      <c r="C92" s="173"/>
      <c r="D92" s="173"/>
      <c r="E92" s="173"/>
      <c r="F92" s="173"/>
      <c r="G92" s="173"/>
      <c r="H92" s="173"/>
      <c r="I92" s="173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4"/>
    </row>
    <row r="93">
      <c r="A93" s="141" t="s">
        <v>31</v>
      </c>
      <c r="B93" s="142" t="s">
        <v>107</v>
      </c>
      <c r="C93" s="142" t="s">
        <v>108</v>
      </c>
      <c r="D93" s="142" t="s">
        <v>109</v>
      </c>
      <c r="E93" s="142" t="s">
        <v>110</v>
      </c>
      <c r="F93" s="142" t="s">
        <v>111</v>
      </c>
      <c r="G93" s="142" t="s">
        <v>112</v>
      </c>
      <c r="H93" s="142" t="s">
        <v>113</v>
      </c>
      <c r="I93" s="142" t="s">
        <v>114</v>
      </c>
      <c r="J93" s="142" t="s">
        <v>115</v>
      </c>
      <c r="K93" s="142" t="s">
        <v>116</v>
      </c>
      <c r="L93" s="142" t="s">
        <v>117</v>
      </c>
      <c r="M93" s="142" t="s">
        <v>118</v>
      </c>
      <c r="N93" s="142" t="s">
        <v>119</v>
      </c>
      <c r="O93" s="142" t="s">
        <v>120</v>
      </c>
      <c r="P93" s="142" t="s">
        <v>121</v>
      </c>
      <c r="Q93" s="142" t="s">
        <v>122</v>
      </c>
      <c r="R93" s="142" t="s">
        <v>123</v>
      </c>
      <c r="S93" s="142" t="s">
        <v>124</v>
      </c>
      <c r="T93" s="142" t="s">
        <v>125</v>
      </c>
      <c r="U93" s="145" t="s">
        <v>82</v>
      </c>
    </row>
    <row r="94">
      <c r="A94" s="147" t="s">
        <v>126</v>
      </c>
      <c r="B94" s="164"/>
      <c r="C94" s="164"/>
      <c r="D94" s="164"/>
      <c r="E94" s="164"/>
      <c r="F94" s="164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76"/>
    </row>
    <row r="95">
      <c r="A95" s="149" t="s">
        <v>128</v>
      </c>
      <c r="B95" s="177">
        <v>363.0</v>
      </c>
      <c r="C95" s="177">
        <v>344.0</v>
      </c>
      <c r="D95" s="178">
        <v>210.0</v>
      </c>
      <c r="E95" s="178">
        <v>100.0</v>
      </c>
      <c r="F95" s="178">
        <v>267.0</v>
      </c>
      <c r="G95" s="177">
        <v>769.0</v>
      </c>
      <c r="H95" s="177">
        <f>294+3026</f>
        <v>3320</v>
      </c>
      <c r="I95" s="178">
        <v>800.0</v>
      </c>
      <c r="J95" s="177">
        <v>4226.0</v>
      </c>
      <c r="K95" s="178">
        <v>347.0</v>
      </c>
      <c r="L95" s="178">
        <v>256.0</v>
      </c>
      <c r="M95" s="177">
        <v>1085.0</v>
      </c>
      <c r="N95" s="178">
        <v>215.0</v>
      </c>
      <c r="O95" s="178">
        <v>86.0</v>
      </c>
      <c r="P95" s="178">
        <v>100.0</v>
      </c>
      <c r="Q95" s="178">
        <v>9140.0</v>
      </c>
      <c r="R95" s="180"/>
      <c r="S95" s="177">
        <v>10473.0</v>
      </c>
      <c r="T95" s="177">
        <v>6957.0</v>
      </c>
      <c r="U95" s="177">
        <f t="shared" ref="U95:U99" si="10">sum(B95:T95)</f>
        <v>39058</v>
      </c>
      <c r="V95" s="66" t="s">
        <v>187</v>
      </c>
    </row>
    <row r="96">
      <c r="A96" s="149" t="s">
        <v>129</v>
      </c>
      <c r="B96" s="180"/>
      <c r="C96" s="180"/>
      <c r="D96" s="180"/>
      <c r="E96" s="180"/>
      <c r="F96" s="180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77">
        <f>35500+30480+27499+35573</f>
        <v>129052</v>
      </c>
      <c r="T96" s="177">
        <v>4976.0</v>
      </c>
      <c r="U96" s="177">
        <f t="shared" si="10"/>
        <v>134028</v>
      </c>
    </row>
    <row r="97">
      <c r="A97" s="149" t="s">
        <v>130</v>
      </c>
      <c r="B97" s="180"/>
      <c r="C97" s="180"/>
      <c r="D97" s="180"/>
      <c r="E97" s="180"/>
      <c r="F97" s="180"/>
      <c r="G97" s="180"/>
      <c r="H97" s="180"/>
      <c r="I97" s="178">
        <v>152.0</v>
      </c>
      <c r="J97" s="180"/>
      <c r="K97" s="180"/>
      <c r="L97" s="177"/>
      <c r="M97" s="180"/>
      <c r="N97" s="180"/>
      <c r="O97" s="180"/>
      <c r="P97" s="180"/>
      <c r="Q97" s="178">
        <v>100.0</v>
      </c>
      <c r="R97" s="180"/>
      <c r="S97" s="66">
        <v>27980.0</v>
      </c>
      <c r="T97" s="180"/>
      <c r="U97" s="177">
        <f t="shared" si="10"/>
        <v>28232</v>
      </c>
    </row>
    <row r="98">
      <c r="A98" s="149" t="s">
        <v>131</v>
      </c>
      <c r="B98" s="177"/>
      <c r="C98" s="180"/>
      <c r="D98" s="180"/>
      <c r="E98" s="177"/>
      <c r="F98" s="177"/>
      <c r="G98" s="180"/>
      <c r="H98" s="178"/>
      <c r="I98" s="180"/>
      <c r="J98" s="177"/>
      <c r="K98" s="180"/>
      <c r="L98" s="180"/>
      <c r="M98" s="180"/>
      <c r="N98" s="180"/>
      <c r="O98" s="180"/>
      <c r="P98" s="180"/>
      <c r="Q98" s="180"/>
      <c r="R98" s="180"/>
      <c r="S98" s="178"/>
      <c r="T98" s="178"/>
      <c r="U98" s="177">
        <f t="shared" si="10"/>
        <v>0</v>
      </c>
    </row>
    <row r="99">
      <c r="A99" s="149" t="s">
        <v>132</v>
      </c>
      <c r="B99" s="177"/>
      <c r="C99" s="180"/>
      <c r="D99" s="180"/>
      <c r="E99" s="177"/>
      <c r="F99" s="177"/>
      <c r="G99" s="180"/>
      <c r="H99" s="178"/>
      <c r="I99" s="180"/>
      <c r="J99" s="177"/>
      <c r="K99" s="180"/>
      <c r="L99" s="180"/>
      <c r="M99" s="180"/>
      <c r="N99" s="180"/>
      <c r="O99" s="180"/>
      <c r="P99" s="180"/>
      <c r="Q99" s="180"/>
      <c r="R99" s="180"/>
      <c r="S99" s="178"/>
      <c r="T99" s="66">
        <f>-3532+10</f>
        <v>-3522</v>
      </c>
      <c r="U99" s="177">
        <f t="shared" si="10"/>
        <v>-3522</v>
      </c>
    </row>
    <row r="100">
      <c r="A100" s="149" t="s">
        <v>136</v>
      </c>
      <c r="B100" s="177">
        <v>4000.0</v>
      </c>
      <c r="C100" s="180"/>
      <c r="D100" s="180"/>
      <c r="E100" s="177">
        <v>2000.0</v>
      </c>
      <c r="F100" s="177">
        <v>3000.0</v>
      </c>
      <c r="G100" s="180"/>
      <c r="H100" s="178"/>
      <c r="I100" s="180"/>
      <c r="J100" s="177">
        <v>4500.0</v>
      </c>
      <c r="K100" s="178">
        <v>80.0</v>
      </c>
      <c r="L100" s="180"/>
      <c r="M100" s="180"/>
      <c r="N100" s="180"/>
      <c r="O100" s="178">
        <v>50.0</v>
      </c>
      <c r="P100" s="180"/>
      <c r="Q100" s="180"/>
      <c r="R100" s="180"/>
      <c r="S100" s="178">
        <v>13590.0</v>
      </c>
      <c r="T100" s="180"/>
      <c r="U100" s="177">
        <f>sum(B100:S100)</f>
        <v>27220</v>
      </c>
    </row>
    <row r="101">
      <c r="A101" s="149" t="s">
        <v>138</v>
      </c>
      <c r="B101" s="177">
        <v>500.0</v>
      </c>
      <c r="C101" s="180"/>
      <c r="D101" s="177">
        <v>3050.0</v>
      </c>
      <c r="E101" s="177">
        <v>700.0</v>
      </c>
      <c r="F101" s="177">
        <v>1415.0</v>
      </c>
      <c r="G101" s="177">
        <v>2150.0</v>
      </c>
      <c r="H101" s="177">
        <v>1805.0</v>
      </c>
      <c r="I101" s="177">
        <v>600.0</v>
      </c>
      <c r="J101" s="178">
        <v>1900.0</v>
      </c>
      <c r="K101" s="178">
        <v>500.0</v>
      </c>
      <c r="L101" s="177">
        <v>1480.0</v>
      </c>
      <c r="M101" s="178">
        <v>400.0</v>
      </c>
      <c r="N101" s="178">
        <v>500.0</v>
      </c>
      <c r="O101" s="177"/>
      <c r="P101" s="178"/>
      <c r="Q101" s="178"/>
      <c r="R101" s="180"/>
      <c r="S101" s="177">
        <f>7400+8800</f>
        <v>16200</v>
      </c>
      <c r="T101" s="180"/>
      <c r="U101" s="177">
        <f t="shared" ref="U101:U119" si="11">sum(B101:T101)</f>
        <v>31200</v>
      </c>
    </row>
    <row r="102">
      <c r="A102" s="149" t="s">
        <v>141</v>
      </c>
      <c r="B102" s="177">
        <v>3778.0</v>
      </c>
      <c r="C102" s="180"/>
      <c r="D102" s="177">
        <v>3531.0</v>
      </c>
      <c r="E102" s="177">
        <v>1476.0</v>
      </c>
      <c r="F102" s="177">
        <v>1836.0</v>
      </c>
      <c r="G102" s="177">
        <v>4384.0</v>
      </c>
      <c r="H102" s="177">
        <v>4715.0</v>
      </c>
      <c r="I102" s="177">
        <v>1518.0</v>
      </c>
      <c r="J102" s="177">
        <v>1723.0</v>
      </c>
      <c r="K102" s="180"/>
      <c r="L102" s="177">
        <v>1293.0</v>
      </c>
      <c r="M102" s="177">
        <v>3647.39</v>
      </c>
      <c r="N102" s="178">
        <v>27.49</v>
      </c>
      <c r="O102" s="177">
        <v>2339.73</v>
      </c>
      <c r="P102" s="180"/>
      <c r="Q102" s="180"/>
      <c r="R102" s="178">
        <v>3.71</v>
      </c>
      <c r="S102" s="180"/>
      <c r="T102" s="178">
        <v>7167.0</v>
      </c>
      <c r="U102" s="177">
        <f t="shared" si="11"/>
        <v>37439.32</v>
      </c>
    </row>
    <row r="103">
      <c r="A103" s="149" t="s">
        <v>142</v>
      </c>
      <c r="B103" s="177">
        <v>209.0</v>
      </c>
      <c r="C103" s="178">
        <v>810.0</v>
      </c>
      <c r="D103" s="178">
        <v>394.0</v>
      </c>
      <c r="E103" s="177">
        <v>2480.0</v>
      </c>
      <c r="F103" s="177">
        <v>76.0</v>
      </c>
      <c r="G103" s="177">
        <v>1823.0</v>
      </c>
      <c r="H103" s="178">
        <v>190.0</v>
      </c>
      <c r="I103" s="178">
        <v>5290.0</v>
      </c>
      <c r="J103" s="177">
        <v>505.0</v>
      </c>
      <c r="K103" s="178">
        <v>180.0</v>
      </c>
      <c r="L103" s="178">
        <v>195.0</v>
      </c>
      <c r="M103" s="178">
        <v>192.0</v>
      </c>
      <c r="N103" s="177">
        <v>372.0</v>
      </c>
      <c r="O103" s="178">
        <v>1440.0</v>
      </c>
      <c r="P103" s="178">
        <v>200.0</v>
      </c>
      <c r="Q103" s="180"/>
      <c r="R103" s="178"/>
      <c r="S103" s="177">
        <v>14331.0</v>
      </c>
      <c r="T103" s="180"/>
      <c r="U103" s="177">
        <f t="shared" si="11"/>
        <v>28687</v>
      </c>
    </row>
    <row r="104">
      <c r="A104" s="149" t="s">
        <v>144</v>
      </c>
      <c r="B104" s="180"/>
      <c r="C104" s="180"/>
      <c r="D104" s="180"/>
      <c r="E104" s="180"/>
      <c r="F104" s="180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77"/>
      <c r="T104" s="180"/>
      <c r="U104" s="177">
        <f t="shared" si="11"/>
        <v>0</v>
      </c>
    </row>
    <row r="105">
      <c r="A105" s="149" t="s">
        <v>145</v>
      </c>
      <c r="B105" s="177"/>
      <c r="C105" s="177"/>
      <c r="D105" s="177"/>
      <c r="E105" s="177"/>
      <c r="F105" s="177"/>
      <c r="G105" s="177"/>
      <c r="H105" s="177"/>
      <c r="I105" s="180"/>
      <c r="J105" s="177"/>
      <c r="K105" s="180"/>
      <c r="L105" s="177"/>
      <c r="M105" s="177"/>
      <c r="N105" s="177"/>
      <c r="O105" s="177"/>
      <c r="P105" s="177"/>
      <c r="Q105" s="180"/>
      <c r="R105" s="177"/>
      <c r="S105" s="180"/>
      <c r="T105" s="180"/>
      <c r="U105" s="177">
        <f t="shared" si="11"/>
        <v>0</v>
      </c>
    </row>
    <row r="106">
      <c r="A106" s="149" t="s">
        <v>146</v>
      </c>
      <c r="B106" s="182"/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78"/>
      <c r="U106" s="177">
        <f t="shared" si="11"/>
        <v>0</v>
      </c>
    </row>
    <row r="107">
      <c r="A107" s="149" t="s">
        <v>147</v>
      </c>
      <c r="B107" s="178">
        <v>1070.0</v>
      </c>
      <c r="C107" s="180"/>
      <c r="D107" s="178">
        <v>2812.0</v>
      </c>
      <c r="E107" s="177">
        <v>1628.0</v>
      </c>
      <c r="F107" s="178">
        <v>118.0</v>
      </c>
      <c r="G107" s="178">
        <v>505.0</v>
      </c>
      <c r="H107" s="178">
        <v>628.0</v>
      </c>
      <c r="I107" s="178">
        <v>1013.0</v>
      </c>
      <c r="J107" s="178">
        <v>1744.0</v>
      </c>
      <c r="K107" s="178"/>
      <c r="L107" s="178">
        <v>2244.0</v>
      </c>
      <c r="M107" s="178"/>
      <c r="N107" s="177">
        <v>658.0</v>
      </c>
      <c r="O107" s="180"/>
      <c r="P107" s="180"/>
      <c r="Q107" s="180"/>
      <c r="R107" s="180"/>
      <c r="S107" s="180"/>
      <c r="T107" s="180"/>
      <c r="U107" s="177">
        <f t="shared" si="11"/>
        <v>12420</v>
      </c>
    </row>
    <row r="108">
      <c r="A108" s="149" t="s">
        <v>148</v>
      </c>
      <c r="B108" s="180"/>
      <c r="C108" s="180"/>
      <c r="D108" s="177">
        <v>4970.0</v>
      </c>
      <c r="E108" s="178">
        <v>460.0</v>
      </c>
      <c r="F108" s="177">
        <v>480.0</v>
      </c>
      <c r="G108" s="180"/>
      <c r="H108" s="178">
        <v>566.0</v>
      </c>
      <c r="I108" s="178">
        <v>500.0</v>
      </c>
      <c r="J108" s="178"/>
      <c r="K108" s="177">
        <v>1204.0</v>
      </c>
      <c r="L108" s="180"/>
      <c r="M108" s="180"/>
      <c r="N108" s="178">
        <v>690.0</v>
      </c>
      <c r="O108" s="180"/>
      <c r="P108" s="180"/>
      <c r="Q108" s="180"/>
      <c r="R108" s="180"/>
      <c r="S108" s="177">
        <f>4880</f>
        <v>4880</v>
      </c>
      <c r="T108" s="180"/>
      <c r="U108" s="177">
        <f t="shared" si="11"/>
        <v>13750</v>
      </c>
    </row>
    <row r="109">
      <c r="A109" s="149" t="s">
        <v>88</v>
      </c>
      <c r="B109" s="177">
        <v>460.0</v>
      </c>
      <c r="C109" s="180"/>
      <c r="D109" s="178"/>
      <c r="E109" s="178"/>
      <c r="F109" s="177"/>
      <c r="G109" s="177"/>
      <c r="H109" s="178"/>
      <c r="I109" s="178">
        <v>429.0</v>
      </c>
      <c r="J109" s="177">
        <v>340.0</v>
      </c>
      <c r="K109" s="180"/>
      <c r="L109" s="178">
        <v>609.0</v>
      </c>
      <c r="M109" s="178"/>
      <c r="N109" s="178">
        <v>249.0</v>
      </c>
      <c r="O109" s="180"/>
      <c r="P109" s="180"/>
      <c r="Q109" s="180"/>
      <c r="R109" s="180"/>
      <c r="S109" s="177">
        <v>3119.0</v>
      </c>
      <c r="T109" s="178">
        <v>1000.0</v>
      </c>
      <c r="U109" s="177">
        <f t="shared" si="11"/>
        <v>6206</v>
      </c>
    </row>
    <row r="110">
      <c r="A110" s="149" t="s">
        <v>149</v>
      </c>
      <c r="B110" s="178"/>
      <c r="C110" s="180"/>
      <c r="D110" s="178">
        <v>60.0</v>
      </c>
      <c r="E110" s="180"/>
      <c r="F110" s="180"/>
      <c r="G110" s="180"/>
      <c r="H110" s="180"/>
      <c r="I110" s="180"/>
      <c r="J110" s="180"/>
      <c r="K110" s="178"/>
      <c r="L110" s="180"/>
      <c r="M110" s="180"/>
      <c r="N110" s="178">
        <v>130.0</v>
      </c>
      <c r="O110" s="180"/>
      <c r="P110" s="180"/>
      <c r="Q110" s="180"/>
      <c r="R110" s="180"/>
      <c r="S110" s="177">
        <v>1200.0</v>
      </c>
      <c r="T110" s="180"/>
      <c r="U110" s="177">
        <f t="shared" si="11"/>
        <v>1390</v>
      </c>
    </row>
    <row r="111">
      <c r="A111" s="149" t="s">
        <v>150</v>
      </c>
      <c r="B111" s="178">
        <v>1257.33</v>
      </c>
      <c r="C111" s="180"/>
      <c r="D111" s="178">
        <v>225.0</v>
      </c>
      <c r="E111" s="178"/>
      <c r="F111" s="178">
        <v>201.0</v>
      </c>
      <c r="G111" s="180"/>
      <c r="H111" s="178">
        <v>190.0</v>
      </c>
      <c r="I111" s="178">
        <v>718.0</v>
      </c>
      <c r="J111" s="178">
        <v>181.4</v>
      </c>
      <c r="K111" s="178">
        <v>202.0</v>
      </c>
      <c r="L111" s="178">
        <v>456.47</v>
      </c>
      <c r="M111" s="178"/>
      <c r="N111" s="178">
        <v>539.0</v>
      </c>
      <c r="O111" s="180"/>
      <c r="P111" s="180"/>
      <c r="Q111" s="180"/>
      <c r="R111" s="180"/>
      <c r="S111" s="180"/>
      <c r="T111" s="180"/>
      <c r="U111" s="177">
        <f t="shared" si="11"/>
        <v>3970.2</v>
      </c>
    </row>
    <row r="112">
      <c r="A112" s="149" t="s">
        <v>151</v>
      </c>
      <c r="B112" s="180"/>
      <c r="C112" s="180"/>
      <c r="D112" s="178">
        <v>2600.0</v>
      </c>
      <c r="E112" s="177"/>
      <c r="F112" s="178">
        <v>1950.0</v>
      </c>
      <c r="G112" s="180"/>
      <c r="H112" s="180"/>
      <c r="I112" s="178">
        <v>1700.0</v>
      </c>
      <c r="J112" s="180"/>
      <c r="K112" s="177"/>
      <c r="L112" s="180"/>
      <c r="M112" s="178">
        <v>2000.0</v>
      </c>
      <c r="N112" s="178">
        <v>1800.0</v>
      </c>
      <c r="O112" s="180"/>
      <c r="P112" s="180"/>
      <c r="Q112" s="178"/>
      <c r="R112" s="180"/>
      <c r="S112" s="178">
        <v>2000.0</v>
      </c>
      <c r="T112" s="180"/>
      <c r="U112" s="177">
        <f t="shared" si="11"/>
        <v>12050</v>
      </c>
    </row>
    <row r="113">
      <c r="A113" s="149" t="s">
        <v>31</v>
      </c>
      <c r="B113" s="180"/>
      <c r="C113" s="178"/>
      <c r="D113" s="178"/>
      <c r="E113" s="180"/>
      <c r="F113" s="191"/>
      <c r="G113" s="180"/>
      <c r="H113" s="180"/>
      <c r="I113" s="180"/>
      <c r="J113" s="180"/>
      <c r="K113" s="180"/>
      <c r="L113" s="180"/>
      <c r="M113" s="180"/>
      <c r="N113" s="178"/>
      <c r="O113" s="180"/>
      <c r="P113" s="180"/>
      <c r="Q113" s="180">
        <f>3625+15000</f>
        <v>18625</v>
      </c>
      <c r="R113" s="180"/>
      <c r="S113" s="177"/>
      <c r="T113" s="178"/>
      <c r="U113" s="177">
        <f t="shared" si="11"/>
        <v>18625</v>
      </c>
    </row>
    <row r="114">
      <c r="A114" s="149" t="s">
        <v>153</v>
      </c>
      <c r="B114" s="178"/>
      <c r="C114" s="180"/>
      <c r="D114" s="177"/>
      <c r="E114" s="177"/>
      <c r="F114" s="177"/>
      <c r="G114" s="177"/>
      <c r="H114" s="177"/>
      <c r="I114" s="180"/>
      <c r="J114" s="177"/>
      <c r="K114" s="191"/>
      <c r="L114" s="177"/>
      <c r="M114" s="177"/>
      <c r="N114" s="177"/>
      <c r="O114" s="180"/>
      <c r="P114" s="180"/>
      <c r="Q114" s="180"/>
      <c r="R114" s="180"/>
      <c r="S114" s="191"/>
      <c r="T114" s="178"/>
      <c r="U114" s="177">
        <f t="shared" si="11"/>
        <v>0</v>
      </c>
    </row>
    <row r="115">
      <c r="A115" s="149" t="s">
        <v>155</v>
      </c>
      <c r="B115" s="178">
        <v>2570.0</v>
      </c>
      <c r="C115" s="180"/>
      <c r="D115" s="177"/>
      <c r="E115" s="177"/>
      <c r="F115" s="177"/>
      <c r="G115" s="177"/>
      <c r="H115" s="177"/>
      <c r="I115" s="180"/>
      <c r="J115" s="177"/>
      <c r="K115" s="191"/>
      <c r="L115" s="177"/>
      <c r="M115" s="177"/>
      <c r="N115" s="177"/>
      <c r="O115" s="180"/>
      <c r="P115" s="180"/>
      <c r="Q115" s="180"/>
      <c r="R115" s="180"/>
      <c r="S115" s="191"/>
      <c r="T115" s="180"/>
      <c r="U115" s="177">
        <f t="shared" si="11"/>
        <v>2570</v>
      </c>
    </row>
    <row r="116">
      <c r="A116" s="149" t="s">
        <v>156</v>
      </c>
      <c r="B116" s="180"/>
      <c r="C116" s="180"/>
      <c r="D116" s="177">
        <v>2722.22</v>
      </c>
      <c r="E116" s="177">
        <v>1095.92</v>
      </c>
      <c r="F116" s="177">
        <v>2708.33</v>
      </c>
      <c r="G116" s="177">
        <f>1388.89+9246/12</f>
        <v>2159.39</v>
      </c>
      <c r="H116" s="177">
        <f>10182.42+10789.73/12</f>
        <v>11081.56417</v>
      </c>
      <c r="I116" s="180"/>
      <c r="J116" s="177">
        <v>1152.5</v>
      </c>
      <c r="K116" s="191" t="s">
        <v>188</v>
      </c>
      <c r="L116" s="177">
        <v>3065.1</v>
      </c>
      <c r="M116" s="177">
        <v>9190.0</v>
      </c>
      <c r="N116" s="177">
        <v>1859.42</v>
      </c>
      <c r="O116" s="180"/>
      <c r="P116" s="180"/>
      <c r="Q116" s="180"/>
      <c r="R116" s="180"/>
      <c r="S116" s="191" t="s">
        <v>189</v>
      </c>
      <c r="T116" s="180">
        <f>8700/12</f>
        <v>725</v>
      </c>
      <c r="U116" s="177">
        <f t="shared" si="11"/>
        <v>35759.44417</v>
      </c>
    </row>
    <row r="117">
      <c r="A117" s="149" t="s">
        <v>157</v>
      </c>
      <c r="B117" s="178">
        <v>47.0</v>
      </c>
      <c r="C117" s="180"/>
      <c r="D117" s="180"/>
      <c r="E117" s="182"/>
      <c r="F117" s="180"/>
      <c r="G117" s="178"/>
      <c r="H117" s="180"/>
      <c r="I117" s="178"/>
      <c r="J117" s="180"/>
      <c r="K117" s="178"/>
      <c r="L117" s="180"/>
      <c r="M117" s="180"/>
      <c r="N117" s="180"/>
      <c r="O117" s="180"/>
      <c r="P117" s="180"/>
      <c r="Q117" s="178"/>
      <c r="R117" s="180"/>
      <c r="S117" s="177">
        <v>2967.0</v>
      </c>
      <c r="T117" s="180"/>
      <c r="U117" s="177">
        <f t="shared" si="11"/>
        <v>3014</v>
      </c>
    </row>
    <row r="118">
      <c r="A118" s="149" t="s">
        <v>158</v>
      </c>
      <c r="B118" s="177">
        <v>530.0</v>
      </c>
      <c r="C118" s="180"/>
      <c r="D118" s="178">
        <v>251.73</v>
      </c>
      <c r="E118" s="182">
        <v>270.91</v>
      </c>
      <c r="F118" s="178">
        <f>72+333.73</f>
        <v>405.73</v>
      </c>
      <c r="G118" s="193">
        <f>396.28+103.84</f>
        <v>500.12</v>
      </c>
      <c r="H118" s="178">
        <f>599+154.9+47.8</f>
        <v>801.7</v>
      </c>
      <c r="I118" s="177">
        <f>1553+1601</f>
        <v>3154</v>
      </c>
      <c r="J118" s="178">
        <v>219.03</v>
      </c>
      <c r="K118" s="180"/>
      <c r="L118" s="178">
        <v>1128.0</v>
      </c>
      <c r="M118" s="177">
        <v>129.81</v>
      </c>
      <c r="N118" s="178">
        <v>270.0</v>
      </c>
      <c r="O118" s="180"/>
      <c r="P118" s="180"/>
      <c r="Q118" s="178">
        <v>1900.0</v>
      </c>
      <c r="R118" s="180"/>
      <c r="S118" s="180"/>
      <c r="T118" s="180"/>
      <c r="U118" s="177">
        <f t="shared" si="11"/>
        <v>9561.03</v>
      </c>
    </row>
    <row r="119">
      <c r="A119" s="141" t="s">
        <v>160</v>
      </c>
      <c r="B119" s="177">
        <f>28795</f>
        <v>28795</v>
      </c>
      <c r="C119" s="178">
        <v>3980.0</v>
      </c>
      <c r="D119" s="178">
        <v>11277.0</v>
      </c>
      <c r="E119" s="178">
        <v>9875.0</v>
      </c>
      <c r="F119" s="177">
        <v>1800.0</v>
      </c>
      <c r="G119" s="178">
        <v>15090.0</v>
      </c>
      <c r="H119" s="177">
        <v>6455.0</v>
      </c>
      <c r="I119" s="177">
        <v>32547.0</v>
      </c>
      <c r="J119" s="178">
        <v>7087.0</v>
      </c>
      <c r="K119" s="178">
        <v>6725.0</v>
      </c>
      <c r="L119" s="194">
        <v>11870.0</v>
      </c>
      <c r="M119" s="177">
        <v>25790.0</v>
      </c>
      <c r="N119" s="177">
        <v>25790.0</v>
      </c>
      <c r="O119" s="178">
        <v>120.0</v>
      </c>
      <c r="P119" s="178">
        <v>2990.0</v>
      </c>
      <c r="Q119" s="180"/>
      <c r="R119" s="180"/>
      <c r="S119" s="177">
        <v>16910.0</v>
      </c>
      <c r="T119" s="180"/>
      <c r="U119" s="177">
        <f t="shared" si="11"/>
        <v>207101</v>
      </c>
    </row>
    <row r="120">
      <c r="A120" s="149" t="s">
        <v>161</v>
      </c>
      <c r="B120" s="177">
        <v>118.0</v>
      </c>
      <c r="C120" s="177"/>
      <c r="D120" s="177"/>
      <c r="E120" s="177"/>
      <c r="F120" s="177"/>
      <c r="G120" s="177"/>
      <c r="H120" s="177"/>
      <c r="I120" s="177"/>
      <c r="J120" s="177"/>
      <c r="K120" s="177"/>
      <c r="L120" s="195"/>
      <c r="M120" s="177"/>
      <c r="N120" s="177"/>
      <c r="O120" s="177"/>
      <c r="P120" s="177"/>
      <c r="Q120" s="177"/>
      <c r="R120" s="177"/>
      <c r="S120" s="177"/>
      <c r="T120" s="177">
        <v>360.0</v>
      </c>
      <c r="U120" s="177"/>
    </row>
    <row r="121">
      <c r="A121" s="149" t="s">
        <v>162</v>
      </c>
      <c r="B121" s="177">
        <f t="shared" ref="B121:S121" si="12">2500/12</f>
        <v>208.3333333</v>
      </c>
      <c r="C121" s="177">
        <f t="shared" si="12"/>
        <v>208.3333333</v>
      </c>
      <c r="D121" s="177">
        <f t="shared" si="12"/>
        <v>208.3333333</v>
      </c>
      <c r="E121" s="177">
        <f t="shared" si="12"/>
        <v>208.3333333</v>
      </c>
      <c r="F121" s="177">
        <f t="shared" si="12"/>
        <v>208.3333333</v>
      </c>
      <c r="G121" s="177">
        <f t="shared" si="12"/>
        <v>208.3333333</v>
      </c>
      <c r="H121" s="177">
        <f t="shared" si="12"/>
        <v>208.3333333</v>
      </c>
      <c r="I121" s="177">
        <f t="shared" si="12"/>
        <v>208.3333333</v>
      </c>
      <c r="J121" s="177">
        <f t="shared" si="12"/>
        <v>208.3333333</v>
      </c>
      <c r="K121" s="177">
        <f t="shared" si="12"/>
        <v>208.3333333</v>
      </c>
      <c r="L121" s="177">
        <f t="shared" si="12"/>
        <v>208.3333333</v>
      </c>
      <c r="M121" s="177">
        <f t="shared" si="12"/>
        <v>208.3333333</v>
      </c>
      <c r="N121" s="177">
        <f t="shared" si="12"/>
        <v>208.3333333</v>
      </c>
      <c r="O121" s="177">
        <f t="shared" si="12"/>
        <v>208.3333333</v>
      </c>
      <c r="P121" s="177">
        <f t="shared" si="12"/>
        <v>208.3333333</v>
      </c>
      <c r="Q121" s="177">
        <f t="shared" si="12"/>
        <v>208.3333333</v>
      </c>
      <c r="R121" s="177">
        <f t="shared" si="12"/>
        <v>208.3333333</v>
      </c>
      <c r="S121" s="177">
        <f t="shared" si="12"/>
        <v>208.3333333</v>
      </c>
      <c r="T121" s="177">
        <f>(2500+2500+2500)/12</f>
        <v>625</v>
      </c>
      <c r="U121" s="177">
        <f t="shared" ref="U121:U125" si="13">sum(B121:T121)</f>
        <v>4375</v>
      </c>
    </row>
    <row r="122">
      <c r="A122" s="149" t="s">
        <v>163</v>
      </c>
      <c r="B122" s="178">
        <v>867.68</v>
      </c>
      <c r="C122" s="180"/>
      <c r="D122" s="177"/>
      <c r="E122" s="178">
        <v>292.12</v>
      </c>
      <c r="F122" s="178">
        <v>738.0</v>
      </c>
      <c r="G122" s="178">
        <v>1090.68</v>
      </c>
      <c r="H122" s="177">
        <v>1333.38</v>
      </c>
      <c r="I122" s="178">
        <v>745.48</v>
      </c>
      <c r="J122" s="178">
        <v>642.92</v>
      </c>
      <c r="K122" s="180"/>
      <c r="L122" s="178">
        <v>462.85</v>
      </c>
      <c r="M122" s="178">
        <f>1404+927</f>
        <v>2331</v>
      </c>
      <c r="N122" s="178">
        <v>1.77</v>
      </c>
      <c r="O122" s="197">
        <v>558.06</v>
      </c>
      <c r="P122" s="180"/>
      <c r="Q122" s="180"/>
      <c r="R122" s="178">
        <v>190.85</v>
      </c>
      <c r="S122" s="180"/>
      <c r="T122" s="177">
        <v>3938.0</v>
      </c>
      <c r="U122" s="177">
        <f t="shared" si="13"/>
        <v>13192.79</v>
      </c>
    </row>
    <row r="123">
      <c r="A123" s="149" t="s">
        <v>164</v>
      </c>
      <c r="B123" s="198"/>
      <c r="C123" s="199"/>
      <c r="D123" s="199"/>
      <c r="E123" s="199"/>
      <c r="F123" s="199"/>
      <c r="G123" s="199"/>
      <c r="H123" s="199"/>
      <c r="I123" s="199"/>
      <c r="J123" s="199"/>
      <c r="K123" s="199"/>
      <c r="L123" s="199"/>
      <c r="M123" s="199"/>
      <c r="N123" s="199"/>
      <c r="P123" s="199"/>
      <c r="Q123" s="201"/>
      <c r="R123" s="163"/>
      <c r="S123" s="197">
        <v>39394.0</v>
      </c>
      <c r="T123" s="199"/>
      <c r="U123" s="177">
        <f t="shared" si="13"/>
        <v>39394</v>
      </c>
    </row>
    <row r="124">
      <c r="A124" s="149" t="s">
        <v>122</v>
      </c>
      <c r="B124" s="198"/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201"/>
      <c r="R124" s="199"/>
      <c r="S124" s="199"/>
      <c r="T124" s="199"/>
      <c r="U124" s="177">
        <f t="shared" si="13"/>
        <v>0</v>
      </c>
    </row>
    <row r="125">
      <c r="A125" s="149" t="s">
        <v>165</v>
      </c>
      <c r="B125" s="198"/>
      <c r="C125" s="199"/>
      <c r="D125" s="201">
        <v>1530.0</v>
      </c>
      <c r="E125" s="199"/>
      <c r="F125" s="199"/>
      <c r="G125" s="197"/>
      <c r="H125" s="197">
        <v>4740.0</v>
      </c>
      <c r="I125" s="197">
        <v>1072.0</v>
      </c>
      <c r="J125" s="197">
        <v>570.0</v>
      </c>
      <c r="K125" s="199"/>
      <c r="L125" s="199"/>
      <c r="M125" s="197">
        <v>2168.0</v>
      </c>
      <c r="N125" s="197"/>
      <c r="O125" s="199"/>
      <c r="P125" s="199"/>
      <c r="Q125" s="199"/>
      <c r="R125" s="199"/>
      <c r="S125" s="199"/>
      <c r="T125" s="199"/>
      <c r="U125" s="177">
        <f t="shared" si="13"/>
        <v>10080</v>
      </c>
    </row>
    <row r="126">
      <c r="A126" s="164"/>
      <c r="B126" s="202">
        <f t="shared" ref="B126:U126" si="14">sum(B94:B125)</f>
        <v>44773.34333</v>
      </c>
      <c r="C126" s="202">
        <f t="shared" si="14"/>
        <v>5342.333333</v>
      </c>
      <c r="D126" s="202">
        <f t="shared" si="14"/>
        <v>33841.28333</v>
      </c>
      <c r="E126" s="202">
        <f t="shared" si="14"/>
        <v>20586.28333</v>
      </c>
      <c r="F126" s="202">
        <f t="shared" si="14"/>
        <v>15203.39333</v>
      </c>
      <c r="G126" s="202">
        <f t="shared" si="14"/>
        <v>28679.52333</v>
      </c>
      <c r="H126" s="202">
        <f t="shared" si="14"/>
        <v>36033.9775</v>
      </c>
      <c r="I126" s="202">
        <f t="shared" si="14"/>
        <v>50446.81333</v>
      </c>
      <c r="J126" s="202">
        <f t="shared" si="14"/>
        <v>24999.18333</v>
      </c>
      <c r="K126" s="202">
        <f t="shared" si="14"/>
        <v>9446.333333</v>
      </c>
      <c r="L126" s="202">
        <f t="shared" si="14"/>
        <v>23267.75333</v>
      </c>
      <c r="M126" s="202">
        <f t="shared" si="14"/>
        <v>47141.53333</v>
      </c>
      <c r="N126" s="202">
        <f t="shared" si="14"/>
        <v>33310.01333</v>
      </c>
      <c r="O126" s="202">
        <f t="shared" si="14"/>
        <v>4802.123333</v>
      </c>
      <c r="P126" s="202">
        <f t="shared" si="14"/>
        <v>3498.333333</v>
      </c>
      <c r="Q126" s="202">
        <f t="shared" si="14"/>
        <v>29973.33333</v>
      </c>
      <c r="R126" s="202">
        <f t="shared" si="14"/>
        <v>402.8933333</v>
      </c>
      <c r="S126" s="202">
        <f t="shared" si="14"/>
        <v>282304.3333</v>
      </c>
      <c r="T126" s="202">
        <f t="shared" si="14"/>
        <v>22226</v>
      </c>
      <c r="U126" s="202">
        <f t="shared" si="14"/>
        <v>715800.7842</v>
      </c>
    </row>
    <row r="127">
      <c r="A127" s="164"/>
      <c r="B127" s="203"/>
      <c r="C127" s="204"/>
      <c r="D127" s="204"/>
      <c r="E127" s="204"/>
      <c r="F127" s="204"/>
      <c r="G127" s="204"/>
      <c r="H127" s="204"/>
      <c r="I127" s="204"/>
      <c r="J127" s="204"/>
      <c r="K127" s="204"/>
      <c r="L127" s="204"/>
      <c r="M127" s="204"/>
      <c r="N127" s="204"/>
      <c r="O127" s="204"/>
      <c r="P127" s="204"/>
      <c r="Q127" s="204"/>
      <c r="R127" s="204"/>
      <c r="S127" s="204"/>
      <c r="T127" s="204"/>
      <c r="U127" s="205"/>
    </row>
    <row r="128">
      <c r="A128" s="164"/>
      <c r="B128" s="180"/>
      <c r="C128" s="180"/>
      <c r="D128" s="180"/>
      <c r="E128" s="180"/>
      <c r="F128" s="18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77"/>
    </row>
    <row r="129">
      <c r="A129" s="147" t="s">
        <v>30</v>
      </c>
      <c r="B129" s="180"/>
      <c r="C129" s="180"/>
      <c r="D129" s="180"/>
      <c r="E129" s="180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0"/>
      <c r="S129" s="180"/>
      <c r="T129" s="180"/>
      <c r="U129" s="177"/>
    </row>
    <row r="130">
      <c r="A130" s="149" t="s">
        <v>168</v>
      </c>
      <c r="B130" s="178">
        <f>885+5286+13246</f>
        <v>19417</v>
      </c>
      <c r="C130" s="180"/>
      <c r="D130" s="177"/>
      <c r="E130" s="178">
        <v>4130.0</v>
      </c>
      <c r="F130" s="178">
        <v>2655.0</v>
      </c>
      <c r="G130" s="178">
        <v>3540.0</v>
      </c>
      <c r="H130" s="178">
        <v>15340.0</v>
      </c>
      <c r="I130" s="180"/>
      <c r="J130" s="178">
        <v>26255.0</v>
      </c>
      <c r="K130" s="178">
        <v>12000.0</v>
      </c>
      <c r="L130" s="178"/>
      <c r="M130" s="178">
        <v>5900.0</v>
      </c>
      <c r="N130" s="178"/>
      <c r="O130" s="178">
        <v>5900.0</v>
      </c>
      <c r="P130" s="178"/>
      <c r="Q130" s="180"/>
      <c r="R130" s="180"/>
      <c r="S130" s="178">
        <v>1888.0</v>
      </c>
      <c r="T130" s="180"/>
      <c r="U130" s="177">
        <f t="shared" ref="U130:U132" si="15">sum(B130:T130)</f>
        <v>97025</v>
      </c>
    </row>
    <row r="131">
      <c r="A131" s="149" t="s">
        <v>169</v>
      </c>
      <c r="B131" s="206">
        <v>7800.0</v>
      </c>
      <c r="C131" s="199"/>
      <c r="D131" s="199"/>
      <c r="E131" s="197">
        <v>1200.0</v>
      </c>
      <c r="F131" s="197"/>
      <c r="G131" s="201">
        <v>700.0</v>
      </c>
      <c r="H131" s="199"/>
      <c r="I131" s="201"/>
      <c r="J131" s="197">
        <v>2000.0</v>
      </c>
      <c r="K131" s="199"/>
      <c r="L131" s="201">
        <v>5750.0</v>
      </c>
      <c r="M131" s="199"/>
      <c r="N131" s="199"/>
      <c r="O131" s="199"/>
      <c r="P131" s="199"/>
      <c r="Q131" s="199"/>
      <c r="R131" s="199"/>
      <c r="S131" s="201">
        <v>21020.0</v>
      </c>
      <c r="T131" s="199"/>
      <c r="U131" s="177">
        <f t="shared" si="15"/>
        <v>38470</v>
      </c>
    </row>
    <row r="132">
      <c r="A132" s="149" t="s">
        <v>170</v>
      </c>
      <c r="B132" s="207">
        <v>9511.0</v>
      </c>
      <c r="C132" s="199"/>
      <c r="D132" s="197">
        <v>2144.0</v>
      </c>
      <c r="E132" s="197">
        <v>2350.0</v>
      </c>
      <c r="F132" s="197">
        <v>1064.0</v>
      </c>
      <c r="G132" s="197">
        <v>4251.0</v>
      </c>
      <c r="H132" s="197">
        <v>1500.0</v>
      </c>
      <c r="I132" s="197">
        <v>800.0</v>
      </c>
      <c r="J132" s="197">
        <v>1396.0</v>
      </c>
      <c r="K132" s="197">
        <v>500.0</v>
      </c>
      <c r="L132" s="197"/>
      <c r="M132" s="197">
        <v>4153.0</v>
      </c>
      <c r="N132" s="197">
        <v>297.0</v>
      </c>
      <c r="O132" s="199"/>
      <c r="P132" s="197"/>
      <c r="Q132" s="199"/>
      <c r="R132" s="199"/>
      <c r="S132" s="201">
        <v>164529.0</v>
      </c>
      <c r="T132" s="199"/>
      <c r="U132" s="177">
        <f t="shared" si="15"/>
        <v>192495</v>
      </c>
    </row>
    <row r="133">
      <c r="A133" s="164"/>
      <c r="B133" s="202">
        <f t="shared" ref="B133:U133" si="16">sum(B130:B132)</f>
        <v>36728</v>
      </c>
      <c r="C133" s="202">
        <f t="shared" si="16"/>
        <v>0</v>
      </c>
      <c r="D133" s="202">
        <f t="shared" si="16"/>
        <v>2144</v>
      </c>
      <c r="E133" s="202">
        <f t="shared" si="16"/>
        <v>7680</v>
      </c>
      <c r="F133" s="202">
        <f t="shared" si="16"/>
        <v>3719</v>
      </c>
      <c r="G133" s="202">
        <f t="shared" si="16"/>
        <v>8491</v>
      </c>
      <c r="H133" s="202">
        <f t="shared" si="16"/>
        <v>16840</v>
      </c>
      <c r="I133" s="202">
        <f t="shared" si="16"/>
        <v>800</v>
      </c>
      <c r="J133" s="202">
        <f t="shared" si="16"/>
        <v>29651</v>
      </c>
      <c r="K133" s="202">
        <f t="shared" si="16"/>
        <v>12500</v>
      </c>
      <c r="L133" s="202">
        <f t="shared" si="16"/>
        <v>5750</v>
      </c>
      <c r="M133" s="202">
        <f t="shared" si="16"/>
        <v>10053</v>
      </c>
      <c r="N133" s="202">
        <f t="shared" si="16"/>
        <v>297</v>
      </c>
      <c r="O133" s="202">
        <f t="shared" si="16"/>
        <v>5900</v>
      </c>
      <c r="P133" s="202">
        <f t="shared" si="16"/>
        <v>0</v>
      </c>
      <c r="Q133" s="202">
        <f t="shared" si="16"/>
        <v>0</v>
      </c>
      <c r="R133" s="202">
        <f t="shared" si="16"/>
        <v>0</v>
      </c>
      <c r="S133" s="202">
        <f t="shared" si="16"/>
        <v>187437</v>
      </c>
      <c r="T133" s="202">
        <f t="shared" si="16"/>
        <v>0</v>
      </c>
      <c r="U133" s="202">
        <f t="shared" si="16"/>
        <v>327990</v>
      </c>
    </row>
    <row r="134">
      <c r="U134" s="114"/>
    </row>
    <row r="135">
      <c r="U135" s="114"/>
    </row>
    <row r="136">
      <c r="U136" s="114"/>
    </row>
    <row r="137">
      <c r="A137" s="172">
        <v>46199.0</v>
      </c>
      <c r="B137" s="173"/>
      <c r="C137" s="173"/>
      <c r="D137" s="173"/>
      <c r="E137" s="173"/>
      <c r="F137" s="173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4"/>
    </row>
    <row r="138">
      <c r="A138" s="141" t="s">
        <v>31</v>
      </c>
      <c r="B138" s="142" t="s">
        <v>107</v>
      </c>
      <c r="C138" s="142" t="s">
        <v>108</v>
      </c>
      <c r="D138" s="142" t="s">
        <v>109</v>
      </c>
      <c r="E138" s="142" t="s">
        <v>110</v>
      </c>
      <c r="F138" s="142" t="s">
        <v>111</v>
      </c>
      <c r="G138" s="142" t="s">
        <v>112</v>
      </c>
      <c r="H138" s="142" t="s">
        <v>113</v>
      </c>
      <c r="I138" s="142" t="s">
        <v>114</v>
      </c>
      <c r="J138" s="142" t="s">
        <v>115</v>
      </c>
      <c r="K138" s="142" t="s">
        <v>116</v>
      </c>
      <c r="L138" s="142" t="s">
        <v>117</v>
      </c>
      <c r="M138" s="142" t="s">
        <v>118</v>
      </c>
      <c r="N138" s="142" t="s">
        <v>119</v>
      </c>
      <c r="O138" s="142" t="s">
        <v>120</v>
      </c>
      <c r="P138" s="142" t="s">
        <v>121</v>
      </c>
      <c r="Q138" s="142" t="s">
        <v>122</v>
      </c>
      <c r="R138" s="142" t="s">
        <v>123</v>
      </c>
      <c r="S138" s="142" t="s">
        <v>124</v>
      </c>
      <c r="T138" s="142" t="s">
        <v>125</v>
      </c>
      <c r="U138" s="145" t="s">
        <v>82</v>
      </c>
    </row>
    <row r="139">
      <c r="A139" s="147" t="s">
        <v>126</v>
      </c>
      <c r="B139" s="164"/>
      <c r="C139" s="164"/>
      <c r="D139" s="164"/>
      <c r="E139" s="164"/>
      <c r="F139" s="164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76"/>
    </row>
    <row r="140">
      <c r="A140" s="149" t="s">
        <v>128</v>
      </c>
      <c r="B140" s="177">
        <v>832.0</v>
      </c>
      <c r="C140" s="177">
        <v>1106.0</v>
      </c>
      <c r="D140" s="178">
        <v>703.0</v>
      </c>
      <c r="E140" s="178">
        <v>381.0</v>
      </c>
      <c r="F140" s="178">
        <v>582.0</v>
      </c>
      <c r="G140" s="177">
        <v>658.0</v>
      </c>
      <c r="H140" s="177">
        <v>1227.0</v>
      </c>
      <c r="I140" s="178">
        <v>130.0</v>
      </c>
      <c r="J140" s="177">
        <v>1979.0</v>
      </c>
      <c r="K140" s="178">
        <v>587.0</v>
      </c>
      <c r="L140" s="178">
        <v>249.0</v>
      </c>
      <c r="M140" s="177">
        <v>845.0</v>
      </c>
      <c r="N140" s="180"/>
      <c r="O140" s="180"/>
      <c r="P140" s="178">
        <v>1003.0</v>
      </c>
      <c r="Q140" s="178">
        <v>1954.0</v>
      </c>
      <c r="R140" s="180"/>
      <c r="S140" s="177">
        <v>14482.0</v>
      </c>
      <c r="T140" s="177">
        <f>19476+16000</f>
        <v>35476</v>
      </c>
      <c r="U140" s="177">
        <f t="shared" ref="U140:U144" si="17">sum(B140:T140)</f>
        <v>62194</v>
      </c>
    </row>
    <row r="141">
      <c r="A141" s="149" t="s">
        <v>129</v>
      </c>
      <c r="B141" s="180"/>
      <c r="C141" s="180"/>
      <c r="D141" s="180"/>
      <c r="E141" s="180"/>
      <c r="F141" s="180"/>
      <c r="G141" s="180"/>
      <c r="H141" s="180"/>
      <c r="I141" s="180"/>
      <c r="J141" s="180"/>
      <c r="K141" s="180"/>
      <c r="L141" s="180"/>
      <c r="M141" s="180"/>
      <c r="N141" s="180"/>
      <c r="O141" s="180"/>
      <c r="P141" s="180"/>
      <c r="Q141" s="180"/>
      <c r="R141" s="180"/>
      <c r="S141" s="177">
        <v>3597.0</v>
      </c>
      <c r="T141" s="177"/>
      <c r="U141" s="177">
        <f t="shared" si="17"/>
        <v>3597</v>
      </c>
    </row>
    <row r="142">
      <c r="A142" s="149" t="s">
        <v>130</v>
      </c>
      <c r="B142" s="180"/>
      <c r="C142" s="180"/>
      <c r="D142" s="180"/>
      <c r="E142" s="180"/>
      <c r="F142" s="180"/>
      <c r="G142" s="180"/>
      <c r="H142" s="180"/>
      <c r="I142" s="178">
        <v>120.0</v>
      </c>
      <c r="J142" s="180"/>
      <c r="K142" s="180"/>
      <c r="L142" s="177"/>
      <c r="M142" s="180"/>
      <c r="N142" s="180"/>
      <c r="O142" s="180"/>
      <c r="P142" s="180"/>
      <c r="Q142" s="180"/>
      <c r="R142" s="180"/>
      <c r="S142" s="177">
        <v>22700.0</v>
      </c>
      <c r="T142" s="180"/>
      <c r="U142" s="177">
        <f t="shared" si="17"/>
        <v>22820</v>
      </c>
    </row>
    <row r="143">
      <c r="A143" s="149" t="s">
        <v>131</v>
      </c>
      <c r="B143" s="177"/>
      <c r="C143" s="180"/>
      <c r="D143" s="180"/>
      <c r="E143" s="177"/>
      <c r="F143" s="177"/>
      <c r="G143" s="180"/>
      <c r="H143" s="178"/>
      <c r="I143" s="180"/>
      <c r="J143" s="177"/>
      <c r="K143" s="180"/>
      <c r="L143" s="180"/>
      <c r="M143" s="180"/>
      <c r="N143" s="180"/>
      <c r="O143" s="180"/>
      <c r="P143" s="180"/>
      <c r="Q143" s="180"/>
      <c r="R143" s="180"/>
      <c r="S143" s="178"/>
      <c r="T143" s="178">
        <v>9996.0</v>
      </c>
      <c r="U143" s="177">
        <f t="shared" si="17"/>
        <v>9996</v>
      </c>
    </row>
    <row r="144">
      <c r="A144" s="149" t="s">
        <v>132</v>
      </c>
      <c r="B144" s="177"/>
      <c r="C144" s="180"/>
      <c r="D144" s="180"/>
      <c r="E144" s="177"/>
      <c r="F144" s="177"/>
      <c r="G144" s="180"/>
      <c r="H144" s="178"/>
      <c r="I144" s="180"/>
      <c r="J144" s="177"/>
      <c r="K144" s="180"/>
      <c r="L144" s="180"/>
      <c r="M144" s="180"/>
      <c r="N144" s="180"/>
      <c r="O144" s="180"/>
      <c r="P144" s="180"/>
      <c r="Q144" s="180"/>
      <c r="R144" s="180"/>
      <c r="S144" s="178"/>
      <c r="T144" s="66">
        <v>-3165.53</v>
      </c>
      <c r="U144" s="177">
        <f t="shared" si="17"/>
        <v>-3165.53</v>
      </c>
    </row>
    <row r="145">
      <c r="A145" s="149" t="s">
        <v>136</v>
      </c>
      <c r="B145" s="177"/>
      <c r="C145" s="180"/>
      <c r="D145" s="180"/>
      <c r="E145" s="177"/>
      <c r="F145" s="177"/>
      <c r="G145" s="180"/>
      <c r="H145" s="178"/>
      <c r="I145" s="180"/>
      <c r="J145" s="177"/>
      <c r="K145" s="180"/>
      <c r="L145" s="180"/>
      <c r="M145" s="180"/>
      <c r="N145" s="180"/>
      <c r="O145" s="180"/>
      <c r="P145" s="180"/>
      <c r="Q145" s="180"/>
      <c r="R145" s="180"/>
      <c r="S145" s="178">
        <v>9590.0</v>
      </c>
      <c r="T145" s="180"/>
      <c r="U145" s="177">
        <f>sum(B145:S145)</f>
        <v>9590</v>
      </c>
    </row>
    <row r="146">
      <c r="A146" s="149" t="s">
        <v>138</v>
      </c>
      <c r="B146" s="177">
        <v>2350.0</v>
      </c>
      <c r="C146" s="180"/>
      <c r="D146" s="177">
        <v>1900.0</v>
      </c>
      <c r="E146" s="177">
        <v>400.0</v>
      </c>
      <c r="F146" s="177"/>
      <c r="G146" s="177">
        <v>2000.0</v>
      </c>
      <c r="H146" s="177">
        <v>2365.0</v>
      </c>
      <c r="I146" s="177">
        <f>500+300</f>
        <v>800</v>
      </c>
      <c r="J146" s="178">
        <v>756.0</v>
      </c>
      <c r="K146" s="178">
        <v>500.0</v>
      </c>
      <c r="L146" s="177">
        <v>200.0</v>
      </c>
      <c r="M146" s="178">
        <f>200+990</f>
        <v>1190</v>
      </c>
      <c r="N146" s="178">
        <v>539.0</v>
      </c>
      <c r="O146" s="177"/>
      <c r="P146" s="178">
        <v>800.0</v>
      </c>
      <c r="Q146" s="178">
        <v>1200.0</v>
      </c>
      <c r="R146" s="180"/>
      <c r="S146" s="177">
        <f>13200+5263</f>
        <v>18463</v>
      </c>
      <c r="T146" s="180"/>
      <c r="U146" s="177">
        <f t="shared" ref="U146:U168" si="18">sum(B146:T146)</f>
        <v>33463</v>
      </c>
    </row>
    <row r="147">
      <c r="A147" s="149" t="s">
        <v>141</v>
      </c>
      <c r="B147" s="177">
        <v>4142.31</v>
      </c>
      <c r="C147" s="180"/>
      <c r="D147" s="177">
        <v>3761.42</v>
      </c>
      <c r="E147" s="177">
        <v>1222.84</v>
      </c>
      <c r="F147" s="177">
        <v>2107.54</v>
      </c>
      <c r="G147" s="177">
        <v>5183.07</v>
      </c>
      <c r="H147" s="177">
        <v>4463.35</v>
      </c>
      <c r="I147" s="177">
        <v>1550.23</v>
      </c>
      <c r="J147" s="177">
        <v>1647.44</v>
      </c>
      <c r="K147" s="180"/>
      <c r="L147" s="177">
        <v>1215.7</v>
      </c>
      <c r="M147" s="177">
        <v>4025.79</v>
      </c>
      <c r="N147" s="178">
        <v>27.02</v>
      </c>
      <c r="O147" s="177">
        <v>2434.82</v>
      </c>
      <c r="P147" s="180"/>
      <c r="Q147" s="180"/>
      <c r="R147" s="180"/>
      <c r="S147" s="180"/>
      <c r="T147" s="178">
        <v>6957.6</v>
      </c>
      <c r="U147" s="177">
        <f t="shared" si="18"/>
        <v>38739.13</v>
      </c>
    </row>
    <row r="148">
      <c r="A148" s="149" t="s">
        <v>142</v>
      </c>
      <c r="B148" s="177"/>
      <c r="C148" s="180"/>
      <c r="D148" s="178">
        <v>372.0</v>
      </c>
      <c r="E148" s="177">
        <v>736.0</v>
      </c>
      <c r="F148" s="177"/>
      <c r="G148" s="177">
        <v>190.0</v>
      </c>
      <c r="H148" s="178"/>
      <c r="I148" s="178">
        <v>1100.0</v>
      </c>
      <c r="J148" s="177">
        <v>1743.0</v>
      </c>
      <c r="K148" s="178">
        <v>395.0</v>
      </c>
      <c r="L148" s="178"/>
      <c r="M148" s="178">
        <v>901.0</v>
      </c>
      <c r="N148" s="177">
        <v>372.0</v>
      </c>
      <c r="O148" s="178">
        <v>705.0</v>
      </c>
      <c r="P148" s="178">
        <v>650.0</v>
      </c>
      <c r="Q148" s="180"/>
      <c r="R148" s="178"/>
      <c r="S148" s="177">
        <v>33349.0</v>
      </c>
      <c r="T148" s="180"/>
      <c r="U148" s="177">
        <f t="shared" si="18"/>
        <v>40513</v>
      </c>
    </row>
    <row r="149">
      <c r="A149" s="149" t="s">
        <v>144</v>
      </c>
      <c r="B149" s="180"/>
      <c r="C149" s="180"/>
      <c r="D149" s="180"/>
      <c r="E149" s="180"/>
      <c r="F149" s="180"/>
      <c r="G149" s="180"/>
      <c r="H149" s="180"/>
      <c r="I149" s="180"/>
      <c r="J149" s="180"/>
      <c r="K149" s="180"/>
      <c r="L149" s="180"/>
      <c r="M149" s="180"/>
      <c r="N149" s="180"/>
      <c r="O149" s="180"/>
      <c r="P149" s="180"/>
      <c r="Q149" s="180"/>
      <c r="R149" s="180"/>
      <c r="S149" s="177"/>
      <c r="T149" s="180"/>
      <c r="U149" s="177">
        <f t="shared" si="18"/>
        <v>0</v>
      </c>
    </row>
    <row r="150">
      <c r="A150" s="149" t="s">
        <v>145</v>
      </c>
      <c r="B150" s="177"/>
      <c r="C150" s="177"/>
      <c r="D150" s="177"/>
      <c r="E150" s="177"/>
      <c r="F150" s="177"/>
      <c r="G150" s="177"/>
      <c r="H150" s="177"/>
      <c r="I150" s="180"/>
      <c r="J150" s="177"/>
      <c r="K150" s="180"/>
      <c r="L150" s="177"/>
      <c r="M150" s="177"/>
      <c r="N150" s="177"/>
      <c r="O150" s="177"/>
      <c r="P150" s="177"/>
      <c r="Q150" s="180"/>
      <c r="R150" s="177"/>
      <c r="S150" s="180"/>
      <c r="T150" s="180"/>
      <c r="U150" s="177">
        <f t="shared" si="18"/>
        <v>0</v>
      </c>
    </row>
    <row r="151">
      <c r="A151" s="149" t="s">
        <v>146</v>
      </c>
      <c r="B151" s="182"/>
      <c r="C151" s="180"/>
      <c r="D151" s="180"/>
      <c r="E151" s="180"/>
      <c r="F151" s="180"/>
      <c r="G151" s="180"/>
      <c r="H151" s="180"/>
      <c r="I151" s="180"/>
      <c r="J151" s="180"/>
      <c r="K151" s="180"/>
      <c r="L151" s="180"/>
      <c r="M151" s="180"/>
      <c r="N151" s="180"/>
      <c r="O151" s="180"/>
      <c r="P151" s="180"/>
      <c r="Q151" s="180"/>
      <c r="R151" s="180"/>
      <c r="S151" s="180"/>
      <c r="T151" s="178">
        <v>600.0</v>
      </c>
      <c r="U151" s="177">
        <f t="shared" si="18"/>
        <v>600</v>
      </c>
    </row>
    <row r="152">
      <c r="A152" s="149" t="s">
        <v>147</v>
      </c>
      <c r="B152" s="178">
        <v>988.0</v>
      </c>
      <c r="C152" s="180"/>
      <c r="D152" s="178">
        <v>229.0</v>
      </c>
      <c r="E152" s="177">
        <v>128.0</v>
      </c>
      <c r="F152" s="178">
        <v>225.0</v>
      </c>
      <c r="G152" s="178">
        <v>520.0</v>
      </c>
      <c r="H152" s="178">
        <v>252.0</v>
      </c>
      <c r="I152" s="178"/>
      <c r="J152" s="178">
        <v>95.0</v>
      </c>
      <c r="K152" s="178">
        <v>157.0</v>
      </c>
      <c r="L152" s="178">
        <v>87.0</v>
      </c>
      <c r="M152" s="178"/>
      <c r="N152" s="177">
        <v>862.0</v>
      </c>
      <c r="O152" s="180"/>
      <c r="P152" s="180"/>
      <c r="Q152" s="180"/>
      <c r="R152" s="180"/>
      <c r="S152" s="180"/>
      <c r="T152" s="180"/>
      <c r="U152" s="177">
        <f t="shared" si="18"/>
        <v>3543</v>
      </c>
    </row>
    <row r="153">
      <c r="A153" s="149" t="s">
        <v>148</v>
      </c>
      <c r="B153" s="180"/>
      <c r="C153" s="180"/>
      <c r="D153" s="177">
        <v>4795.0</v>
      </c>
      <c r="E153" s="178">
        <v>180.0</v>
      </c>
      <c r="F153" s="177">
        <v>280.0</v>
      </c>
      <c r="G153" s="180"/>
      <c r="H153" s="180"/>
      <c r="I153" s="178">
        <v>300.0</v>
      </c>
      <c r="J153" s="178">
        <v>600.0</v>
      </c>
      <c r="K153" s="177">
        <v>1458.0</v>
      </c>
      <c r="L153" s="180"/>
      <c r="M153" s="180"/>
      <c r="N153" s="178"/>
      <c r="O153" s="180"/>
      <c r="P153" s="180"/>
      <c r="Q153" s="180"/>
      <c r="R153" s="180"/>
      <c r="S153" s="177">
        <v>3240.0</v>
      </c>
      <c r="T153" s="180"/>
      <c r="U153" s="177">
        <f t="shared" si="18"/>
        <v>10853</v>
      </c>
    </row>
    <row r="154">
      <c r="A154" s="149" t="s">
        <v>88</v>
      </c>
      <c r="B154" s="177">
        <v>1373.0</v>
      </c>
      <c r="C154" s="180"/>
      <c r="D154" s="178">
        <v>710.0</v>
      </c>
      <c r="E154" s="178">
        <v>137.0</v>
      </c>
      <c r="F154" s="177">
        <v>500.0</v>
      </c>
      <c r="G154" s="177">
        <v>927.0</v>
      </c>
      <c r="H154" s="178">
        <v>169.0</v>
      </c>
      <c r="I154" s="180"/>
      <c r="J154" s="177"/>
      <c r="K154" s="180"/>
      <c r="L154" s="178">
        <v>300.0</v>
      </c>
      <c r="M154" s="178">
        <v>443.0</v>
      </c>
      <c r="N154" s="180"/>
      <c r="O154" s="180"/>
      <c r="P154" s="180"/>
      <c r="Q154" s="180"/>
      <c r="R154" s="180"/>
      <c r="S154" s="177">
        <v>1673.0</v>
      </c>
      <c r="T154" s="180"/>
      <c r="U154" s="177">
        <f t="shared" si="18"/>
        <v>6232</v>
      </c>
    </row>
    <row r="155">
      <c r="A155" s="149" t="s">
        <v>149</v>
      </c>
      <c r="B155" s="178"/>
      <c r="C155" s="180"/>
      <c r="D155" s="178"/>
      <c r="E155" s="180"/>
      <c r="F155" s="180"/>
      <c r="G155" s="180"/>
      <c r="H155" s="180"/>
      <c r="I155" s="180"/>
      <c r="J155" s="180"/>
      <c r="K155" s="178"/>
      <c r="L155" s="180"/>
      <c r="M155" s="180"/>
      <c r="N155" s="178"/>
      <c r="O155" s="180"/>
      <c r="P155" s="180"/>
      <c r="Q155" s="180"/>
      <c r="R155" s="180"/>
      <c r="S155" s="177"/>
      <c r="T155" s="180"/>
      <c r="U155" s="177">
        <f t="shared" si="18"/>
        <v>0</v>
      </c>
    </row>
    <row r="156">
      <c r="A156" s="149" t="s">
        <v>150</v>
      </c>
      <c r="B156" s="178">
        <v>1154.0</v>
      </c>
      <c r="C156" s="180"/>
      <c r="D156" s="180"/>
      <c r="E156" s="178">
        <v>89.35</v>
      </c>
      <c r="F156" s="178">
        <v>103.03</v>
      </c>
      <c r="G156" s="180"/>
      <c r="H156" s="178"/>
      <c r="I156" s="178">
        <v>227.5</v>
      </c>
      <c r="J156" s="178">
        <v>389.69</v>
      </c>
      <c r="K156" s="178">
        <v>249.0</v>
      </c>
      <c r="L156" s="178">
        <v>523.28</v>
      </c>
      <c r="M156" s="178">
        <v>50.0</v>
      </c>
      <c r="N156" s="178"/>
      <c r="O156" s="180"/>
      <c r="P156" s="180"/>
      <c r="Q156" s="180"/>
      <c r="R156" s="180"/>
      <c r="S156" s="180"/>
      <c r="T156" s="180"/>
      <c r="U156" s="177">
        <f t="shared" si="18"/>
        <v>2785.85</v>
      </c>
    </row>
    <row r="157">
      <c r="A157" s="149" t="s">
        <v>151</v>
      </c>
      <c r="B157" s="180"/>
      <c r="C157" s="180"/>
      <c r="D157" s="180"/>
      <c r="E157" s="177"/>
      <c r="F157" s="180"/>
      <c r="G157" s="180"/>
      <c r="H157" s="180"/>
      <c r="I157" s="180"/>
      <c r="J157" s="180"/>
      <c r="K157" s="177"/>
      <c r="L157" s="180"/>
      <c r="M157" s="180"/>
      <c r="N157" s="180"/>
      <c r="O157" s="180"/>
      <c r="P157" s="180"/>
      <c r="Q157" s="180"/>
      <c r="R157" s="180"/>
      <c r="S157" s="180"/>
      <c r="T157" s="180"/>
      <c r="U157" s="177">
        <f t="shared" si="18"/>
        <v>0</v>
      </c>
    </row>
    <row r="158">
      <c r="A158" s="149" t="s">
        <v>31</v>
      </c>
      <c r="B158" s="180"/>
      <c r="C158" s="178"/>
      <c r="D158" s="178">
        <v>160.0</v>
      </c>
      <c r="E158" s="180"/>
      <c r="F158" s="191"/>
      <c r="G158" s="180"/>
      <c r="H158" s="180"/>
      <c r="I158" s="180"/>
      <c r="J158" s="180"/>
      <c r="K158" s="180"/>
      <c r="L158" s="180"/>
      <c r="M158" s="180"/>
      <c r="N158" s="178">
        <v>100.0</v>
      </c>
      <c r="O158" s="180"/>
      <c r="P158" s="180"/>
      <c r="Q158" s="180"/>
      <c r="R158" s="180"/>
      <c r="S158" s="177">
        <v>1800.0</v>
      </c>
      <c r="T158" s="178">
        <v>862.0</v>
      </c>
      <c r="U158" s="177">
        <f t="shared" si="18"/>
        <v>2922</v>
      </c>
    </row>
    <row r="159">
      <c r="A159" s="149" t="s">
        <v>153</v>
      </c>
      <c r="B159" s="178"/>
      <c r="C159" s="180"/>
      <c r="D159" s="177"/>
      <c r="E159" s="177"/>
      <c r="F159" s="177"/>
      <c r="G159" s="177"/>
      <c r="H159" s="177"/>
      <c r="I159" s="180"/>
      <c r="J159" s="177"/>
      <c r="K159" s="191"/>
      <c r="L159" s="177"/>
      <c r="M159" s="177"/>
      <c r="N159" s="177"/>
      <c r="O159" s="180"/>
      <c r="P159" s="180"/>
      <c r="Q159" s="180"/>
      <c r="R159" s="180"/>
      <c r="S159" s="191"/>
      <c r="T159" s="178">
        <v>277.19</v>
      </c>
      <c r="U159" s="177">
        <f t="shared" si="18"/>
        <v>277.19</v>
      </c>
    </row>
    <row r="160">
      <c r="A160" s="149" t="s">
        <v>155</v>
      </c>
      <c r="B160" s="178">
        <f>1510+1590</f>
        <v>3100</v>
      </c>
      <c r="C160" s="180"/>
      <c r="D160" s="177"/>
      <c r="E160" s="177"/>
      <c r="F160" s="177"/>
      <c r="G160" s="177"/>
      <c r="H160" s="177"/>
      <c r="I160" s="180"/>
      <c r="J160" s="177"/>
      <c r="K160" s="191"/>
      <c r="L160" s="177"/>
      <c r="M160" s="177"/>
      <c r="N160" s="177"/>
      <c r="O160" s="180"/>
      <c r="P160" s="180"/>
      <c r="Q160" s="180"/>
      <c r="R160" s="180"/>
      <c r="S160" s="191"/>
      <c r="T160" s="180"/>
      <c r="U160" s="177">
        <f t="shared" si="18"/>
        <v>3100</v>
      </c>
    </row>
    <row r="161">
      <c r="A161" s="149" t="s">
        <v>156</v>
      </c>
      <c r="B161" s="180"/>
      <c r="C161" s="180"/>
      <c r="D161" s="177">
        <v>2722.22</v>
      </c>
      <c r="E161" s="177">
        <v>1095.92</v>
      </c>
      <c r="F161" s="177">
        <v>2708.33</v>
      </c>
      <c r="G161" s="177">
        <v>1388.89</v>
      </c>
      <c r="H161" s="177">
        <v>10182.42</v>
      </c>
      <c r="I161" s="180"/>
      <c r="J161" s="177">
        <v>1152.5</v>
      </c>
      <c r="K161" s="191" t="s">
        <v>188</v>
      </c>
      <c r="L161" s="177">
        <v>3065.1</v>
      </c>
      <c r="M161" s="177">
        <v>9190.0</v>
      </c>
      <c r="N161" s="177">
        <v>1859.42</v>
      </c>
      <c r="O161" s="180"/>
      <c r="P161" s="180"/>
      <c r="Q161" s="180"/>
      <c r="R161" s="180"/>
      <c r="S161" s="191" t="s">
        <v>189</v>
      </c>
      <c r="T161" s="180"/>
      <c r="U161" s="177">
        <f t="shared" si="18"/>
        <v>33364.8</v>
      </c>
    </row>
    <row r="162">
      <c r="A162" s="149" t="s">
        <v>157</v>
      </c>
      <c r="B162" s="178">
        <v>169.0</v>
      </c>
      <c r="C162" s="180"/>
      <c r="D162" s="180"/>
      <c r="E162" s="182"/>
      <c r="F162" s="180"/>
      <c r="G162" s="178">
        <v>272.0</v>
      </c>
      <c r="H162" s="180"/>
      <c r="I162" s="178"/>
      <c r="J162" s="180"/>
      <c r="K162" s="178"/>
      <c r="L162" s="180"/>
      <c r="M162" s="180"/>
      <c r="N162" s="180"/>
      <c r="O162" s="180"/>
      <c r="P162" s="180"/>
      <c r="Q162" s="178">
        <v>1620.0</v>
      </c>
      <c r="R162" s="180"/>
      <c r="S162" s="177">
        <v>986.0</v>
      </c>
      <c r="T162" s="180"/>
      <c r="U162" s="177">
        <f t="shared" si="18"/>
        <v>3047</v>
      </c>
    </row>
    <row r="163">
      <c r="A163" s="149" t="s">
        <v>158</v>
      </c>
      <c r="B163" s="177">
        <f>611.48+843.7</f>
        <v>1455.18</v>
      </c>
      <c r="C163" s="180"/>
      <c r="D163" s="178"/>
      <c r="E163" s="182">
        <v>113.48</v>
      </c>
      <c r="F163" s="178">
        <v>209.97</v>
      </c>
      <c r="G163" s="193">
        <v>97.9</v>
      </c>
      <c r="H163" s="178">
        <f>363.5</f>
        <v>363.5</v>
      </c>
      <c r="I163" s="177">
        <f>1428.29+189.44</f>
        <v>1617.73</v>
      </c>
      <c r="J163" s="178">
        <v>113.2</v>
      </c>
      <c r="K163" s="180"/>
      <c r="L163" s="178">
        <v>335.77</v>
      </c>
      <c r="M163" s="177"/>
      <c r="N163" s="178">
        <f>709.37+64</f>
        <v>773.37</v>
      </c>
      <c r="O163" s="180"/>
      <c r="P163" s="180"/>
      <c r="Q163" s="180"/>
      <c r="R163" s="180"/>
      <c r="S163" s="180"/>
      <c r="T163" s="180"/>
      <c r="U163" s="177">
        <f t="shared" si="18"/>
        <v>5080.1</v>
      </c>
    </row>
    <row r="164">
      <c r="A164" s="149" t="s">
        <v>160</v>
      </c>
      <c r="B164" s="177"/>
      <c r="C164" s="178">
        <v>5150.0</v>
      </c>
      <c r="D164" s="180"/>
      <c r="E164" s="178">
        <v>2850.0</v>
      </c>
      <c r="F164" s="177">
        <v>150.0</v>
      </c>
      <c r="G164" s="178">
        <v>10736.0</v>
      </c>
      <c r="H164" s="177"/>
      <c r="I164" s="177"/>
      <c r="J164" s="178">
        <v>877.46</v>
      </c>
      <c r="K164" s="180"/>
      <c r="L164" s="208"/>
      <c r="M164" s="177">
        <v>480.0</v>
      </c>
      <c r="N164" s="177"/>
      <c r="O164" s="178">
        <v>687.75</v>
      </c>
      <c r="P164" s="178"/>
      <c r="Q164" s="180"/>
      <c r="R164" s="180"/>
      <c r="S164" s="177">
        <v>56160.0</v>
      </c>
      <c r="T164" s="180"/>
      <c r="U164" s="177">
        <f t="shared" si="18"/>
        <v>77091.21</v>
      </c>
    </row>
    <row r="165">
      <c r="A165" s="149" t="s">
        <v>163</v>
      </c>
      <c r="B165" s="178">
        <v>745.13</v>
      </c>
      <c r="C165" s="180"/>
      <c r="D165" s="177">
        <v>1278.51</v>
      </c>
      <c r="E165" s="178">
        <v>490.27</v>
      </c>
      <c r="F165" s="178">
        <v>761.48</v>
      </c>
      <c r="G165" s="178">
        <f>1167.39</f>
        <v>1167.39</v>
      </c>
      <c r="H165" s="177">
        <v>1347.77</v>
      </c>
      <c r="I165" s="178">
        <v>629.22</v>
      </c>
      <c r="J165" s="178"/>
      <c r="K165" s="180"/>
      <c r="L165" s="178">
        <v>508.82</v>
      </c>
      <c r="M165" s="178">
        <v>834.94</v>
      </c>
      <c r="N165" s="178">
        <v>35.02</v>
      </c>
      <c r="O165" s="178"/>
      <c r="P165" s="180"/>
      <c r="Q165" s="180"/>
      <c r="R165" s="178">
        <v>196.29</v>
      </c>
      <c r="S165" s="180"/>
      <c r="T165" s="177">
        <v>4046.22</v>
      </c>
      <c r="U165" s="177">
        <f t="shared" si="18"/>
        <v>12041.06</v>
      </c>
    </row>
    <row r="166">
      <c r="A166" s="149" t="s">
        <v>164</v>
      </c>
      <c r="B166" s="198"/>
      <c r="C166" s="199"/>
      <c r="D166" s="199"/>
      <c r="E166" s="199"/>
      <c r="F166" s="199"/>
      <c r="G166" s="199"/>
      <c r="H166" s="199"/>
      <c r="I166" s="199"/>
      <c r="J166" s="199"/>
      <c r="K166" s="199"/>
      <c r="L166" s="199"/>
      <c r="M166" s="199"/>
      <c r="N166" s="199"/>
      <c r="O166" s="199"/>
      <c r="P166" s="199"/>
      <c r="Q166" s="201"/>
      <c r="R166" s="199"/>
      <c r="S166" s="197">
        <v>39394.0</v>
      </c>
      <c r="T166" s="199"/>
      <c r="U166" s="177">
        <f t="shared" si="18"/>
        <v>39394</v>
      </c>
    </row>
    <row r="167">
      <c r="A167" s="149" t="s">
        <v>122</v>
      </c>
      <c r="B167" s="198"/>
      <c r="C167" s="199"/>
      <c r="D167" s="199"/>
      <c r="E167" s="199"/>
      <c r="F167" s="199"/>
      <c r="G167" s="199"/>
      <c r="H167" s="199"/>
      <c r="I167" s="199"/>
      <c r="J167" s="199"/>
      <c r="K167" s="199"/>
      <c r="L167" s="199"/>
      <c r="M167" s="199"/>
      <c r="N167" s="199"/>
      <c r="O167" s="199"/>
      <c r="P167" s="199"/>
      <c r="Q167" s="201"/>
      <c r="R167" s="199"/>
      <c r="S167" s="199"/>
      <c r="T167" s="199"/>
      <c r="U167" s="177">
        <f t="shared" si="18"/>
        <v>0</v>
      </c>
    </row>
    <row r="168">
      <c r="A168" s="149" t="s">
        <v>165</v>
      </c>
      <c r="B168" s="198"/>
      <c r="C168" s="199"/>
      <c r="D168" s="201">
        <v>1530.0</v>
      </c>
      <c r="E168" s="199"/>
      <c r="F168" s="199"/>
      <c r="G168" s="197"/>
      <c r="H168" s="197">
        <v>4740.0</v>
      </c>
      <c r="I168" s="197">
        <v>1072.0</v>
      </c>
      <c r="J168" s="197">
        <v>570.0</v>
      </c>
      <c r="K168" s="199"/>
      <c r="L168" s="199"/>
      <c r="M168" s="197">
        <v>2168.0</v>
      </c>
      <c r="N168" s="197"/>
      <c r="O168" s="199"/>
      <c r="P168" s="199"/>
      <c r="Q168" s="199"/>
      <c r="R168" s="199"/>
      <c r="S168" s="199"/>
      <c r="T168" s="199"/>
      <c r="U168" s="177">
        <f t="shared" si="18"/>
        <v>10080</v>
      </c>
    </row>
    <row r="169">
      <c r="A169" s="164"/>
      <c r="B169" s="202">
        <f t="shared" ref="B169:U169" si="19">sum(B139:B168)</f>
        <v>16308.62</v>
      </c>
      <c r="C169" s="202">
        <f t="shared" si="19"/>
        <v>6256</v>
      </c>
      <c r="D169" s="202">
        <f t="shared" si="19"/>
        <v>18161.15</v>
      </c>
      <c r="E169" s="202">
        <f t="shared" si="19"/>
        <v>7823.86</v>
      </c>
      <c r="F169" s="202">
        <f t="shared" si="19"/>
        <v>7627.35</v>
      </c>
      <c r="G169" s="202">
        <f t="shared" si="19"/>
        <v>23140.25</v>
      </c>
      <c r="H169" s="202">
        <f t="shared" si="19"/>
        <v>25110.04</v>
      </c>
      <c r="I169" s="202">
        <f t="shared" si="19"/>
        <v>7546.68</v>
      </c>
      <c r="J169" s="202">
        <f t="shared" si="19"/>
        <v>9923.29</v>
      </c>
      <c r="K169" s="202">
        <f t="shared" si="19"/>
        <v>3346</v>
      </c>
      <c r="L169" s="202">
        <f t="shared" si="19"/>
        <v>6484.67</v>
      </c>
      <c r="M169" s="202">
        <f t="shared" si="19"/>
        <v>20127.73</v>
      </c>
      <c r="N169" s="202">
        <f t="shared" si="19"/>
        <v>4567.83</v>
      </c>
      <c r="O169" s="202">
        <f t="shared" si="19"/>
        <v>3827.57</v>
      </c>
      <c r="P169" s="202">
        <f t="shared" si="19"/>
        <v>2453</v>
      </c>
      <c r="Q169" s="202">
        <f t="shared" si="19"/>
        <v>4774</v>
      </c>
      <c r="R169" s="202">
        <f t="shared" si="19"/>
        <v>196.29</v>
      </c>
      <c r="S169" s="202">
        <f t="shared" si="19"/>
        <v>205434</v>
      </c>
      <c r="T169" s="202">
        <f t="shared" si="19"/>
        <v>55049.48</v>
      </c>
      <c r="U169" s="202">
        <f t="shared" si="19"/>
        <v>428157.81</v>
      </c>
    </row>
    <row r="170">
      <c r="A170" s="164"/>
      <c r="B170" s="203"/>
      <c r="C170" s="204"/>
      <c r="D170" s="204"/>
      <c r="E170" s="204"/>
      <c r="F170" s="204"/>
      <c r="G170" s="204"/>
      <c r="H170" s="204"/>
      <c r="I170" s="204"/>
      <c r="J170" s="204"/>
      <c r="K170" s="204"/>
      <c r="L170" s="204"/>
      <c r="M170" s="204"/>
      <c r="N170" s="204"/>
      <c r="O170" s="204"/>
      <c r="P170" s="204"/>
      <c r="Q170" s="204"/>
      <c r="R170" s="204"/>
      <c r="S170" s="204"/>
      <c r="T170" s="204"/>
      <c r="U170" s="205"/>
    </row>
    <row r="171">
      <c r="A171" s="164"/>
      <c r="B171" s="180"/>
      <c r="C171" s="180"/>
      <c r="D171" s="180"/>
      <c r="E171" s="180"/>
      <c r="F171" s="180"/>
      <c r="G171" s="180"/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  <c r="T171" s="180"/>
      <c r="U171" s="177"/>
    </row>
    <row r="172">
      <c r="A172" s="147" t="s">
        <v>30</v>
      </c>
      <c r="B172" s="180"/>
      <c r="C172" s="180"/>
      <c r="D172" s="180"/>
      <c r="E172" s="180"/>
      <c r="F172" s="180"/>
      <c r="G172" s="180"/>
      <c r="H172" s="180"/>
      <c r="I172" s="180"/>
      <c r="J172" s="180"/>
      <c r="K172" s="180"/>
      <c r="L172" s="180"/>
      <c r="M172" s="180"/>
      <c r="N172" s="180"/>
      <c r="O172" s="180"/>
      <c r="P172" s="180"/>
      <c r="Q172" s="180"/>
      <c r="R172" s="180"/>
      <c r="S172" s="180"/>
      <c r="T172" s="180"/>
      <c r="U172" s="177"/>
    </row>
    <row r="173">
      <c r="A173" s="149" t="s">
        <v>168</v>
      </c>
      <c r="B173" s="178">
        <v>15340.0</v>
      </c>
      <c r="C173" s="180"/>
      <c r="D173" s="177">
        <v>5900.0</v>
      </c>
      <c r="E173" s="178">
        <v>25960.0</v>
      </c>
      <c r="F173" s="178">
        <v>36722.0</v>
      </c>
      <c r="G173" s="178">
        <v>18290.0</v>
      </c>
      <c r="H173" s="178">
        <v>42830.0</v>
      </c>
      <c r="I173" s="180"/>
      <c r="J173" s="178">
        <v>8260.0</v>
      </c>
      <c r="K173" s="178">
        <v>5900.0</v>
      </c>
      <c r="L173" s="178">
        <v>10030.0</v>
      </c>
      <c r="M173" s="178">
        <v>10325.0</v>
      </c>
      <c r="N173" s="178">
        <v>5900.0</v>
      </c>
      <c r="O173" s="178">
        <v>3200.0</v>
      </c>
      <c r="P173" s="178">
        <v>5900.0</v>
      </c>
      <c r="Q173" s="180"/>
      <c r="R173" s="180"/>
      <c r="S173" s="178">
        <v>46551.0</v>
      </c>
      <c r="T173" s="180"/>
      <c r="U173" s="177">
        <f t="shared" ref="U173:U175" si="20">sum(B173:T173)</f>
        <v>241108</v>
      </c>
    </row>
    <row r="174">
      <c r="A174" s="149" t="s">
        <v>169</v>
      </c>
      <c r="B174" s="206"/>
      <c r="C174" s="199"/>
      <c r="D174" s="199"/>
      <c r="E174" s="197"/>
      <c r="F174" s="197">
        <v>1280.0</v>
      </c>
      <c r="G174" s="201"/>
      <c r="H174" s="199"/>
      <c r="I174" s="201">
        <v>800.0</v>
      </c>
      <c r="J174" s="199"/>
      <c r="K174" s="199"/>
      <c r="L174" s="201"/>
      <c r="M174" s="199"/>
      <c r="N174" s="199"/>
      <c r="O174" s="199"/>
      <c r="P174" s="199"/>
      <c r="Q174" s="199"/>
      <c r="R174" s="199"/>
      <c r="S174" s="201">
        <f>1000+5500</f>
        <v>6500</v>
      </c>
      <c r="T174" s="199"/>
      <c r="U174" s="177">
        <f t="shared" si="20"/>
        <v>8580</v>
      </c>
    </row>
    <row r="175">
      <c r="A175" s="149" t="s">
        <v>170</v>
      </c>
      <c r="B175" s="207">
        <v>24869.0</v>
      </c>
      <c r="C175" s="199"/>
      <c r="D175" s="197">
        <v>765.0</v>
      </c>
      <c r="E175" s="197">
        <v>1270.0</v>
      </c>
      <c r="F175" s="197">
        <v>1656.0</v>
      </c>
      <c r="G175" s="197">
        <v>3917.0</v>
      </c>
      <c r="H175" s="199"/>
      <c r="I175" s="197"/>
      <c r="J175" s="197">
        <v>2156.0</v>
      </c>
      <c r="K175" s="199"/>
      <c r="L175" s="197">
        <v>1600.0</v>
      </c>
      <c r="M175" s="197">
        <v>2454.0</v>
      </c>
      <c r="N175" s="199"/>
      <c r="O175" s="199"/>
      <c r="P175" s="197"/>
      <c r="Q175" s="199"/>
      <c r="R175" s="199"/>
      <c r="S175" s="201">
        <f>141824+13000+1200+6500</f>
        <v>162524</v>
      </c>
      <c r="T175" s="199"/>
      <c r="U175" s="177">
        <f t="shared" si="20"/>
        <v>201211</v>
      </c>
    </row>
    <row r="176">
      <c r="A176" s="164"/>
      <c r="B176" s="202">
        <f t="shared" ref="B176:U176" si="21">sum(B173:B175)</f>
        <v>40209</v>
      </c>
      <c r="C176" s="202">
        <f t="shared" si="21"/>
        <v>0</v>
      </c>
      <c r="D176" s="202">
        <f t="shared" si="21"/>
        <v>6665</v>
      </c>
      <c r="E176" s="202">
        <f t="shared" si="21"/>
        <v>27230</v>
      </c>
      <c r="F176" s="202">
        <f t="shared" si="21"/>
        <v>39658</v>
      </c>
      <c r="G176" s="202">
        <f t="shared" si="21"/>
        <v>22207</v>
      </c>
      <c r="H176" s="202">
        <f t="shared" si="21"/>
        <v>42830</v>
      </c>
      <c r="I176" s="202">
        <f t="shared" si="21"/>
        <v>800</v>
      </c>
      <c r="J176" s="202">
        <f t="shared" si="21"/>
        <v>10416</v>
      </c>
      <c r="K176" s="202">
        <f t="shared" si="21"/>
        <v>5900</v>
      </c>
      <c r="L176" s="202">
        <f t="shared" si="21"/>
        <v>11630</v>
      </c>
      <c r="M176" s="202">
        <f t="shared" si="21"/>
        <v>12779</v>
      </c>
      <c r="N176" s="202">
        <f t="shared" si="21"/>
        <v>5900</v>
      </c>
      <c r="O176" s="202">
        <f t="shared" si="21"/>
        <v>3200</v>
      </c>
      <c r="P176" s="202">
        <f t="shared" si="21"/>
        <v>5900</v>
      </c>
      <c r="Q176" s="202">
        <f t="shared" si="21"/>
        <v>0</v>
      </c>
      <c r="R176" s="202">
        <f t="shared" si="21"/>
        <v>0</v>
      </c>
      <c r="S176" s="202">
        <f t="shared" si="21"/>
        <v>215575</v>
      </c>
      <c r="T176" s="202">
        <f t="shared" si="21"/>
        <v>0</v>
      </c>
      <c r="U176" s="202">
        <f t="shared" si="21"/>
        <v>450899</v>
      </c>
    </row>
    <row r="177">
      <c r="U177" s="114"/>
    </row>
    <row r="178">
      <c r="U178" s="114"/>
    </row>
    <row r="179">
      <c r="U179" s="114"/>
    </row>
    <row r="180">
      <c r="U180" s="114"/>
    </row>
    <row r="181">
      <c r="U181" s="114"/>
    </row>
    <row r="182">
      <c r="U182" s="114"/>
    </row>
    <row r="183">
      <c r="U183" s="114"/>
    </row>
    <row r="184">
      <c r="U184" s="114"/>
    </row>
    <row r="185">
      <c r="U185" s="114"/>
    </row>
    <row r="186">
      <c r="U186" s="114"/>
    </row>
    <row r="187">
      <c r="U187" s="114"/>
    </row>
    <row r="188">
      <c r="U188" s="114"/>
    </row>
    <row r="189">
      <c r="U189" s="114"/>
    </row>
    <row r="190">
      <c r="U190" s="114"/>
    </row>
    <row r="191">
      <c r="U191" s="114"/>
    </row>
    <row r="192">
      <c r="U192" s="114"/>
    </row>
    <row r="193">
      <c r="U193" s="114"/>
    </row>
    <row r="194">
      <c r="U194" s="114"/>
    </row>
    <row r="195">
      <c r="U195" s="114"/>
    </row>
    <row r="196">
      <c r="U196" s="114"/>
    </row>
    <row r="197">
      <c r="U197" s="114"/>
    </row>
    <row r="198">
      <c r="U198" s="114"/>
    </row>
    <row r="199">
      <c r="U199" s="114"/>
    </row>
    <row r="200">
      <c r="U200" s="114"/>
    </row>
    <row r="201">
      <c r="U201" s="114"/>
    </row>
    <row r="202">
      <c r="U202" s="114"/>
    </row>
    <row r="203">
      <c r="U203" s="114"/>
    </row>
    <row r="204">
      <c r="U204" s="114"/>
    </row>
    <row r="205">
      <c r="U205" s="114"/>
    </row>
    <row r="206">
      <c r="U206" s="114"/>
    </row>
    <row r="207">
      <c r="U207" s="114"/>
    </row>
    <row r="208">
      <c r="U208" s="114"/>
    </row>
    <row r="209">
      <c r="U209" s="114"/>
    </row>
    <row r="210">
      <c r="U210" s="114"/>
    </row>
    <row r="211">
      <c r="U211" s="114"/>
    </row>
    <row r="212">
      <c r="U212" s="114"/>
    </row>
    <row r="213">
      <c r="U213" s="114"/>
    </row>
    <row r="214">
      <c r="U214" s="114"/>
    </row>
    <row r="215">
      <c r="U215" s="114"/>
    </row>
    <row r="216">
      <c r="U216" s="114"/>
    </row>
    <row r="217">
      <c r="U217" s="114"/>
    </row>
    <row r="218">
      <c r="U218" s="114"/>
    </row>
    <row r="219">
      <c r="U219" s="114"/>
    </row>
    <row r="220">
      <c r="U220" s="114"/>
    </row>
    <row r="221">
      <c r="U221" s="114"/>
    </row>
    <row r="222">
      <c r="U222" s="114"/>
    </row>
    <row r="223">
      <c r="U223" s="114"/>
    </row>
    <row r="224">
      <c r="U224" s="114"/>
    </row>
    <row r="225">
      <c r="U225" s="114"/>
    </row>
    <row r="226">
      <c r="U226" s="114"/>
    </row>
    <row r="227">
      <c r="U227" s="114"/>
    </row>
    <row r="228">
      <c r="U228" s="114"/>
    </row>
    <row r="229">
      <c r="U229" s="114"/>
    </row>
    <row r="230">
      <c r="U230" s="114"/>
    </row>
    <row r="231">
      <c r="U231" s="114"/>
    </row>
    <row r="232">
      <c r="U232" s="114"/>
    </row>
    <row r="233">
      <c r="U233" s="114"/>
    </row>
    <row r="234">
      <c r="U234" s="114"/>
    </row>
    <row r="235">
      <c r="U235" s="114"/>
    </row>
    <row r="236">
      <c r="U236" s="114"/>
    </row>
    <row r="237">
      <c r="U237" s="114"/>
    </row>
    <row r="238">
      <c r="U238" s="114"/>
    </row>
    <row r="239">
      <c r="U239" s="114"/>
    </row>
    <row r="240">
      <c r="U240" s="114"/>
    </row>
    <row r="241">
      <c r="U241" s="114"/>
    </row>
    <row r="242">
      <c r="U242" s="114"/>
    </row>
    <row r="243">
      <c r="U243" s="114"/>
    </row>
    <row r="244">
      <c r="U244" s="114"/>
    </row>
    <row r="245">
      <c r="U245" s="114"/>
    </row>
    <row r="246">
      <c r="U246" s="114"/>
    </row>
    <row r="247">
      <c r="U247" s="114"/>
    </row>
    <row r="248">
      <c r="U248" s="114"/>
    </row>
    <row r="249">
      <c r="U249" s="114"/>
    </row>
    <row r="250">
      <c r="U250" s="114"/>
    </row>
    <row r="251">
      <c r="U251" s="114"/>
    </row>
    <row r="252">
      <c r="U252" s="114"/>
    </row>
    <row r="253">
      <c r="U253" s="114"/>
    </row>
    <row r="254">
      <c r="U254" s="114"/>
    </row>
    <row r="255">
      <c r="U255" s="114"/>
    </row>
    <row r="256">
      <c r="U256" s="114"/>
    </row>
    <row r="257">
      <c r="U257" s="114"/>
    </row>
    <row r="258">
      <c r="U258" s="114"/>
    </row>
    <row r="259">
      <c r="U259" s="114"/>
    </row>
    <row r="260">
      <c r="U260" s="114"/>
    </row>
    <row r="261">
      <c r="U261" s="114"/>
    </row>
    <row r="262">
      <c r="U262" s="114"/>
    </row>
    <row r="263">
      <c r="U263" s="114"/>
    </row>
    <row r="264">
      <c r="U264" s="114"/>
    </row>
    <row r="265">
      <c r="U265" s="114"/>
    </row>
    <row r="266">
      <c r="U266" s="114"/>
    </row>
    <row r="267">
      <c r="U267" s="114"/>
    </row>
    <row r="268">
      <c r="U268" s="114"/>
    </row>
    <row r="269">
      <c r="U269" s="114"/>
    </row>
    <row r="270">
      <c r="U270" s="114"/>
    </row>
    <row r="271">
      <c r="U271" s="114"/>
    </row>
    <row r="272">
      <c r="U272" s="114"/>
    </row>
    <row r="273">
      <c r="U273" s="114"/>
    </row>
    <row r="274">
      <c r="U274" s="114"/>
    </row>
    <row r="275">
      <c r="U275" s="114"/>
    </row>
    <row r="276">
      <c r="U276" s="114"/>
    </row>
    <row r="277">
      <c r="U277" s="114"/>
    </row>
    <row r="278">
      <c r="U278" s="114"/>
    </row>
    <row r="279">
      <c r="U279" s="114"/>
    </row>
    <row r="280">
      <c r="U280" s="114"/>
    </row>
    <row r="281">
      <c r="U281" s="114"/>
    </row>
    <row r="282">
      <c r="U282" s="114"/>
    </row>
    <row r="283">
      <c r="U283" s="114"/>
    </row>
    <row r="284">
      <c r="U284" s="114"/>
    </row>
    <row r="285">
      <c r="U285" s="114"/>
    </row>
    <row r="286">
      <c r="U286" s="114"/>
    </row>
    <row r="287">
      <c r="U287" s="114"/>
    </row>
    <row r="288">
      <c r="U288" s="114"/>
    </row>
    <row r="289">
      <c r="U289" s="114"/>
    </row>
    <row r="290">
      <c r="U290" s="114"/>
    </row>
    <row r="291">
      <c r="U291" s="114"/>
    </row>
    <row r="292">
      <c r="U292" s="114"/>
    </row>
    <row r="293">
      <c r="U293" s="114"/>
    </row>
    <row r="294">
      <c r="U294" s="114"/>
    </row>
    <row r="295">
      <c r="U295" s="114"/>
    </row>
    <row r="296">
      <c r="U296" s="114"/>
    </row>
    <row r="297">
      <c r="U297" s="114"/>
    </row>
    <row r="298">
      <c r="U298" s="114"/>
    </row>
    <row r="299">
      <c r="U299" s="114"/>
    </row>
    <row r="300">
      <c r="U300" s="114"/>
    </row>
    <row r="301">
      <c r="U301" s="114"/>
    </row>
    <row r="302">
      <c r="U302" s="114"/>
    </row>
    <row r="303">
      <c r="U303" s="114"/>
    </row>
    <row r="304">
      <c r="U304" s="114"/>
    </row>
    <row r="305">
      <c r="U305" s="114"/>
    </row>
    <row r="306">
      <c r="U306" s="114"/>
    </row>
    <row r="307">
      <c r="U307" s="114"/>
    </row>
    <row r="308">
      <c r="U308" s="114"/>
    </row>
    <row r="309">
      <c r="U309" s="114"/>
    </row>
    <row r="310">
      <c r="U310" s="114"/>
    </row>
    <row r="311">
      <c r="U311" s="114"/>
    </row>
    <row r="312">
      <c r="U312" s="114"/>
    </row>
    <row r="313">
      <c r="U313" s="114"/>
    </row>
    <row r="314">
      <c r="U314" s="114"/>
    </row>
    <row r="315">
      <c r="U315" s="114"/>
    </row>
    <row r="316">
      <c r="U316" s="114"/>
    </row>
    <row r="317">
      <c r="U317" s="114"/>
    </row>
    <row r="318">
      <c r="U318" s="114"/>
    </row>
    <row r="319">
      <c r="U319" s="114"/>
    </row>
    <row r="320">
      <c r="U320" s="114"/>
    </row>
    <row r="321">
      <c r="U321" s="114"/>
    </row>
    <row r="322">
      <c r="U322" s="114"/>
    </row>
    <row r="323">
      <c r="U323" s="114"/>
    </row>
    <row r="324">
      <c r="U324" s="114"/>
    </row>
    <row r="325">
      <c r="U325" s="114"/>
    </row>
    <row r="326">
      <c r="U326" s="114"/>
    </row>
    <row r="327">
      <c r="U327" s="114"/>
    </row>
    <row r="328">
      <c r="U328" s="114"/>
    </row>
    <row r="329">
      <c r="U329" s="114"/>
    </row>
    <row r="330">
      <c r="U330" s="114"/>
    </row>
    <row r="331">
      <c r="U331" s="114"/>
    </row>
    <row r="332">
      <c r="U332" s="114"/>
    </row>
    <row r="333">
      <c r="U333" s="114"/>
    </row>
    <row r="334">
      <c r="U334" s="114"/>
    </row>
    <row r="335">
      <c r="U335" s="114"/>
    </row>
    <row r="336">
      <c r="U336" s="114"/>
    </row>
    <row r="337">
      <c r="U337" s="114"/>
    </row>
    <row r="338">
      <c r="U338" s="114"/>
    </row>
    <row r="339">
      <c r="U339" s="114"/>
    </row>
    <row r="340">
      <c r="U340" s="114"/>
    </row>
    <row r="341">
      <c r="U341" s="114"/>
    </row>
    <row r="342">
      <c r="U342" s="114"/>
    </row>
    <row r="343">
      <c r="U343" s="114"/>
    </row>
    <row r="344">
      <c r="U344" s="114"/>
    </row>
    <row r="345">
      <c r="U345" s="114"/>
    </row>
    <row r="346">
      <c r="U346" s="114"/>
    </row>
    <row r="347">
      <c r="U347" s="114"/>
    </row>
    <row r="348">
      <c r="U348" s="114"/>
    </row>
    <row r="349">
      <c r="U349" s="114"/>
    </row>
    <row r="350">
      <c r="U350" s="114"/>
    </row>
    <row r="351">
      <c r="U351" s="114"/>
    </row>
    <row r="352">
      <c r="U352" s="114"/>
    </row>
    <row r="353">
      <c r="U353" s="114"/>
    </row>
    <row r="354">
      <c r="U354" s="114"/>
    </row>
    <row r="355">
      <c r="U355" s="114"/>
    </row>
    <row r="356">
      <c r="U356" s="114"/>
    </row>
    <row r="357">
      <c r="U357" s="114"/>
    </row>
    <row r="358">
      <c r="U358" s="114"/>
    </row>
    <row r="359">
      <c r="U359" s="114"/>
    </row>
    <row r="360">
      <c r="U360" s="114"/>
    </row>
    <row r="361">
      <c r="U361" s="114"/>
    </row>
    <row r="362">
      <c r="U362" s="114"/>
    </row>
    <row r="363">
      <c r="U363" s="114"/>
    </row>
    <row r="364">
      <c r="U364" s="114"/>
    </row>
    <row r="365">
      <c r="U365" s="114"/>
    </row>
    <row r="366">
      <c r="U366" s="114"/>
    </row>
    <row r="367">
      <c r="U367" s="114"/>
    </row>
    <row r="368">
      <c r="U368" s="114"/>
    </row>
    <row r="369">
      <c r="U369" s="114"/>
    </row>
    <row r="370">
      <c r="U370" s="114"/>
    </row>
    <row r="371">
      <c r="U371" s="114"/>
    </row>
    <row r="372">
      <c r="U372" s="114"/>
    </row>
    <row r="373">
      <c r="U373" s="114"/>
    </row>
    <row r="374">
      <c r="U374" s="114"/>
    </row>
    <row r="375">
      <c r="U375" s="114"/>
    </row>
    <row r="376">
      <c r="U376" s="114"/>
    </row>
    <row r="377">
      <c r="U377" s="114"/>
    </row>
    <row r="378">
      <c r="U378" s="114"/>
    </row>
    <row r="379">
      <c r="U379" s="114"/>
    </row>
    <row r="380">
      <c r="U380" s="114"/>
    </row>
    <row r="381">
      <c r="U381" s="114"/>
    </row>
    <row r="382">
      <c r="U382" s="114"/>
    </row>
    <row r="383">
      <c r="U383" s="114"/>
    </row>
    <row r="384">
      <c r="U384" s="114"/>
    </row>
    <row r="385">
      <c r="U385" s="114"/>
    </row>
    <row r="386">
      <c r="U386" s="114"/>
    </row>
    <row r="387">
      <c r="U387" s="114"/>
    </row>
    <row r="388">
      <c r="U388" s="114"/>
    </row>
    <row r="389">
      <c r="U389" s="114"/>
    </row>
    <row r="390">
      <c r="U390" s="114"/>
    </row>
    <row r="391">
      <c r="U391" s="114"/>
    </row>
    <row r="392">
      <c r="U392" s="114"/>
    </row>
    <row r="393">
      <c r="U393" s="114"/>
    </row>
    <row r="394">
      <c r="U394" s="114"/>
    </row>
    <row r="395">
      <c r="U395" s="114"/>
    </row>
    <row r="396">
      <c r="U396" s="114"/>
    </row>
    <row r="397">
      <c r="U397" s="114"/>
    </row>
    <row r="398">
      <c r="U398" s="114"/>
    </row>
    <row r="399">
      <c r="U399" s="114"/>
    </row>
    <row r="400">
      <c r="U400" s="114"/>
    </row>
    <row r="401">
      <c r="U401" s="114"/>
    </row>
    <row r="402">
      <c r="U402" s="114"/>
    </row>
    <row r="403">
      <c r="U403" s="114"/>
    </row>
    <row r="404">
      <c r="U404" s="114"/>
    </row>
    <row r="405">
      <c r="U405" s="114"/>
    </row>
    <row r="406">
      <c r="U406" s="114"/>
    </row>
    <row r="407">
      <c r="U407" s="114"/>
    </row>
    <row r="408">
      <c r="U408" s="114"/>
    </row>
    <row r="409">
      <c r="U409" s="114"/>
    </row>
    <row r="410">
      <c r="U410" s="114"/>
    </row>
    <row r="411">
      <c r="U411" s="114"/>
    </row>
    <row r="412">
      <c r="U412" s="114"/>
    </row>
    <row r="413">
      <c r="U413" s="114"/>
    </row>
    <row r="414">
      <c r="U414" s="114"/>
    </row>
    <row r="415">
      <c r="U415" s="114"/>
    </row>
    <row r="416">
      <c r="U416" s="114"/>
    </row>
    <row r="417">
      <c r="U417" s="114"/>
    </row>
    <row r="418">
      <c r="U418" s="114"/>
    </row>
    <row r="419">
      <c r="U419" s="114"/>
    </row>
    <row r="420">
      <c r="U420" s="114"/>
    </row>
    <row r="421">
      <c r="U421" s="114"/>
    </row>
    <row r="422">
      <c r="U422" s="114"/>
    </row>
    <row r="423">
      <c r="U423" s="114"/>
    </row>
    <row r="424">
      <c r="U424" s="114"/>
    </row>
    <row r="425">
      <c r="U425" s="114"/>
    </row>
    <row r="426">
      <c r="U426" s="114"/>
    </row>
    <row r="427">
      <c r="U427" s="114"/>
    </row>
    <row r="428">
      <c r="U428" s="114"/>
    </row>
    <row r="429">
      <c r="U429" s="114"/>
    </row>
    <row r="430">
      <c r="U430" s="114"/>
    </row>
    <row r="431">
      <c r="U431" s="114"/>
    </row>
    <row r="432">
      <c r="U432" s="114"/>
    </row>
    <row r="433">
      <c r="U433" s="114"/>
    </row>
    <row r="434">
      <c r="U434" s="114"/>
    </row>
    <row r="435">
      <c r="U435" s="114"/>
    </row>
    <row r="436">
      <c r="U436" s="114"/>
    </row>
    <row r="437">
      <c r="U437" s="114"/>
    </row>
    <row r="438">
      <c r="U438" s="114"/>
    </row>
    <row r="439">
      <c r="U439" s="114"/>
    </row>
    <row r="440">
      <c r="U440" s="114"/>
    </row>
    <row r="441">
      <c r="U441" s="114"/>
    </row>
    <row r="442">
      <c r="U442" s="114"/>
    </row>
    <row r="443">
      <c r="U443" s="114"/>
    </row>
    <row r="444">
      <c r="U444" s="114"/>
    </row>
    <row r="445">
      <c r="U445" s="114"/>
    </row>
    <row r="446">
      <c r="U446" s="114"/>
    </row>
    <row r="447">
      <c r="U447" s="114"/>
    </row>
    <row r="448">
      <c r="U448" s="114"/>
    </row>
    <row r="449">
      <c r="U449" s="114"/>
    </row>
    <row r="450">
      <c r="U450" s="114"/>
    </row>
    <row r="451">
      <c r="U451" s="114"/>
    </row>
    <row r="452">
      <c r="U452" s="114"/>
    </row>
    <row r="453">
      <c r="U453" s="114"/>
    </row>
    <row r="454">
      <c r="U454" s="114"/>
    </row>
    <row r="455">
      <c r="U455" s="114"/>
    </row>
    <row r="456">
      <c r="U456" s="114"/>
    </row>
    <row r="457">
      <c r="U457" s="114"/>
    </row>
    <row r="458">
      <c r="U458" s="114"/>
    </row>
    <row r="459">
      <c r="U459" s="114"/>
    </row>
    <row r="460">
      <c r="U460" s="114"/>
    </row>
    <row r="461">
      <c r="U461" s="114"/>
    </row>
    <row r="462">
      <c r="U462" s="114"/>
    </row>
    <row r="463">
      <c r="U463" s="114"/>
    </row>
    <row r="464">
      <c r="U464" s="114"/>
    </row>
    <row r="465">
      <c r="U465" s="114"/>
    </row>
    <row r="466">
      <c r="U466" s="114"/>
    </row>
    <row r="467">
      <c r="U467" s="114"/>
    </row>
    <row r="468">
      <c r="U468" s="114"/>
    </row>
    <row r="469">
      <c r="U469" s="114"/>
    </row>
    <row r="470">
      <c r="U470" s="114"/>
    </row>
    <row r="471">
      <c r="U471" s="114"/>
    </row>
    <row r="472">
      <c r="U472" s="114"/>
    </row>
    <row r="473">
      <c r="U473" s="114"/>
    </row>
    <row r="474">
      <c r="U474" s="114"/>
    </row>
    <row r="475">
      <c r="U475" s="114"/>
    </row>
    <row r="476">
      <c r="U476" s="114"/>
    </row>
    <row r="477">
      <c r="U477" s="114"/>
    </row>
    <row r="478">
      <c r="U478" s="114"/>
    </row>
    <row r="479">
      <c r="U479" s="114"/>
    </row>
    <row r="480">
      <c r="U480" s="114"/>
    </row>
    <row r="481">
      <c r="U481" s="114"/>
    </row>
    <row r="482">
      <c r="U482" s="114"/>
    </row>
    <row r="483">
      <c r="U483" s="114"/>
    </row>
    <row r="484">
      <c r="U484" s="114"/>
    </row>
    <row r="485">
      <c r="U485" s="114"/>
    </row>
    <row r="486">
      <c r="U486" s="114"/>
    </row>
    <row r="487">
      <c r="U487" s="114"/>
    </row>
    <row r="488">
      <c r="U488" s="114"/>
    </row>
    <row r="489">
      <c r="U489" s="114"/>
    </row>
    <row r="490">
      <c r="U490" s="114"/>
    </row>
    <row r="491">
      <c r="U491" s="114"/>
    </row>
    <row r="492">
      <c r="U492" s="114"/>
    </row>
    <row r="493">
      <c r="U493" s="114"/>
    </row>
    <row r="494">
      <c r="U494" s="114"/>
    </row>
    <row r="495">
      <c r="U495" s="114"/>
    </row>
    <row r="496">
      <c r="U496" s="114"/>
    </row>
    <row r="497">
      <c r="U497" s="114"/>
    </row>
    <row r="498">
      <c r="U498" s="114"/>
    </row>
    <row r="499">
      <c r="U499" s="114"/>
    </row>
    <row r="500">
      <c r="U500" s="114"/>
    </row>
    <row r="501">
      <c r="U501" s="114"/>
    </row>
    <row r="502">
      <c r="U502" s="114"/>
    </row>
    <row r="503">
      <c r="U503" s="114"/>
    </row>
    <row r="504">
      <c r="U504" s="114"/>
    </row>
    <row r="505">
      <c r="U505" s="114"/>
    </row>
    <row r="506">
      <c r="U506" s="114"/>
    </row>
    <row r="507">
      <c r="U507" s="114"/>
    </row>
    <row r="508">
      <c r="U508" s="114"/>
    </row>
    <row r="509">
      <c r="U509" s="114"/>
    </row>
    <row r="510">
      <c r="U510" s="114"/>
    </row>
    <row r="511">
      <c r="U511" s="114"/>
    </row>
    <row r="512">
      <c r="U512" s="114"/>
    </row>
    <row r="513">
      <c r="U513" s="114"/>
    </row>
    <row r="514">
      <c r="U514" s="114"/>
    </row>
    <row r="515">
      <c r="U515" s="114"/>
    </row>
    <row r="516">
      <c r="U516" s="114"/>
    </row>
    <row r="517">
      <c r="U517" s="114"/>
    </row>
    <row r="518">
      <c r="U518" s="114"/>
    </row>
    <row r="519">
      <c r="U519" s="114"/>
    </row>
    <row r="520">
      <c r="U520" s="114"/>
    </row>
    <row r="521">
      <c r="U521" s="114"/>
    </row>
    <row r="522">
      <c r="U522" s="114"/>
    </row>
    <row r="523">
      <c r="U523" s="114"/>
    </row>
    <row r="524">
      <c r="U524" s="114"/>
    </row>
    <row r="525">
      <c r="U525" s="114"/>
    </row>
    <row r="526">
      <c r="U526" s="114"/>
    </row>
    <row r="527">
      <c r="U527" s="114"/>
    </row>
    <row r="528">
      <c r="U528" s="114"/>
    </row>
    <row r="529">
      <c r="U529" s="114"/>
    </row>
    <row r="530">
      <c r="U530" s="114"/>
    </row>
    <row r="531">
      <c r="U531" s="114"/>
    </row>
    <row r="532">
      <c r="U532" s="114"/>
    </row>
    <row r="533">
      <c r="U533" s="114"/>
    </row>
    <row r="534">
      <c r="U534" s="114"/>
    </row>
    <row r="535">
      <c r="U535" s="114"/>
    </row>
    <row r="536">
      <c r="U536" s="114"/>
    </row>
    <row r="537">
      <c r="U537" s="114"/>
    </row>
    <row r="538">
      <c r="U538" s="114"/>
    </row>
    <row r="539">
      <c r="U539" s="114"/>
    </row>
    <row r="540">
      <c r="U540" s="114"/>
    </row>
    <row r="541">
      <c r="U541" s="114"/>
    </row>
    <row r="542">
      <c r="U542" s="114"/>
    </row>
    <row r="543">
      <c r="U543" s="114"/>
    </row>
    <row r="544">
      <c r="U544" s="114"/>
    </row>
    <row r="545">
      <c r="U545" s="114"/>
    </row>
    <row r="546">
      <c r="U546" s="114"/>
    </row>
    <row r="547">
      <c r="U547" s="114"/>
    </row>
    <row r="548">
      <c r="U548" s="114"/>
    </row>
    <row r="549">
      <c r="U549" s="114"/>
    </row>
    <row r="550">
      <c r="U550" s="114"/>
    </row>
    <row r="551">
      <c r="U551" s="114"/>
    </row>
    <row r="552">
      <c r="U552" s="114"/>
    </row>
    <row r="553">
      <c r="U553" s="114"/>
    </row>
    <row r="554">
      <c r="U554" s="114"/>
    </row>
    <row r="555">
      <c r="U555" s="114"/>
    </row>
    <row r="556">
      <c r="U556" s="114"/>
    </row>
    <row r="557">
      <c r="U557" s="114"/>
    </row>
    <row r="558">
      <c r="U558" s="114"/>
    </row>
    <row r="559">
      <c r="U559" s="114"/>
    </row>
    <row r="560">
      <c r="U560" s="114"/>
    </row>
    <row r="561">
      <c r="U561" s="114"/>
    </row>
    <row r="562">
      <c r="U562" s="114"/>
    </row>
    <row r="563">
      <c r="U563" s="114"/>
    </row>
    <row r="564">
      <c r="U564" s="114"/>
    </row>
    <row r="565">
      <c r="U565" s="114"/>
    </row>
    <row r="566">
      <c r="U566" s="114"/>
    </row>
    <row r="567">
      <c r="U567" s="114"/>
    </row>
    <row r="568">
      <c r="U568" s="114"/>
    </row>
    <row r="569">
      <c r="U569" s="114"/>
    </row>
    <row r="570">
      <c r="U570" s="114"/>
    </row>
    <row r="571">
      <c r="U571" s="114"/>
    </row>
    <row r="572">
      <c r="U572" s="114"/>
    </row>
    <row r="573">
      <c r="U573" s="114"/>
    </row>
    <row r="574">
      <c r="U574" s="114"/>
    </row>
    <row r="575">
      <c r="U575" s="114"/>
    </row>
    <row r="576">
      <c r="U576" s="114"/>
    </row>
    <row r="577">
      <c r="U577" s="114"/>
    </row>
    <row r="578">
      <c r="U578" s="114"/>
    </row>
    <row r="579">
      <c r="U579" s="114"/>
    </row>
    <row r="580">
      <c r="U580" s="114"/>
    </row>
    <row r="581">
      <c r="U581" s="114"/>
    </row>
    <row r="582">
      <c r="U582" s="114"/>
    </row>
    <row r="583">
      <c r="U583" s="114"/>
    </row>
    <row r="584">
      <c r="U584" s="114"/>
    </row>
    <row r="585">
      <c r="U585" s="114"/>
    </row>
    <row r="586">
      <c r="U586" s="114"/>
    </row>
    <row r="587">
      <c r="U587" s="114"/>
    </row>
    <row r="588">
      <c r="U588" s="114"/>
    </row>
    <row r="589">
      <c r="U589" s="114"/>
    </row>
    <row r="590">
      <c r="U590" s="114"/>
    </row>
    <row r="591">
      <c r="U591" s="114"/>
    </row>
    <row r="592">
      <c r="U592" s="114"/>
    </row>
    <row r="593">
      <c r="U593" s="114"/>
    </row>
    <row r="594">
      <c r="U594" s="114"/>
    </row>
    <row r="595">
      <c r="U595" s="114"/>
    </row>
    <row r="596">
      <c r="U596" s="114"/>
    </row>
    <row r="597">
      <c r="U597" s="114"/>
    </row>
    <row r="598">
      <c r="U598" s="114"/>
    </row>
    <row r="599">
      <c r="U599" s="114"/>
    </row>
    <row r="600">
      <c r="U600" s="114"/>
    </row>
    <row r="601">
      <c r="U601" s="114"/>
    </row>
    <row r="602">
      <c r="U602" s="114"/>
    </row>
    <row r="603">
      <c r="U603" s="114"/>
    </row>
    <row r="604">
      <c r="U604" s="114"/>
    </row>
    <row r="605">
      <c r="U605" s="114"/>
    </row>
    <row r="606">
      <c r="U606" s="114"/>
    </row>
    <row r="607">
      <c r="U607" s="114"/>
    </row>
    <row r="608">
      <c r="U608" s="114"/>
    </row>
    <row r="609">
      <c r="U609" s="114"/>
    </row>
    <row r="610">
      <c r="U610" s="114"/>
    </row>
    <row r="611">
      <c r="U611" s="114"/>
    </row>
    <row r="612">
      <c r="U612" s="114"/>
    </row>
    <row r="613">
      <c r="U613" s="114"/>
    </row>
    <row r="614">
      <c r="U614" s="114"/>
    </row>
    <row r="615">
      <c r="U615" s="114"/>
    </row>
    <row r="616">
      <c r="U616" s="114"/>
    </row>
    <row r="617">
      <c r="U617" s="114"/>
    </row>
    <row r="618">
      <c r="U618" s="114"/>
    </row>
    <row r="619">
      <c r="U619" s="114"/>
    </row>
    <row r="620">
      <c r="U620" s="114"/>
    </row>
    <row r="621">
      <c r="U621" s="114"/>
    </row>
    <row r="622">
      <c r="U622" s="114"/>
    </row>
    <row r="623">
      <c r="U623" s="114"/>
    </row>
    <row r="624">
      <c r="U624" s="114"/>
    </row>
    <row r="625">
      <c r="U625" s="114"/>
    </row>
    <row r="626">
      <c r="U626" s="114"/>
    </row>
    <row r="627">
      <c r="U627" s="114"/>
    </row>
    <row r="628">
      <c r="U628" s="114"/>
    </row>
    <row r="629">
      <c r="U629" s="114"/>
    </row>
    <row r="630">
      <c r="U630" s="114"/>
    </row>
    <row r="631">
      <c r="U631" s="114"/>
    </row>
    <row r="632">
      <c r="U632" s="114"/>
    </row>
    <row r="633">
      <c r="U633" s="114"/>
    </row>
    <row r="634">
      <c r="U634" s="114"/>
    </row>
    <row r="635">
      <c r="U635" s="114"/>
    </row>
    <row r="636">
      <c r="U636" s="114"/>
    </row>
    <row r="637">
      <c r="U637" s="114"/>
    </row>
    <row r="638">
      <c r="U638" s="114"/>
    </row>
    <row r="639">
      <c r="U639" s="114"/>
    </row>
    <row r="640">
      <c r="U640" s="114"/>
    </row>
    <row r="641">
      <c r="U641" s="114"/>
    </row>
    <row r="642">
      <c r="U642" s="114"/>
    </row>
    <row r="643">
      <c r="U643" s="114"/>
    </row>
    <row r="644">
      <c r="U644" s="114"/>
    </row>
    <row r="645">
      <c r="U645" s="114"/>
    </row>
    <row r="646">
      <c r="U646" s="114"/>
    </row>
    <row r="647">
      <c r="U647" s="114"/>
    </row>
    <row r="648">
      <c r="U648" s="114"/>
    </row>
    <row r="649">
      <c r="U649" s="114"/>
    </row>
    <row r="650">
      <c r="U650" s="114"/>
    </row>
    <row r="651">
      <c r="U651" s="114"/>
    </row>
    <row r="652">
      <c r="U652" s="114"/>
    </row>
    <row r="653">
      <c r="U653" s="114"/>
    </row>
    <row r="654">
      <c r="U654" s="114"/>
    </row>
    <row r="655">
      <c r="U655" s="114"/>
    </row>
    <row r="656">
      <c r="U656" s="114"/>
    </row>
    <row r="657">
      <c r="U657" s="114"/>
    </row>
    <row r="658">
      <c r="U658" s="114"/>
    </row>
    <row r="659">
      <c r="U659" s="114"/>
    </row>
    <row r="660">
      <c r="U660" s="114"/>
    </row>
    <row r="661">
      <c r="U661" s="114"/>
    </row>
    <row r="662">
      <c r="U662" s="114"/>
    </row>
    <row r="663">
      <c r="U663" s="114"/>
    </row>
    <row r="664">
      <c r="U664" s="114"/>
    </row>
    <row r="665">
      <c r="U665" s="114"/>
    </row>
    <row r="666">
      <c r="U666" s="114"/>
    </row>
    <row r="667">
      <c r="U667" s="114"/>
    </row>
    <row r="668">
      <c r="U668" s="114"/>
    </row>
    <row r="669">
      <c r="U669" s="114"/>
    </row>
    <row r="670">
      <c r="U670" s="114"/>
    </row>
    <row r="671">
      <c r="U671" s="114"/>
    </row>
    <row r="672">
      <c r="U672" s="114"/>
    </row>
    <row r="673">
      <c r="U673" s="114"/>
    </row>
    <row r="674">
      <c r="U674" s="114"/>
    </row>
    <row r="675">
      <c r="U675" s="114"/>
    </row>
    <row r="676">
      <c r="U676" s="114"/>
    </row>
    <row r="677">
      <c r="U677" s="114"/>
    </row>
    <row r="678">
      <c r="U678" s="114"/>
    </row>
    <row r="679">
      <c r="U679" s="114"/>
    </row>
    <row r="680">
      <c r="U680" s="114"/>
    </row>
    <row r="681">
      <c r="U681" s="114"/>
    </row>
    <row r="682">
      <c r="U682" s="114"/>
    </row>
    <row r="683">
      <c r="U683" s="114"/>
    </row>
    <row r="684">
      <c r="U684" s="114"/>
    </row>
    <row r="685">
      <c r="U685" s="114"/>
    </row>
    <row r="686">
      <c r="U686" s="114"/>
    </row>
    <row r="687">
      <c r="U687" s="114"/>
    </row>
    <row r="688">
      <c r="U688" s="114"/>
    </row>
    <row r="689">
      <c r="U689" s="114"/>
    </row>
    <row r="690">
      <c r="U690" s="114"/>
    </row>
    <row r="691">
      <c r="U691" s="114"/>
    </row>
    <row r="692">
      <c r="U692" s="114"/>
    </row>
    <row r="693">
      <c r="U693" s="114"/>
    </row>
    <row r="694">
      <c r="U694" s="114"/>
    </row>
    <row r="695">
      <c r="U695" s="114"/>
    </row>
    <row r="696">
      <c r="U696" s="114"/>
    </row>
    <row r="697">
      <c r="U697" s="114"/>
    </row>
    <row r="698">
      <c r="U698" s="114"/>
    </row>
    <row r="699">
      <c r="U699" s="114"/>
    </row>
    <row r="700">
      <c r="U700" s="114"/>
    </row>
    <row r="701">
      <c r="U701" s="114"/>
    </row>
    <row r="702">
      <c r="U702" s="114"/>
    </row>
    <row r="703">
      <c r="U703" s="114"/>
    </row>
    <row r="704">
      <c r="U704" s="114"/>
    </row>
    <row r="705">
      <c r="U705" s="114"/>
    </row>
    <row r="706">
      <c r="U706" s="114"/>
    </row>
    <row r="707">
      <c r="U707" s="114"/>
    </row>
    <row r="708">
      <c r="U708" s="114"/>
    </row>
    <row r="709">
      <c r="U709" s="114"/>
    </row>
    <row r="710">
      <c r="U710" s="114"/>
    </row>
    <row r="711">
      <c r="U711" s="114"/>
    </row>
    <row r="712">
      <c r="U712" s="114"/>
    </row>
    <row r="713">
      <c r="U713" s="114"/>
    </row>
    <row r="714">
      <c r="U714" s="114"/>
    </row>
    <row r="715">
      <c r="U715" s="114"/>
    </row>
    <row r="716">
      <c r="U716" s="114"/>
    </row>
    <row r="717">
      <c r="U717" s="114"/>
    </row>
    <row r="718">
      <c r="U718" s="114"/>
    </row>
    <row r="719">
      <c r="U719" s="114"/>
    </row>
    <row r="720">
      <c r="U720" s="114"/>
    </row>
    <row r="721">
      <c r="U721" s="114"/>
    </row>
    <row r="722">
      <c r="U722" s="114"/>
    </row>
    <row r="723">
      <c r="U723" s="114"/>
    </row>
    <row r="724">
      <c r="U724" s="114"/>
    </row>
    <row r="725">
      <c r="U725" s="114"/>
    </row>
    <row r="726">
      <c r="U726" s="114"/>
    </row>
    <row r="727">
      <c r="U727" s="114"/>
    </row>
    <row r="728">
      <c r="U728" s="114"/>
    </row>
    <row r="729">
      <c r="U729" s="114"/>
    </row>
    <row r="730">
      <c r="U730" s="114"/>
    </row>
    <row r="731">
      <c r="U731" s="114"/>
    </row>
    <row r="732">
      <c r="U732" s="114"/>
    </row>
    <row r="733">
      <c r="U733" s="114"/>
    </row>
    <row r="734">
      <c r="U734" s="114"/>
    </row>
    <row r="735">
      <c r="U735" s="114"/>
    </row>
    <row r="736">
      <c r="U736" s="114"/>
    </row>
    <row r="737">
      <c r="U737" s="114"/>
    </row>
    <row r="738">
      <c r="U738" s="114"/>
    </row>
    <row r="739">
      <c r="U739" s="114"/>
    </row>
    <row r="740">
      <c r="U740" s="114"/>
    </row>
    <row r="741">
      <c r="U741" s="114"/>
    </row>
    <row r="742">
      <c r="U742" s="114"/>
    </row>
    <row r="743">
      <c r="U743" s="114"/>
    </row>
    <row r="744">
      <c r="U744" s="114"/>
    </row>
    <row r="745">
      <c r="U745" s="114"/>
    </row>
    <row r="746">
      <c r="U746" s="114"/>
    </row>
    <row r="747">
      <c r="U747" s="114"/>
    </row>
    <row r="748">
      <c r="U748" s="114"/>
    </row>
    <row r="749">
      <c r="U749" s="114"/>
    </row>
    <row r="750">
      <c r="U750" s="114"/>
    </row>
    <row r="751">
      <c r="U751" s="114"/>
    </row>
    <row r="752">
      <c r="U752" s="114"/>
    </row>
    <row r="753">
      <c r="U753" s="114"/>
    </row>
    <row r="754">
      <c r="U754" s="114"/>
    </row>
    <row r="755">
      <c r="U755" s="114"/>
    </row>
    <row r="756">
      <c r="U756" s="114"/>
    </row>
    <row r="757">
      <c r="U757" s="114"/>
    </row>
    <row r="758">
      <c r="U758" s="114"/>
    </row>
    <row r="759">
      <c r="U759" s="114"/>
    </row>
    <row r="760">
      <c r="U760" s="114"/>
    </row>
    <row r="761">
      <c r="U761" s="114"/>
    </row>
    <row r="762">
      <c r="U762" s="114"/>
    </row>
    <row r="763">
      <c r="U763" s="114"/>
    </row>
    <row r="764">
      <c r="U764" s="114"/>
    </row>
    <row r="765">
      <c r="U765" s="114"/>
    </row>
    <row r="766">
      <c r="U766" s="114"/>
    </row>
    <row r="767">
      <c r="U767" s="114"/>
    </row>
    <row r="768">
      <c r="U768" s="114"/>
    </row>
    <row r="769">
      <c r="U769" s="114"/>
    </row>
    <row r="770">
      <c r="U770" s="114"/>
    </row>
    <row r="771">
      <c r="U771" s="114"/>
    </row>
    <row r="772">
      <c r="U772" s="114"/>
    </row>
    <row r="773">
      <c r="U773" s="114"/>
    </row>
    <row r="774">
      <c r="U774" s="114"/>
    </row>
    <row r="775">
      <c r="U775" s="114"/>
    </row>
    <row r="776">
      <c r="U776" s="114"/>
    </row>
    <row r="777">
      <c r="U777" s="114"/>
    </row>
    <row r="778">
      <c r="U778" s="114"/>
    </row>
    <row r="779">
      <c r="U779" s="114"/>
    </row>
    <row r="780">
      <c r="U780" s="114"/>
    </row>
    <row r="781">
      <c r="U781" s="114"/>
    </row>
    <row r="782">
      <c r="U782" s="114"/>
    </row>
    <row r="783">
      <c r="U783" s="114"/>
    </row>
    <row r="784">
      <c r="U784" s="114"/>
    </row>
    <row r="785">
      <c r="U785" s="114"/>
    </row>
    <row r="786">
      <c r="U786" s="114"/>
    </row>
    <row r="787">
      <c r="U787" s="114"/>
    </row>
    <row r="788">
      <c r="U788" s="114"/>
    </row>
    <row r="789">
      <c r="U789" s="114"/>
    </row>
    <row r="790">
      <c r="U790" s="114"/>
    </row>
    <row r="791">
      <c r="U791" s="114"/>
    </row>
    <row r="792">
      <c r="U792" s="114"/>
    </row>
    <row r="793">
      <c r="U793" s="114"/>
    </row>
    <row r="794">
      <c r="U794" s="114"/>
    </row>
    <row r="795">
      <c r="U795" s="114"/>
    </row>
    <row r="796">
      <c r="U796" s="114"/>
    </row>
    <row r="797">
      <c r="U797" s="114"/>
    </row>
    <row r="798">
      <c r="U798" s="114"/>
    </row>
    <row r="799">
      <c r="U799" s="114"/>
    </row>
    <row r="800">
      <c r="U800" s="114"/>
    </row>
    <row r="801">
      <c r="U801" s="114"/>
    </row>
    <row r="802">
      <c r="U802" s="114"/>
    </row>
    <row r="803">
      <c r="U803" s="114"/>
    </row>
    <row r="804">
      <c r="U804" s="114"/>
    </row>
    <row r="805">
      <c r="U805" s="114"/>
    </row>
    <row r="806">
      <c r="U806" s="114"/>
    </row>
    <row r="807">
      <c r="U807" s="114"/>
    </row>
    <row r="808">
      <c r="U808" s="114"/>
    </row>
    <row r="809">
      <c r="U809" s="114"/>
    </row>
    <row r="810">
      <c r="U810" s="114"/>
    </row>
    <row r="811">
      <c r="U811" s="114"/>
    </row>
    <row r="812">
      <c r="U812" s="114"/>
    </row>
    <row r="813">
      <c r="U813" s="114"/>
    </row>
    <row r="814">
      <c r="U814" s="114"/>
    </row>
    <row r="815">
      <c r="U815" s="114"/>
    </row>
    <row r="816">
      <c r="U816" s="114"/>
    </row>
    <row r="817">
      <c r="U817" s="114"/>
    </row>
    <row r="818">
      <c r="U818" s="114"/>
    </row>
    <row r="819">
      <c r="U819" s="114"/>
    </row>
    <row r="820">
      <c r="U820" s="114"/>
    </row>
    <row r="821">
      <c r="U821" s="114"/>
    </row>
    <row r="822">
      <c r="U822" s="114"/>
    </row>
    <row r="823">
      <c r="U823" s="114"/>
    </row>
    <row r="824">
      <c r="U824" s="114"/>
    </row>
    <row r="825">
      <c r="U825" s="114"/>
    </row>
    <row r="826">
      <c r="U826" s="114"/>
    </row>
    <row r="827">
      <c r="U827" s="114"/>
    </row>
    <row r="828">
      <c r="U828" s="114"/>
    </row>
    <row r="829">
      <c r="U829" s="114"/>
    </row>
    <row r="830">
      <c r="U830" s="114"/>
    </row>
    <row r="831">
      <c r="U831" s="114"/>
    </row>
    <row r="832">
      <c r="U832" s="114"/>
    </row>
    <row r="833">
      <c r="U833" s="114"/>
    </row>
    <row r="834">
      <c r="U834" s="114"/>
    </row>
    <row r="835">
      <c r="U835" s="114"/>
    </row>
    <row r="836">
      <c r="U836" s="114"/>
    </row>
    <row r="837">
      <c r="U837" s="114"/>
    </row>
    <row r="838">
      <c r="U838" s="114"/>
    </row>
    <row r="839">
      <c r="U839" s="114"/>
    </row>
    <row r="840">
      <c r="U840" s="114"/>
    </row>
    <row r="841">
      <c r="U841" s="114"/>
    </row>
    <row r="842">
      <c r="U842" s="114"/>
    </row>
    <row r="843">
      <c r="U843" s="114"/>
    </row>
    <row r="844">
      <c r="U844" s="114"/>
    </row>
    <row r="845">
      <c r="U845" s="114"/>
    </row>
    <row r="846">
      <c r="U846" s="114"/>
    </row>
    <row r="847">
      <c r="U847" s="114"/>
    </row>
    <row r="848">
      <c r="U848" s="114"/>
    </row>
    <row r="849">
      <c r="U849" s="114"/>
    </row>
    <row r="850">
      <c r="U850" s="114"/>
    </row>
    <row r="851">
      <c r="U851" s="114"/>
    </row>
    <row r="852">
      <c r="U852" s="114"/>
    </row>
    <row r="853">
      <c r="U853" s="114"/>
    </row>
    <row r="854">
      <c r="U854" s="114"/>
    </row>
    <row r="855">
      <c r="U855" s="114"/>
    </row>
    <row r="856">
      <c r="U856" s="114"/>
    </row>
    <row r="857">
      <c r="U857" s="114"/>
    </row>
    <row r="858">
      <c r="U858" s="114"/>
    </row>
    <row r="859">
      <c r="U859" s="114"/>
    </row>
    <row r="860">
      <c r="U860" s="114"/>
    </row>
    <row r="861">
      <c r="U861" s="114"/>
    </row>
    <row r="862">
      <c r="U862" s="114"/>
    </row>
    <row r="863">
      <c r="U863" s="114"/>
    </row>
    <row r="864">
      <c r="U864" s="114"/>
    </row>
    <row r="865">
      <c r="U865" s="114"/>
    </row>
    <row r="866">
      <c r="U866" s="114"/>
    </row>
    <row r="867">
      <c r="U867" s="114"/>
    </row>
    <row r="868">
      <c r="U868" s="114"/>
    </row>
    <row r="869">
      <c r="U869" s="114"/>
    </row>
    <row r="870">
      <c r="U870" s="114"/>
    </row>
    <row r="871">
      <c r="U871" s="114"/>
    </row>
    <row r="872">
      <c r="U872" s="114"/>
    </row>
    <row r="873">
      <c r="U873" s="114"/>
    </row>
    <row r="874">
      <c r="U874" s="114"/>
    </row>
    <row r="875">
      <c r="U875" s="114"/>
    </row>
    <row r="876">
      <c r="U876" s="114"/>
    </row>
    <row r="877">
      <c r="U877" s="114"/>
    </row>
    <row r="878">
      <c r="U878" s="114"/>
    </row>
    <row r="879">
      <c r="U879" s="114"/>
    </row>
    <row r="880">
      <c r="U880" s="114"/>
    </row>
    <row r="881">
      <c r="U881" s="114"/>
    </row>
    <row r="882">
      <c r="U882" s="114"/>
    </row>
    <row r="883">
      <c r="U883" s="114"/>
    </row>
    <row r="884">
      <c r="U884" s="114"/>
    </row>
    <row r="885">
      <c r="U885" s="114"/>
    </row>
    <row r="886">
      <c r="U886" s="114"/>
    </row>
    <row r="887">
      <c r="U887" s="114"/>
    </row>
    <row r="888">
      <c r="U888" s="114"/>
    </row>
    <row r="889">
      <c r="U889" s="114"/>
    </row>
    <row r="890">
      <c r="U890" s="114"/>
    </row>
    <row r="891">
      <c r="U891" s="114"/>
    </row>
    <row r="892">
      <c r="U892" s="114"/>
    </row>
    <row r="893">
      <c r="U893" s="114"/>
    </row>
    <row r="894">
      <c r="U894" s="114"/>
    </row>
    <row r="895">
      <c r="U895" s="114"/>
    </row>
    <row r="896">
      <c r="U896" s="114"/>
    </row>
    <row r="897">
      <c r="U897" s="114"/>
    </row>
    <row r="898">
      <c r="U898" s="114"/>
    </row>
    <row r="899">
      <c r="U899" s="114"/>
    </row>
    <row r="900">
      <c r="U900" s="114"/>
    </row>
    <row r="901">
      <c r="U901" s="114"/>
    </row>
    <row r="902">
      <c r="U902" s="114"/>
    </row>
    <row r="903">
      <c r="U903" s="114"/>
    </row>
    <row r="904">
      <c r="U904" s="114"/>
    </row>
    <row r="905">
      <c r="U905" s="114"/>
    </row>
    <row r="906">
      <c r="U906" s="114"/>
    </row>
    <row r="907">
      <c r="U907" s="114"/>
    </row>
    <row r="908">
      <c r="U908" s="114"/>
    </row>
    <row r="909">
      <c r="U909" s="114"/>
    </row>
    <row r="910">
      <c r="U910" s="114"/>
    </row>
    <row r="911">
      <c r="U911" s="114"/>
    </row>
    <row r="912">
      <c r="U912" s="114"/>
    </row>
    <row r="913">
      <c r="U913" s="114"/>
    </row>
    <row r="914">
      <c r="U914" s="114"/>
    </row>
    <row r="915">
      <c r="U915" s="114"/>
    </row>
    <row r="916">
      <c r="U916" s="114"/>
    </row>
    <row r="917">
      <c r="U917" s="114"/>
    </row>
    <row r="918">
      <c r="U918" s="114"/>
    </row>
    <row r="919">
      <c r="U919" s="114"/>
    </row>
    <row r="920">
      <c r="U920" s="114"/>
    </row>
    <row r="921">
      <c r="U921" s="114"/>
    </row>
    <row r="922">
      <c r="U922" s="114"/>
    </row>
    <row r="923">
      <c r="U923" s="114"/>
    </row>
    <row r="924">
      <c r="U924" s="114"/>
    </row>
    <row r="925">
      <c r="U925" s="114"/>
    </row>
    <row r="926">
      <c r="U926" s="114"/>
    </row>
    <row r="927">
      <c r="U927" s="114"/>
    </row>
    <row r="928">
      <c r="U928" s="114"/>
    </row>
    <row r="929">
      <c r="U929" s="114"/>
    </row>
    <row r="930">
      <c r="U930" s="114"/>
    </row>
    <row r="931">
      <c r="U931" s="114"/>
    </row>
    <row r="932">
      <c r="U932" s="114"/>
    </row>
    <row r="933">
      <c r="U933" s="114"/>
    </row>
    <row r="934">
      <c r="U934" s="114"/>
    </row>
    <row r="935">
      <c r="U935" s="114"/>
    </row>
    <row r="936">
      <c r="U936" s="114"/>
    </row>
    <row r="937">
      <c r="U937" s="114"/>
    </row>
    <row r="938">
      <c r="U938" s="114"/>
    </row>
    <row r="939">
      <c r="U939" s="114"/>
    </row>
    <row r="940">
      <c r="U940" s="114"/>
    </row>
    <row r="941">
      <c r="U941" s="114"/>
    </row>
    <row r="942">
      <c r="U942" s="114"/>
    </row>
    <row r="943">
      <c r="U943" s="114"/>
    </row>
    <row r="944">
      <c r="U944" s="114"/>
    </row>
    <row r="945">
      <c r="U945" s="114"/>
    </row>
    <row r="946">
      <c r="U946" s="114"/>
    </row>
    <row r="947">
      <c r="U947" s="114"/>
    </row>
    <row r="948">
      <c r="U948" s="114"/>
    </row>
    <row r="949">
      <c r="U949" s="114"/>
    </row>
    <row r="950">
      <c r="U950" s="114"/>
    </row>
    <row r="951">
      <c r="U951" s="114"/>
    </row>
    <row r="952">
      <c r="U952" s="114"/>
    </row>
    <row r="953">
      <c r="U953" s="114"/>
    </row>
    <row r="954">
      <c r="U954" s="114"/>
    </row>
    <row r="955">
      <c r="U955" s="114"/>
    </row>
    <row r="956">
      <c r="U956" s="114"/>
    </row>
    <row r="957">
      <c r="U957" s="114"/>
    </row>
    <row r="958">
      <c r="U958" s="114"/>
    </row>
    <row r="959">
      <c r="U959" s="114"/>
    </row>
    <row r="960">
      <c r="U960" s="114"/>
    </row>
    <row r="961">
      <c r="U961" s="114"/>
    </row>
    <row r="962">
      <c r="U962" s="114"/>
    </row>
    <row r="963">
      <c r="U963" s="114"/>
    </row>
    <row r="964">
      <c r="U964" s="114"/>
    </row>
    <row r="965">
      <c r="U965" s="114"/>
    </row>
    <row r="966">
      <c r="U966" s="114"/>
    </row>
    <row r="967">
      <c r="U967" s="114"/>
    </row>
    <row r="968">
      <c r="U968" s="114"/>
    </row>
    <row r="969">
      <c r="U969" s="114"/>
    </row>
    <row r="970">
      <c r="U970" s="114"/>
    </row>
    <row r="971">
      <c r="U971" s="114"/>
    </row>
    <row r="972">
      <c r="U972" s="114"/>
    </row>
    <row r="973">
      <c r="U973" s="114"/>
    </row>
    <row r="974">
      <c r="U974" s="114"/>
    </row>
    <row r="975">
      <c r="U975" s="114"/>
    </row>
    <row r="976">
      <c r="U976" s="114"/>
    </row>
    <row r="977">
      <c r="U977" s="114"/>
    </row>
    <row r="978">
      <c r="U978" s="114"/>
    </row>
    <row r="979">
      <c r="U979" s="114"/>
    </row>
    <row r="980">
      <c r="U980" s="114"/>
    </row>
    <row r="981">
      <c r="U981" s="114"/>
    </row>
    <row r="982">
      <c r="U982" s="114"/>
    </row>
    <row r="983">
      <c r="U983" s="114"/>
    </row>
    <row r="984">
      <c r="U984" s="114"/>
    </row>
    <row r="985">
      <c r="U985" s="114"/>
    </row>
    <row r="986">
      <c r="U986" s="114"/>
    </row>
    <row r="987">
      <c r="U987" s="114"/>
    </row>
    <row r="988">
      <c r="U988" s="114"/>
    </row>
    <row r="989">
      <c r="U989" s="114"/>
    </row>
    <row r="990">
      <c r="U990" s="114"/>
    </row>
    <row r="991">
      <c r="U991" s="114"/>
    </row>
    <row r="992">
      <c r="U992" s="114"/>
    </row>
    <row r="993">
      <c r="U993" s="114"/>
    </row>
    <row r="994">
      <c r="U994" s="114"/>
    </row>
    <row r="995">
      <c r="U995" s="114"/>
    </row>
    <row r="996">
      <c r="U996" s="114"/>
    </row>
    <row r="997">
      <c r="U997" s="114"/>
    </row>
    <row r="998">
      <c r="U998" s="114"/>
    </row>
    <row r="999">
      <c r="U999" s="114"/>
    </row>
    <row r="1000">
      <c r="U1000" s="114"/>
    </row>
    <row r="1001">
      <c r="U1001" s="114"/>
    </row>
    <row r="1002">
      <c r="U1002" s="114"/>
    </row>
    <row r="1003">
      <c r="U1003" s="114"/>
    </row>
    <row r="1004">
      <c r="U1004" s="114"/>
    </row>
    <row r="1005">
      <c r="U1005" s="114"/>
    </row>
    <row r="1006">
      <c r="U1006" s="114"/>
    </row>
    <row r="1007">
      <c r="U1007" s="114"/>
    </row>
    <row r="1008">
      <c r="U1008" s="114"/>
    </row>
    <row r="1009">
      <c r="U1009" s="114"/>
    </row>
    <row r="1010">
      <c r="U1010" s="114"/>
    </row>
    <row r="1011">
      <c r="U1011" s="114"/>
    </row>
    <row r="1012">
      <c r="U1012" s="114"/>
    </row>
    <row r="1013">
      <c r="U1013" s="114"/>
    </row>
    <row r="1014">
      <c r="U1014" s="114"/>
    </row>
    <row r="1015">
      <c r="U1015" s="114"/>
    </row>
    <row r="1016">
      <c r="U1016" s="114"/>
    </row>
    <row r="1017">
      <c r="U1017" s="114"/>
    </row>
    <row r="1018">
      <c r="U1018" s="114"/>
    </row>
    <row r="1019">
      <c r="U1019" s="114"/>
    </row>
    <row r="1020">
      <c r="U1020" s="114"/>
    </row>
    <row r="1021">
      <c r="U1021" s="114"/>
    </row>
    <row r="1022">
      <c r="U1022" s="114"/>
    </row>
    <row r="1023">
      <c r="U1023" s="114"/>
    </row>
    <row r="1024">
      <c r="U1024" s="114"/>
    </row>
    <row r="1025">
      <c r="U1025" s="114"/>
    </row>
    <row r="1026">
      <c r="U1026" s="114"/>
    </row>
    <row r="1027">
      <c r="U1027" s="114"/>
    </row>
    <row r="1028">
      <c r="U1028" s="114"/>
    </row>
    <row r="1029">
      <c r="U1029" s="114"/>
    </row>
    <row r="1030">
      <c r="U1030" s="114"/>
    </row>
    <row r="1031">
      <c r="U1031" s="114"/>
    </row>
    <row r="1032">
      <c r="U1032" s="114"/>
    </row>
    <row r="1033">
      <c r="U1033" s="114"/>
    </row>
    <row r="1034">
      <c r="U1034" s="114"/>
    </row>
    <row r="1035">
      <c r="U1035" s="114"/>
    </row>
    <row r="1036">
      <c r="U1036" s="114"/>
    </row>
    <row r="1037">
      <c r="U1037" s="114"/>
    </row>
    <row r="1038">
      <c r="U1038" s="114"/>
    </row>
    <row r="1039">
      <c r="U1039" s="114"/>
    </row>
    <row r="1040">
      <c r="U1040" s="114"/>
    </row>
    <row r="1041">
      <c r="U1041" s="114"/>
    </row>
    <row r="1042">
      <c r="U1042" s="114"/>
    </row>
    <row r="1043">
      <c r="U1043" s="114"/>
    </row>
    <row r="1044">
      <c r="U1044" s="114"/>
    </row>
    <row r="1045">
      <c r="U1045" s="114"/>
    </row>
    <row r="1046">
      <c r="U1046" s="114"/>
    </row>
    <row r="1047">
      <c r="U1047" s="114"/>
    </row>
    <row r="1048">
      <c r="U1048" s="114"/>
    </row>
    <row r="1049">
      <c r="U1049" s="114"/>
    </row>
    <row r="1050">
      <c r="U1050" s="114"/>
    </row>
    <row r="1051">
      <c r="U1051" s="114"/>
    </row>
    <row r="1052">
      <c r="U1052" s="114"/>
    </row>
    <row r="1053">
      <c r="U1053" s="114"/>
    </row>
    <row r="1054">
      <c r="U1054" s="114"/>
    </row>
    <row r="1055">
      <c r="U1055" s="114"/>
    </row>
    <row r="1056">
      <c r="U1056" s="114"/>
    </row>
    <row r="1057">
      <c r="U1057" s="114"/>
    </row>
    <row r="1058">
      <c r="U1058" s="114"/>
    </row>
    <row r="1059">
      <c r="U1059" s="114"/>
    </row>
    <row r="1060">
      <c r="U1060" s="114"/>
    </row>
    <row r="1061">
      <c r="U1061" s="114"/>
    </row>
    <row r="1062">
      <c r="U1062" s="114"/>
    </row>
    <row r="1063">
      <c r="U1063" s="114"/>
    </row>
    <row r="1064">
      <c r="U1064" s="114"/>
    </row>
    <row r="1065">
      <c r="U1065" s="114"/>
    </row>
    <row r="1066">
      <c r="U1066" s="114"/>
    </row>
    <row r="1067">
      <c r="U1067" s="114"/>
    </row>
    <row r="1068">
      <c r="U1068" s="114"/>
    </row>
    <row r="1069">
      <c r="U1069" s="114"/>
    </row>
    <row r="1070">
      <c r="U1070" s="114"/>
    </row>
    <row r="1071">
      <c r="U1071" s="114"/>
    </row>
    <row r="1072">
      <c r="U1072" s="114"/>
    </row>
    <row r="1073">
      <c r="U1073" s="114"/>
    </row>
    <row r="1074">
      <c r="U1074" s="114"/>
    </row>
    <row r="1075">
      <c r="U1075" s="114"/>
    </row>
    <row r="1076">
      <c r="U1076" s="114"/>
    </row>
    <row r="1077">
      <c r="U1077" s="11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37.38"/>
    <col customWidth="1" min="4" max="4" width="17.38"/>
  </cols>
  <sheetData>
    <row r="2">
      <c r="A2" s="165" t="s">
        <v>173</v>
      </c>
      <c r="B2" s="165" t="s">
        <v>174</v>
      </c>
      <c r="C2" s="165" t="s">
        <v>107</v>
      </c>
      <c r="D2" s="165" t="s">
        <v>175</v>
      </c>
      <c r="E2" s="165" t="s">
        <v>159</v>
      </c>
      <c r="F2" s="165" t="s">
        <v>116</v>
      </c>
      <c r="G2" s="165" t="s">
        <v>117</v>
      </c>
      <c r="H2" s="165" t="s">
        <v>109</v>
      </c>
      <c r="I2" s="165" t="s">
        <v>108</v>
      </c>
      <c r="J2" s="165" t="s">
        <v>123</v>
      </c>
      <c r="K2" s="165" t="s">
        <v>172</v>
      </c>
      <c r="L2" s="165" t="s">
        <v>176</v>
      </c>
      <c r="M2" s="165" t="s">
        <v>112</v>
      </c>
      <c r="N2" s="165" t="s">
        <v>119</v>
      </c>
      <c r="O2" s="165" t="s">
        <v>110</v>
      </c>
      <c r="P2" s="165" t="s">
        <v>111</v>
      </c>
      <c r="Q2" s="165" t="s">
        <v>118</v>
      </c>
      <c r="R2" s="165" t="s">
        <v>120</v>
      </c>
      <c r="S2" s="165" t="s">
        <v>177</v>
      </c>
      <c r="T2" s="165" t="s">
        <v>124</v>
      </c>
      <c r="U2" s="165" t="s">
        <v>178</v>
      </c>
      <c r="V2" s="165" t="s">
        <v>82</v>
      </c>
    </row>
    <row r="3">
      <c r="A3" s="66">
        <v>1.0</v>
      </c>
      <c r="B3" s="166" t="s">
        <v>179</v>
      </c>
    </row>
    <row r="4">
      <c r="B4" s="66" t="s">
        <v>180</v>
      </c>
      <c r="C4" s="167">
        <f>8746+444418</f>
        <v>453164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5.13"/>
  </cols>
  <sheetData>
    <row r="2">
      <c r="B2" s="66" t="s">
        <v>194</v>
      </c>
    </row>
    <row r="3">
      <c r="B3" s="200" t="s">
        <v>195</v>
      </c>
      <c r="C3" s="200" t="s">
        <v>196</v>
      </c>
    </row>
    <row r="4">
      <c r="B4" s="66" t="s">
        <v>197</v>
      </c>
      <c r="C4" s="66" t="s">
        <v>198</v>
      </c>
    </row>
    <row r="5">
      <c r="B5" s="66" t="s">
        <v>199</v>
      </c>
      <c r="C5" s="66" t="s">
        <v>198</v>
      </c>
    </row>
    <row r="6">
      <c r="B6" s="66" t="s">
        <v>200</v>
      </c>
      <c r="C6" s="66" t="s">
        <v>201</v>
      </c>
    </row>
    <row r="7">
      <c r="B7" s="66" t="s">
        <v>202</v>
      </c>
      <c r="C7" s="66" t="s">
        <v>203</v>
      </c>
    </row>
    <row r="8">
      <c r="B8" s="66" t="s">
        <v>204</v>
      </c>
      <c r="C8" s="66" t="s">
        <v>205</v>
      </c>
    </row>
    <row r="9">
      <c r="B9" s="66" t="s">
        <v>206</v>
      </c>
      <c r="C9" s="66" t="s">
        <v>207</v>
      </c>
    </row>
    <row r="10">
      <c r="B10" s="66" t="s">
        <v>25</v>
      </c>
      <c r="C10" s="66" t="s">
        <v>208</v>
      </c>
    </row>
  </sheetData>
  <drawing r:id="rId1"/>
</worksheet>
</file>