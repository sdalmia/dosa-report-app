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2.xml"/>
  <Override ContentType="application/vnd.ms-excel.documenttasks+xml" PartName="/xl/documenttasks/documenttask10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Noida Sec - 18" sheetId="2" r:id="rId6"/>
    <sheet state="visible" name="Noida Sec -143" sheetId="3" r:id="rId7"/>
    <sheet state="visible" name="DLF" sheetId="4" r:id="rId8"/>
    <sheet state="visible" name="Faridabad Sec15" sheetId="5" r:id="rId9"/>
    <sheet state="visible" name="Gurgaon Sec-15" sheetId="6" r:id="rId10"/>
    <sheet state="visible" name="Gurgaon Sec - 10" sheetId="7" r:id="rId11"/>
    <sheet state="visible" name="Paschim Vihar" sheetId="8" r:id="rId12"/>
    <sheet state="visible" name="Kalkaji" sheetId="9" r:id="rId13"/>
    <sheet state="visible" name="CP" sheetId="10" r:id="rId14"/>
    <sheet state="visible" name="Rohini" sheetId="11" r:id="rId15"/>
    <sheet state="visible" name="Model Town" sheetId="12" r:id="rId16"/>
    <sheet state="visible" name="Pacific Mall" sheetId="13" r:id="rId17"/>
    <sheet state="visible" name="Shalimar Bagh" sheetId="14" r:id="rId18"/>
    <sheet state="visible" name="Ads Account" sheetId="15" r:id="rId19"/>
    <sheet state="hidden" name="Misc Expenses" sheetId="16" r:id="rId20"/>
    <sheet state="visible" name="CK" sheetId="17" r:id="rId21"/>
    <sheet state="visible" name="HO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Closing Stock Report</t>
      </text>
    </comment>
    <comment authorId="0" ref="A7">
      <text>
        <t xml:space="preserve">Entry Report -&gt; Wastage</t>
      </text>
    </comment>
    <comment authorId="0" ref="A6">
      <text>
        <t xml:space="preserve">Entry Report -&gt; Transfer To</t>
      </text>
    </comment>
    <comment authorId="0" ref="A5">
      <text>
        <t xml:space="preserve">Entry Report -&gt; Transfer from
Or
Indent Report</t>
      </text>
    </comment>
    <comment authorId="0" ref="A4">
      <text>
        <t xml:space="preserve">Closing Stock Report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tc={1639b73e-d554-4d23-a57e-fffddce1e3a7}</author>
    <author>tc={71beedfc-505f-4941-bb74-07c8fce1a395}</author>
    <author>tc={7c457923-66dc-47db-9299-854a5438fb97}</author>
    <author>tc={8e512e13-9bad-4e63-b18d-f5fd2e726460}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1639b73e-d554-4d23-a57e-fffddce1e3a7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35395 Lift AMC Charges from Oct 25 to Sep 26
</t>
      </text>
    </comment>
    <comment authorId="2" xr:uid="{71beedfc-505f-4941-bb74-07c8fce1a395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4000 DG Charges paid through petty cash
</t>
      </text>
    </comment>
    <comment authorId="3" xr:uid="{7c457923-66dc-47db-9299-854a5438fb97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8500 Jun 25 to Nov 25 for solid waste management
</t>
      </text>
    </comment>
    <comment authorId="4" xr:uid="{8e512e13-9bad-4e63-b18d-f5fd2e726460}" ref="K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6018 from Jan to Apr 26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tc={a65b731e-dda0-4e6d-842a-16c630ab1131}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a65b731e-dda0-4e6d-842a-16c630ab1131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GST RCM applicable @ 18%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tc={a6db36a9-24fc-4cba-8563-fc6d78a06c21}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a6db36a9-24fc-4cba-8563-fc6d78a06c21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2124 3 months Fame Pilot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tc={34260bb4-7eab-4981-8a17-0dcb5efbb50e}</author>
    <author>tc={7bf956a6-ef4e-49f0-a9c4-9ff040a47e19}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34260bb4-7eab-4981-8a17-0dcb5efbb50e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2124 fame pilot for April to June 25
</t>
      </text>
    </comment>
    <comment authorId="2" xr:uid="{7bf956a6-ef4e-49f0-a9c4-9ff040a47e19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Rent includes RCM @ 18% ...As per GST law (Commercial property taken on rent from Unregistered Party then Registered Party Need to pay GST on RCM Basis)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tc={eae0525f-7872-4487-9bd3-c2c863ed0a91}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eae0525f-7872-4487-9bd3-c2c863ed0a91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Rent includes RCM @ 18% ...As per GST law (Commercial property taken on rent from Unregistered Party then Registered Party Need to pay GST on RCM Basis)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tc={2817788f-badb-41c5-a3bc-6b943f29dd3a}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2817788f-badb-41c5-a3bc-6b943f29dd3a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2124 for April to June 25 Fame Pilot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tc={97f27124-11bc-4552-a274-47852f15c1e8}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97f27124-11bc-4552-a274-47852f15c1e8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961892 from Aug 25 to Feb 26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tc={a3d4febe-e77b-4809-9f36-b4723b6778ec}</author>
    <author>tc={a5d6873f-b014-41dc-8684-24d151295713}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a3d4febe-e77b-4809-9f36-b4723b6778ec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Only Sales upto 29/11/2025
</t>
      </text>
    </comment>
    <comment authorId="2" xr:uid="{a5d6873f-b014-41dc-8684-24d151295713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39414 paid in the m/o of jul 25 for Mar and Apr 25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tc={58843063-95eb-4db6-8217-4c707c443aac}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58843063-95eb-4db6-8217-4c707c443aac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11210 paid yearly to Sun Rise (20.6.25 to 19.06.26)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tc={bfc9c345-6241-4623-8e2e-ec7949f65284}</author>
  </authors>
  <commentList>
    <comment authorId="0" xr:uid="{bfc9c345-6241-4623-8e2e-ec7949f65284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34567 is printing of leaf lets from Shreya Ent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tc={030a18df-93de-4519-99c7-2bfb79278005}</author>
    <author>tc={04d4050e-4cce-4500-a0e9-0b859cc19ef4}</author>
    <author>tc={078eac35-ecae-45de-ae06-8c0e44fed1bf}</author>
    <author>tc={08926333-8e83-476c-86a9-f7e180602d47}</author>
    <author>tc={09bb1458-fe6e-43ff-b5de-ba4964b813de}</author>
    <author>tc={0b893fb2-315b-45d5-adc9-3fe3019a6b99}</author>
    <author>tc={0bd6e4c0-a256-48c0-bfbf-d681f0c8de5d}</author>
    <author>tc={10732d5a-faea-4255-a87b-411670fdaa78}</author>
    <author>tc={111d8446-3604-4824-b035-5b1a8a997035}</author>
    <author>tc={173c5643-d521-4270-a061-5048817acbd2}</author>
    <author>tc={179a68a2-08f6-49bf-90df-cbc45a3d3a5b}</author>
    <author>tc={17a475fd-f9c9-4946-a8d0-beb7362297e1}</author>
    <author>tc={1bdc4bb2-cc88-43f0-bb82-433e9d956a47}</author>
    <author>tc={1fbde93e-51f3-49f7-92cf-890e0b61743d}</author>
    <author>tc={2f7e7f0c-b9b8-449f-8160-4a235e57f765}</author>
    <author>tc={36df0e2e-d112-4b6f-a309-d26893afccaf}</author>
    <author>tc={374e6bc8-2a6a-4b94-b37e-294778e207ce}</author>
    <author>tc={3753e81a-fdb1-4418-a4b4-e775f3abaad6}</author>
    <author>tc={3e977d50-5109-44df-a9df-0eb21d64095e}</author>
    <author>tc={402dfc1a-6380-4420-bbc1-c834696fad3e}</author>
    <author>tc={460bf0ad-ae8e-4bb8-aa1a-c2ce7b6eb033}</author>
    <author>tc={4826192c-4c34-42f3-8415-636adf9e3f77}</author>
    <author>tc={54bbbd4d-3762-4e7f-9b3a-58bc2a97af43}</author>
    <author>tc={56c22901-c1d3-40b1-8817-d612e5e42ea4}</author>
    <author>tc={57af805b-a8b4-4b79-982c-f9b4ac152612}</author>
    <author>tc={598517fd-297d-45a4-9cf4-67eb1417813f}</author>
    <author>tc={5be758cc-7c5d-4233-bccb-0622dbf1d0be}</author>
    <author>tc={632cf4b6-73f1-4e14-be4d-4a43e0b1958c}</author>
    <author>tc={64a75f19-2bbf-4f3f-b560-426d496d25b7}</author>
    <author>tc={675f760c-d9bd-4463-87a3-6eddfe224d4c}</author>
    <author>tc={69c11b2f-4391-4b17-b702-aa2ae435eaca}</author>
    <author>tc={6a6daaeb-936b-44e7-8cf3-823c2a80aa05}</author>
    <author>tc={6c9d6e1e-e4b0-4a73-98fd-96c85b5b0435}</author>
    <author>tc={6cdf0dc0-fd62-494b-8750-c16af94d16d9}</author>
    <author>tc={75fde7fe-beb7-4c5d-8814-b307ba0f0ebc}</author>
    <author>tc={777360c4-7a56-4213-8b29-fcabbe878b3f}</author>
    <author>tc={7815dba8-b8bf-4df6-959d-7a20caeb9e03}</author>
    <author>tc={88c33a02-a799-48f4-9374-df5e7d033506}</author>
    <author>tc={8a3b3d85-5fed-4802-8048-bcc98e0d6361}</author>
    <author>tc={92b08409-289a-49bd-9d90-58ba31c5558d}</author>
    <author>tc={9761a632-b640-4173-b701-61efe15104f2}</author>
    <author>tc={9e213532-8f6f-4e2a-bb95-e7453f072f4f}</author>
    <author>tc={a07669f4-ff99-4ab2-979a-c2705c06085d}</author>
    <author>tc={a4000a17-0a03-42ae-86be-782387f1b499}</author>
    <author>tc={ad7fe9d1-ac0e-4a9f-b34e-cb44571bed24}</author>
    <author>tc={ae7bc9d9-e6f9-4196-8e94-b6ea1d5cfd31}</author>
    <author>tc={b240df0f-93a5-4e36-b11c-5a6d1236cf05}</author>
    <author>tc={b333cb16-26f0-4597-bff4-4a388273af8a}</author>
    <author>tc={b726622b-0988-4bf7-8fc9-abafb5b97981}</author>
    <author>tc={b841c834-a392-430d-99d3-7d3bec187904}</author>
    <author>tc={ba4d98a6-706f-43da-a7eb-14795452fba9}</author>
    <author>tc={bfe06b1a-39d0-448b-843d-17294ff44672}</author>
    <author>tc={cba74f09-6dde-4f27-a7b4-5d69deed0663}</author>
    <author>tc={d4bd1f80-5421-4349-8833-614ca35f695a}</author>
    <author>tc={d4e85921-74d1-4b45-854c-36159a24e440}</author>
    <author>tc={d94ad303-f68f-4c83-8c5a-493141ec3d43}</author>
    <author>tc={e78440cd-6006-4bf8-828e-c9a959789270}</author>
    <author>tc={e9ac1b71-f8c1-44a9-b3cb-b47cfb1460f4}</author>
    <author>tc={ea64abfe-5a27-4f0c-9b6e-6fab696637b6}</author>
    <author>tc={fe5ab092-01ab-4fbf-a3ac-cfe4df0926f8}</author>
  </authors>
  <commentList>
    <comment authorId="0" xr:uid="{030a18df-93de-4519-99c7-2bfb79278005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1" xr:uid="{04d4050e-4cce-4500-a0e9-0b859cc19ef4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" xr:uid="{078eac35-ecae-45de-ae06-8c0e44fed1bf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" xr:uid="{08926333-8e83-476c-86a9-f7e180602d47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4" xr:uid="{09bb1458-fe6e-43ff-b5de-ba4964b813de}" ref="M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5" xr:uid="{0b893fb2-315b-45d5-adc9-3fe3019a6b99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6" xr:uid="{0bd6e4c0-a256-48c0-bfbf-d681f0c8de5d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7" xr:uid="{10732d5a-faea-4255-a87b-411670fdaa78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Reply:
	1797 HC+ 20 HC + 550 HC
</t>
      </text>
    </comment>
    <comment authorId="8" xr:uid="{111d8446-3604-4824-b035-5b1a8a997035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9" xr:uid="{173c5643-d521-4270-a061-5048817acbd2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10" xr:uid="{179a68a2-08f6-49bf-90df-cbc45a3d3a5b}" ref="I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11" xr:uid="{17a475fd-f9c9-4946-a8d0-beb7362297e1}" ref="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12" xr:uid="{1bdc4bb2-cc88-43f0-bb82-433e9d956a47}" ref="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13" xr:uid="{1fbde93e-51f3-49f7-92cf-890e0b61743d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14" xr:uid="{2f7e7f0c-b9b8-449f-8160-4a235e57f765}" ref="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15" xr:uid="{36df0e2e-d112-4b6f-a309-d26893afccaf}" ref="M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16" xr:uid="{374e6bc8-2a6a-4b94-b37e-294778e207ce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17" xr:uid="{3753e81a-fdb1-4418-a4b4-e775f3abaad6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Reply:
	34567 is shown as Ad Expenses.
</t>
      </text>
    </comment>
    <comment authorId="18" xr:uid="{3e977d50-5109-44df-a9df-0eb21d64095e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19" xr:uid="{402dfc1a-6380-4420-bbc1-c834696fad3e}" ref="G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0" xr:uid="{460bf0ad-ae8e-4bb8-aa1a-c2ce7b6eb033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1" xr:uid="{4826192c-4c34-42f3-8415-636adf9e3f77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2" xr:uid="{54bbbd4d-3762-4e7f-9b3a-58bc2a97af43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3" xr:uid="{56c22901-c1d3-40b1-8817-d612e5e42ea4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4" xr:uid="{57af805b-a8b4-4b79-982c-f9b4ac152612}" ref="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5" xr:uid="{598517fd-297d-45a4-9cf4-67eb1417813f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6" xr:uid="{5be758cc-7c5d-4233-bccb-0622dbf1d0be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7" xr:uid="{632cf4b6-73f1-4e14-be4d-4a43e0b1958c}" ref="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8" xr:uid="{64a75f19-2bbf-4f3f-b560-426d496d25b7}" ref="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29" xr:uid="{675f760c-d9bd-4463-87a3-6eddfe224d4c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0" xr:uid="{69c11b2f-4391-4b17-b702-aa2ae435eaca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1" xr:uid="{6a6daaeb-936b-44e7-8cf3-823c2a80aa05}" ref="O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2" xr:uid="{6c9d6e1e-e4b0-4a73-98fd-96c85b5b0435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3" xr:uid="{6cdf0dc0-fd62-494b-8750-c16af94d16d9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4" xr:uid="{75fde7fe-beb7-4c5d-8814-b307ba0f0ebc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5" xr:uid="{777360c4-7a56-4213-8b29-fcabbe878b3f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6" xr:uid="{7815dba8-b8bf-4df6-959d-7a20caeb9e03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7" xr:uid="{88c33a02-a799-48f4-9374-df5e7d033506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8" xr:uid="{8a3b3d85-5fed-4802-8048-bcc98e0d6361}" ref="F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39" xr:uid="{92b08409-289a-49bd-9d90-58ba31c5558d}" ref="F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40" xr:uid="{9761a632-b640-4173-b701-61efe15104f2}" ref="N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41" xr:uid="{9e213532-8f6f-4e2a-bb95-e7453f072f4f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42" xr:uid="{a07669f4-ff99-4ab2-979a-c2705c06085d}" ref="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43" xr:uid="{a4000a17-0a03-42ae-86be-782387f1b499}" ref="I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44" xr:uid="{ad7fe9d1-ac0e-4a9f-b34e-cb44571bed24}" ref="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45" xr:uid="{ae7bc9d9-e6f9-4196-8e94-b6ea1d5cfd31}" ref="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46" xr:uid="{b240df0f-93a5-4e36-b11c-5a6d1236cf05}" ref="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47" xr:uid="{b333cb16-26f0-4597-bff4-4a388273af8a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Reply:
	840 HC +4000 HC
</t>
      </text>
    </comment>
    <comment authorId="48" xr:uid="{b726622b-0988-4bf7-8fc9-abafb5b97981}" ref="M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49" xr:uid="{b841c834-a392-430d-99d3-7d3bec187904}" ref="J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50" xr:uid="{ba4d98a6-706f-43da-a7eb-14795452fba9}" ref="L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51" xr:uid="{bfe06b1a-39d0-448b-843d-17294ff44672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52" xr:uid="{cba74f09-6dde-4f27-a7b4-5d69deed0663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53" xr:uid="{d4bd1f80-5421-4349-8833-614ca35f695a}" ref="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54" xr:uid="{d4e85921-74d1-4b45-854c-36159a24e440}" ref="F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55" xr:uid="{d94ad303-f68f-4c83-8c5a-493141ec3d43}" ref="O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56" xr:uid="{e78440cd-6006-4bf8-828e-c9a959789270}" ref="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57" xr:uid="{e9ac1b71-f8c1-44a9-b3cb-b47cfb1460f4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Reply:
	519 HC+10605 Kaba+1510 Hc
</t>
      </text>
    </comment>
    <comment authorId="58" xr:uid="{ea64abfe-5a27-4f0c-9b6e-6fab696637b6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  <comment authorId="59" xr:uid="{fe5ab092-01ab-4fbf-a3ac-cfe4df0926f8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share details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tc={072bf871-3e96-4aa5-b2d3-fa2eed1c694a}</author>
    <author>tc={1a35426d-9de1-47c2-b4cd-4596dbd15a78}</author>
    <author>tc={4837fa1a-7905-44c8-a215-763e297dfe06}</author>
    <author>tc={4f1db18b-6481-426c-82f3-6affff2e50e3}</author>
    <author>tc={62d3454d-ac59-49a2-b081-64b088968d30}</author>
    <author>tc={6728321d-074e-4b55-8b05-726a36b8cd79}</author>
    <author>tc={8b66f600-c4cb-4bcb-aa4f-2c1ce760506f}</author>
    <author>tc={94530bd5-e9c8-4fef-8e68-fed49c083b54}</author>
    <author>tc={b962843b-8c2d-49e2-9196-69b6add3df33}</author>
  </authors>
  <commentList>
    <comment authorId="0" xr:uid="{072bf871-3e96-4aa5-b2d3-fa2eed1c694a}" ref="K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21800 Vehicle Insurance for 12 months
</t>
      </text>
    </comment>
    <comment authorId="1" xr:uid="{1a35426d-9de1-47c2-b4cd-4596dbd15a78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addition figure stock in amount from Kol CW
</t>
      </text>
    </comment>
    <comment authorId="2" xr:uid="{4837fa1a-7905-44c8-a215-763e297dfe06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addition figure stock in amount from Kol CW
</t>
      </text>
    </comment>
    <comment authorId="3" xr:uid="{4f1db18b-6481-426c-82f3-6affff2e50e3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Vendor Anil Shukla &amp; Indrprastha Gas
</t>
      </text>
    </comment>
    <comment authorId="4" xr:uid="{62d3454d-ac59-49a2-b081-64b088968d30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22420 Security Guard Charges
</t>
      </text>
    </comment>
    <comment authorId="5" xr:uid="{6728321d-074e-4b55-8b05-726a36b8cd79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42100 solar charges paid to CK landlord for April to June 25
</t>
      </text>
    </comment>
    <comment authorId="6" xr:uid="{8b66f600-c4cb-4bcb-aa4f-2c1ce760506f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addition figure stock in amount from Kol CW
</t>
      </text>
    </comment>
    <comment authorId="7" xr:uid="{94530bd5-e9c8-4fef-8e68-fed49c083b54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addition figure stock in amount from Kol CW
</t>
      </text>
    </comment>
    <comment authorId="8" xr:uid="{b962843b-8c2d-49e2-9196-69b6add3df33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addition figure stock in amount from Kol CW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tc={1cbd2b90-5fff-4060-8029-3300ded27a51}</author>
    <author>tc={5406def8-fe3d-498f-a5d9-b254702dcf7e}</author>
    <author>tc={a2b842ae-3fce-4762-a1fc-b267c7e14559}</author>
  </authors>
  <commentList>
    <comment authorId="0" xr:uid="{1cbd2b90-5fff-4060-8029-3300ded27a51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8030 House Keeoing expenses of Guest Houses
</t>
      </text>
    </comment>
    <comment authorId="1" xr:uid="{5406def8-fe3d-498f-a5d9-b254702dcf7e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33795 Cash Pick Up Charges
</t>
      </text>
    </comment>
    <comment authorId="2" xr:uid="{a2b842ae-3fce-4762-a1fc-b267c7e14559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Dehradun Travelling
</t>
      </text>
    </comment>
  </commentList>
</comments>
</file>

<file path=xl/sharedStrings.xml><?xml version="1.0" encoding="utf-8"?>
<sst xmlns="http://schemas.openxmlformats.org/spreadsheetml/2006/main" count="619" uniqueCount="148">
  <si>
    <t>Dosa Coffee - DLF</t>
  </si>
  <si>
    <t>Dosa Coffee - Noida Sector 143</t>
  </si>
  <si>
    <t>Dosa Coffee - Noida Sector 18</t>
  </si>
  <si>
    <t>FY 2025-26</t>
  </si>
  <si>
    <t>Food Cost Calculation</t>
  </si>
  <si>
    <t>Dosa Coffee - NCR</t>
  </si>
  <si>
    <t>Department</t>
  </si>
  <si>
    <t>Opening Stock</t>
  </si>
  <si>
    <t>Procurement</t>
  </si>
  <si>
    <t>Purchases Food (Less Purchase Return)</t>
  </si>
  <si>
    <t>Transferred Out</t>
  </si>
  <si>
    <t>Wastage &amp; Date Expired</t>
  </si>
  <si>
    <t>Closing Stock</t>
  </si>
  <si>
    <t>Gross Revenue</t>
  </si>
  <si>
    <t>Catering &amp; Fairs</t>
  </si>
  <si>
    <t>Less Tax</t>
  </si>
  <si>
    <t>Less Commission</t>
  </si>
  <si>
    <t>Net Revenues from F&amp;B Sales</t>
  </si>
  <si>
    <t>F&amp;B Cost</t>
  </si>
  <si>
    <t>Electricity</t>
  </si>
  <si>
    <t>Telephone/Internet</t>
  </si>
  <si>
    <t>Gas</t>
  </si>
  <si>
    <t>Rent &amp; Revenue Share</t>
  </si>
  <si>
    <t>Insurance</t>
  </si>
  <si>
    <t>Software</t>
  </si>
  <si>
    <t xml:space="preserve">Staff Salary </t>
  </si>
  <si>
    <t>AMC</t>
  </si>
  <si>
    <t>Subscription</t>
  </si>
  <si>
    <t>Repairs &amp; Maintenance</t>
  </si>
  <si>
    <t>Miscellaneous Expenses</t>
  </si>
  <si>
    <t>CAM</t>
  </si>
  <si>
    <t>HO+CK Cost</t>
  </si>
  <si>
    <t>Operating Expenses</t>
  </si>
  <si>
    <t>Store Level EBITDA</t>
  </si>
  <si>
    <t>Food Cost</t>
  </si>
  <si>
    <t>Dosa Coffee - Faridabad Sec 15</t>
  </si>
  <si>
    <t>Dosa Coffee - Gurgaon Sec 10</t>
  </si>
  <si>
    <t>Dosa Coffee - Huda Market</t>
  </si>
  <si>
    <t>Operation</t>
  </si>
  <si>
    <t>Dosa Coffee - Paschim Vihar</t>
  </si>
  <si>
    <t>Dosa Coffee - Kalkaji</t>
  </si>
  <si>
    <t>Insurance Premium</t>
  </si>
  <si>
    <t>Dosa Coffee - Connaught Place</t>
  </si>
  <si>
    <t>Dosa Coffee - Rohini</t>
  </si>
  <si>
    <t>Dosa Coffee - Model Town</t>
  </si>
  <si>
    <t>Commission %</t>
  </si>
  <si>
    <t>Average</t>
  </si>
  <si>
    <t>Dosa Coffee - Pacific Mall</t>
  </si>
  <si>
    <t>Dosa Coffee - Shalimar Bagh</t>
  </si>
  <si>
    <t>FY 25-26</t>
  </si>
  <si>
    <t>Advertisement &amp; Promotion</t>
  </si>
  <si>
    <t>Others</t>
  </si>
  <si>
    <t>Zomato</t>
  </si>
  <si>
    <t>Swiggy</t>
  </si>
  <si>
    <t>Total</t>
  </si>
  <si>
    <t>Accounts</t>
  </si>
  <si>
    <t>Paschim Vihar</t>
  </si>
  <si>
    <t>Okhla</t>
  </si>
  <si>
    <t>Rohini</t>
  </si>
  <si>
    <t>Kalkaji</t>
  </si>
  <si>
    <t>Pacific Mall</t>
  </si>
  <si>
    <t>CP</t>
  </si>
  <si>
    <t>Model Town</t>
  </si>
  <si>
    <t>Faridabad</t>
  </si>
  <si>
    <t>DLF</t>
  </si>
  <si>
    <t>Huda Market</t>
  </si>
  <si>
    <t>Noida Sec 18</t>
  </si>
  <si>
    <t>Noida Sec 143</t>
  </si>
  <si>
    <t>Head office</t>
  </si>
  <si>
    <t>Actual</t>
  </si>
  <si>
    <t>Capital Deployed</t>
  </si>
  <si>
    <t>Travelling Expenses</t>
  </si>
  <si>
    <t>Motor car Expenses</t>
  </si>
  <si>
    <t>Freight Charges</t>
  </si>
  <si>
    <t>FY 2024-25</t>
  </si>
  <si>
    <t>Professional Fees</t>
  </si>
  <si>
    <t>Parking Expenses</t>
  </si>
  <si>
    <t>Merchant Funded Promotion</t>
  </si>
  <si>
    <t>Customer Compensation</t>
  </si>
  <si>
    <t>Round Up</t>
  </si>
  <si>
    <t>Staff Welfare</t>
  </si>
  <si>
    <t>Maintenance Expenses</t>
  </si>
  <si>
    <t>Staff Electricity</t>
  </si>
  <si>
    <t>DG Charges</t>
  </si>
  <si>
    <t>Local Authority Expenses</t>
  </si>
  <si>
    <t>Travelling Expense</t>
  </si>
  <si>
    <t>Staff Welfare Expenses</t>
  </si>
  <si>
    <t>Swiggy Cancellation Charges</t>
  </si>
  <si>
    <t>Credit Card Settlement Charges</t>
  </si>
  <si>
    <t>General Expenses</t>
  </si>
  <si>
    <t>House Keeping Charges</t>
  </si>
  <si>
    <t>Printing &amp; Stationery</t>
  </si>
  <si>
    <t>Bank Charges</t>
  </si>
  <si>
    <t>Head Office Expenses</t>
  </si>
  <si>
    <t>- Petty Cash Expenses</t>
  </si>
  <si>
    <t>-</t>
  </si>
  <si>
    <t>Repairs &amp; Maintenance - Plant</t>
  </si>
  <si>
    <t>Central Kitchen Expenses</t>
  </si>
  <si>
    <t>Guest House Expenses</t>
  </si>
  <si>
    <t>Delhi Office Rent &amp; Electricity</t>
  </si>
  <si>
    <t>Telephone Expenses</t>
  </si>
  <si>
    <t>Head Office Salary</t>
  </si>
  <si>
    <t>Consumption</t>
  </si>
  <si>
    <t>Leave Encashment</t>
  </si>
  <si>
    <t>Wastage</t>
  </si>
  <si>
    <t xml:space="preserve">Motor Car Expenses &amp; Fuel </t>
  </si>
  <si>
    <t>Office Expenses</t>
  </si>
  <si>
    <t>Professional and Consultancy Fees</t>
  </si>
  <si>
    <t>Mystery Audit</t>
  </si>
  <si>
    <t>Printing &amp; Stationary</t>
  </si>
  <si>
    <t>Repair &amp; Maintenance</t>
  </si>
  <si>
    <t>Software Charges</t>
  </si>
  <si>
    <t>Staff Incentive</t>
  </si>
  <si>
    <t>Staff Food &amp; Perks</t>
  </si>
  <si>
    <t>Subscription &amp; Membership</t>
  </si>
  <si>
    <t>Transportation and Labour</t>
  </si>
  <si>
    <t>Travelling and Conveyance</t>
  </si>
  <si>
    <t>Water Supply Charges</t>
  </si>
  <si>
    <t>Other Sales</t>
  </si>
  <si>
    <t>Total HO Expenses</t>
  </si>
  <si>
    <t>Apr'2025</t>
  </si>
  <si>
    <t>% Sales Dist</t>
  </si>
  <si>
    <t>% Dist (HO)</t>
  </si>
  <si>
    <t>May'2025</t>
  </si>
  <si>
    <t>June'2025</t>
  </si>
  <si>
    <t>July'2025</t>
  </si>
  <si>
    <t>Noida Sector 18</t>
  </si>
  <si>
    <t>Insurance &amp; licenses</t>
  </si>
  <si>
    <t>Rent &amp; CAM</t>
  </si>
  <si>
    <t>Noida Sector 143</t>
  </si>
  <si>
    <t>HR</t>
  </si>
  <si>
    <t>Faridabad Sector 15</t>
  </si>
  <si>
    <t>Membership &amp; Subscription</t>
  </si>
  <si>
    <t>Conveyance</t>
  </si>
  <si>
    <t>Transport Charges</t>
  </si>
  <si>
    <t>Connaught Place</t>
  </si>
  <si>
    <t>Aug'2025</t>
  </si>
  <si>
    <t>Sep'2025</t>
  </si>
  <si>
    <t>Oct'2025</t>
  </si>
  <si>
    <t>Nov'2025</t>
  </si>
  <si>
    <t>Dec'2025</t>
  </si>
  <si>
    <t>Jan'2026</t>
  </si>
  <si>
    <t>Feb'2026</t>
  </si>
  <si>
    <t>Mar''2026</t>
  </si>
  <si>
    <t>Sector 10</t>
  </si>
  <si>
    <t>Shalimar Bagh</t>
  </si>
  <si>
    <t>Ads Account</t>
  </si>
  <si>
    <t>EBITDA Margin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</si>
</sst>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,&quot;yy"/>
    <numFmt numFmtId="165" formatCode="_(* #,##0.00_);_(* \(#,##0.00\);_(* &quot;-&quot;??_);_(@_)"/>
    <numFmt numFmtId="166" formatCode="#,##0.00;(#,##0.00)"/>
    <numFmt numFmtId="167" formatCode="_(* #,##0_);_(* \(#,##0\);_(* &quot;-&quot;??_);_(@_)"/>
    <numFmt numFmtId="168" formatCode="mmmm d"/>
    <numFmt numFmtId="169" formatCode="mmm d"/>
  </numFmts>
  <fonts count="15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/>
    <font>
      <sz val="9.0"/>
      <color theme="1"/>
      <name val="Arial"/>
      <scheme val="minor"/>
    </font>
    <font>
      <color theme="1"/>
      <name val="Arial"/>
      <scheme val="minor"/>
    </font>
    <font>
      <b/>
      <u/>
      <sz val="9.0"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sz val="9.0"/>
      <color rgb="FF000000"/>
      <name val="Tahoma"/>
    </font>
    <font>
      <b/>
      <u/>
      <sz val="9.0"/>
      <color rgb="FF000000"/>
      <name val="Tahoma"/>
    </font>
    <font>
      <sz val="9.0"/>
      <color rgb="FF000000"/>
      <name val="Tahoma"/>
    </font>
    <font>
      <sz val="9.0"/>
      <color rgb="FF000000"/>
      <name val="Calibri"/>
    </font>
    <font>
      <u/>
      <sz val="9.0"/>
      <color rgb="FF000000"/>
      <name val="Tahoma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horizontal="center" vertical="bottom"/>
    </xf>
    <xf borderId="2" fillId="0" fontId="1" numFmtId="164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2" fillId="0" fontId="3" numFmtId="0" xfId="0" applyBorder="1" applyFont="1"/>
    <xf borderId="1" fillId="3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0" fontId="1" numFmtId="0" xfId="0" applyAlignment="1" applyBorder="1" applyFont="1">
      <alignment horizontal="center" vertical="bottom"/>
    </xf>
    <xf borderId="2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0" fontId="2" numFmtId="165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horizontal="right" vertical="bottom"/>
    </xf>
    <xf borderId="1" fillId="2" fontId="1" numFmtId="3" xfId="0" applyAlignment="1" applyBorder="1" applyFill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readingOrder="0" vertical="bottom"/>
    </xf>
    <xf borderId="1" fillId="2" fontId="2" numFmtId="10" xfId="0" applyAlignment="1" applyBorder="1" applyFill="1" applyFont="1" applyNumberFormat="1">
      <alignment vertical="bottom"/>
    </xf>
    <xf borderId="1" fillId="2" fontId="2" numFmtId="3" xfId="0" applyAlignment="1" applyBorder="1" applyFill="1" applyFont="1" applyNumberFormat="1">
      <alignment horizontal="right" readingOrder="0" vertical="bottom"/>
    </xf>
    <xf borderId="1" fillId="4" fontId="2" numFmtId="0" xfId="0" applyAlignment="1" applyBorder="1" applyFill="1" applyFont="1">
      <alignment shrinkToFit="0" vertical="bottom" wrapText="1"/>
    </xf>
    <xf borderId="1" fillId="0" fontId="2" numFmtId="4" xfId="0" applyAlignment="1" applyBorder="1" applyFont="1" applyNumberFormat="1">
      <alignment horizontal="right" vertical="bottom"/>
    </xf>
    <xf borderId="1" fillId="3" fontId="1" numFmtId="0" xfId="0" applyAlignment="1" applyBorder="1" applyFill="1" applyFont="1">
      <alignment shrinkToFit="0" vertical="bottom" wrapText="1"/>
    </xf>
    <xf borderId="1" fillId="3" fontId="1" numFmtId="3" xfId="0" applyAlignment="1" applyBorder="1" applyFill="1" applyFont="1" applyNumberFormat="1">
      <alignment horizontal="right" shrinkToFit="0" vertical="bottom" wrapText="1"/>
    </xf>
    <xf borderId="2" fillId="3" fontId="1" numFmtId="3" xfId="0" applyAlignment="1" applyBorder="1" applyFill="1" applyFont="1" applyNumberFormat="1">
      <alignment horizontal="right" shrinkToFit="0" vertical="bottom" wrapText="1"/>
    </xf>
    <xf borderId="1" fillId="3" fontId="1" numFmtId="10" xfId="0" applyAlignment="1" applyBorder="1" applyFill="1" applyFont="1" applyNumberFormat="1">
      <alignment horizontal="right" shrinkToFit="0" vertical="bottom" wrapText="1"/>
    </xf>
    <xf borderId="1" fillId="0" fontId="2" numFmtId="165" xfId="0" applyBorder="1" applyFont="1" applyNumberFormat="1"/>
    <xf borderId="1" fillId="2" fontId="1" numFmtId="10" xfId="0" applyAlignment="1" applyBorder="1" applyFill="1" applyFont="1" applyNumberFormat="1">
      <alignment horizontal="right" vertical="bottom"/>
    </xf>
    <xf borderId="1" fillId="4" fontId="2" numFmtId="0" xfId="0" applyAlignment="1" applyBorder="1" applyFill="1" applyFont="1">
      <alignment readingOrder="0" shrinkToFit="0" vertical="bottom" wrapText="1"/>
    </xf>
    <xf borderId="1" fillId="0" fontId="2" numFmtId="3" xfId="0" applyAlignment="1" applyBorder="1" applyFont="1" applyNumberFormat="1">
      <alignment readingOrder="0" vertical="bottom"/>
    </xf>
    <xf borderId="1" fillId="0" fontId="2" numFmtId="3" xfId="0" applyAlignment="1" applyBorder="1" applyFont="1" applyNumberFormat="1">
      <alignment vertical="bottom"/>
    </xf>
    <xf borderId="1" fillId="4" fontId="2" numFmtId="0" xfId="0" applyAlignment="1" applyBorder="1" applyFill="1" applyFont="1">
      <alignment readingOrder="0" vertical="bottom"/>
    </xf>
    <xf borderId="1" fillId="5" fontId="1" numFmtId="0" xfId="0" applyAlignment="1" applyBorder="1" applyFill="1" applyFont="1">
      <alignment shrinkToFit="0" vertical="bottom" wrapText="1"/>
    </xf>
    <xf borderId="1" fillId="5" fontId="1" numFmtId="3" xfId="0" applyAlignment="1" applyBorder="1" applyFill="1" applyFont="1" applyNumberFormat="1">
      <alignment horizontal="right" shrinkToFit="0" vertical="bottom" wrapText="1"/>
    </xf>
    <xf borderId="2" fillId="5" fontId="1" numFmtId="3" xfId="0" applyAlignment="1" applyBorder="1" applyFill="1" applyFont="1" applyNumberFormat="1">
      <alignment horizontal="right" shrinkToFit="0" vertical="bottom" wrapText="1"/>
    </xf>
    <xf borderId="1" fillId="5" fontId="1" numFmtId="10" xfId="0" applyAlignment="1" applyBorder="1" applyFill="1" applyFont="1" applyNumberFormat="1">
      <alignment horizontal="right" shrinkToFit="0" vertical="bottom" wrapText="1"/>
    </xf>
    <xf borderId="1" fillId="6" fontId="1" numFmtId="0" xfId="0" applyAlignment="1" applyBorder="1" applyFill="1" applyFont="1">
      <alignment shrinkToFit="0" vertical="bottom" wrapText="1"/>
    </xf>
    <xf borderId="1" fillId="6" fontId="1" numFmtId="165" xfId="0" applyAlignment="1" applyBorder="1" applyFill="1" applyFont="1" applyNumberFormat="1">
      <alignment horizontal="right" shrinkToFit="0" vertical="bottom" wrapText="1"/>
    </xf>
    <xf borderId="1" fillId="6" fontId="1" numFmtId="10" xfId="0" applyAlignment="1" applyBorder="1" applyFill="1" applyFont="1" applyNumberFormat="1">
      <alignment horizontal="right" shrinkToFit="0" vertical="bottom" wrapText="1"/>
    </xf>
    <xf borderId="1" fillId="7" fontId="1" numFmtId="0" xfId="0" applyAlignment="1" applyBorder="1" applyFill="1" applyFont="1">
      <alignment shrinkToFit="0" vertical="bottom" wrapText="1"/>
    </xf>
    <xf borderId="1" fillId="7" fontId="1" numFmtId="10" xfId="0" applyAlignment="1" applyBorder="1" applyFill="1" applyFont="1" applyNumberFormat="1">
      <alignment horizontal="right" shrinkToFit="0" vertical="bottom" wrapText="1"/>
    </xf>
    <xf borderId="2" fillId="7" fontId="1" numFmtId="10" xfId="0" applyAlignment="1" applyBorder="1" applyFill="1" applyFont="1" applyNumberFormat="1">
      <alignment horizontal="right" shrinkToFit="0" vertical="bottom" wrapText="1"/>
    </xf>
    <xf borderId="1" fillId="7" fontId="2" numFmtId="10" xfId="0" applyAlignment="1" applyBorder="1" applyFill="1" applyFont="1" applyNumberFormat="1">
      <alignment vertical="bottom"/>
    </xf>
    <xf borderId="0" fillId="0" fontId="2" numFmtId="166" xfId="0" applyAlignment="1" applyFont="1" applyNumberFormat="1">
      <alignment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1" fillId="0" fontId="2" numFmtId="4" xfId="0" applyAlignment="1" applyBorder="1" applyFont="1" applyNumberFormat="1">
      <alignment horizontal="right" readingOrder="0" vertical="bottom"/>
    </xf>
    <xf borderId="1" fillId="3" fontId="2" numFmtId="4" xfId="0" applyAlignment="1" applyBorder="1" applyFill="1" applyFont="1" applyNumberFormat="1">
      <alignment vertical="bottom"/>
    </xf>
    <xf borderId="1" fillId="3" fontId="1" numFmtId="4" xfId="0" applyAlignment="1" applyBorder="1" applyFill="1" applyFont="1" applyNumberFormat="1">
      <alignment horizontal="right" shrinkToFit="0" vertical="bottom" wrapText="1"/>
    </xf>
    <xf borderId="1" fillId="0" fontId="2" numFmtId="167" xfId="0" applyBorder="1" applyFont="1" applyNumberFormat="1"/>
    <xf borderId="1" fillId="0" fontId="2" numFmtId="4" xfId="0" applyBorder="1" applyFont="1" applyNumberFormat="1"/>
    <xf borderId="1" fillId="2" fontId="2" numFmtId="3" xfId="0" applyAlignment="1" applyBorder="1" applyFill="1" applyFont="1" applyNumberFormat="1">
      <alignment horizontal="right" vertical="bottom"/>
    </xf>
    <xf borderId="1" fillId="0" fontId="4" numFmtId="2" xfId="0" applyAlignment="1" applyBorder="1" applyFont="1" applyNumberFormat="1">
      <alignment readingOrder="0"/>
    </xf>
    <xf borderId="1" fillId="2" fontId="2" numFmtId="165" xfId="0" applyAlignment="1" applyBorder="1" applyFill="1" applyFont="1" applyNumberFormat="1">
      <alignment readingOrder="0"/>
    </xf>
    <xf borderId="0" fillId="0" fontId="2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65" xfId="0" applyFont="1" applyNumberFormat="1"/>
    <xf borderId="1" fillId="5" fontId="1" numFmtId="4" xfId="0" applyAlignment="1" applyBorder="1" applyFill="1" applyFont="1" applyNumberFormat="1">
      <alignment horizontal="right" shrinkToFit="0" vertical="bottom" wrapText="1"/>
    </xf>
    <xf borderId="0" fillId="4" fontId="2" numFmtId="165" xfId="0" applyAlignment="1" applyFill="1" applyFont="1" applyNumberFormat="1">
      <alignment horizontal="right" shrinkToFit="0" vertical="bottom" wrapText="1"/>
    </xf>
    <xf borderId="0" fillId="0" fontId="2" numFmtId="4" xfId="0" applyAlignment="1" applyFont="1" applyNumberFormat="1">
      <alignment vertical="bottom"/>
    </xf>
    <xf borderId="0" fillId="0" fontId="2" numFmtId="168" xfId="0" applyAlignment="1" applyFont="1" applyNumberFormat="1">
      <alignment readingOrder="0" vertical="bottom"/>
    </xf>
    <xf borderId="1" fillId="0" fontId="2" numFmtId="3" xfId="0" applyAlignment="1" applyBorder="1" applyFont="1" applyNumberFormat="1">
      <alignment readingOrder="0"/>
    </xf>
    <xf borderId="0" fillId="0" fontId="5" numFmtId="10" xfId="0" applyFont="1" applyNumberFormat="1"/>
    <xf borderId="1" fillId="3" fontId="2" numFmtId="3" xfId="0" applyAlignment="1" applyBorder="1" applyFill="1" applyFont="1" applyNumberFormat="1">
      <alignment vertical="bottom"/>
    </xf>
    <xf borderId="2" fillId="3" fontId="2" numFmtId="3" xfId="0" applyAlignment="1" applyBorder="1" applyFill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1" fillId="0" fontId="2" numFmtId="3" xfId="0" applyBorder="1" applyFont="1" applyNumberFormat="1"/>
    <xf borderId="3" fillId="2" fontId="4" numFmtId="4" xfId="0" applyAlignment="1" applyBorder="1" applyFill="1" applyFont="1" applyNumberFormat="1">
      <alignment readingOrder="0"/>
    </xf>
    <xf borderId="1" fillId="2" fontId="2" numFmtId="165" xfId="0" applyBorder="1" applyFill="1" applyFont="1" applyNumberFormat="1"/>
    <xf borderId="1" fillId="6" fontId="1" numFmtId="3" xfId="0" applyAlignment="1" applyBorder="1" applyFill="1" applyFont="1" applyNumberFormat="1">
      <alignment horizontal="right" shrinkToFit="0" vertical="bottom" wrapText="1"/>
    </xf>
    <xf borderId="0" fillId="0" fontId="2" numFmtId="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readingOrder="0" vertical="bottom"/>
    </xf>
    <xf borderId="4" fillId="0" fontId="2" numFmtId="3" xfId="0" applyAlignment="1" applyBorder="1" applyFont="1" applyNumberFormat="1">
      <alignment readingOrder="0" vertical="bottom"/>
    </xf>
    <xf borderId="4" fillId="0" fontId="2" numFmtId="4" xfId="0" applyAlignment="1" applyBorder="1" applyFont="1" applyNumberFormat="1">
      <alignment readingOrder="0" vertical="bottom"/>
    </xf>
    <xf borderId="0" fillId="0" fontId="5" numFmtId="0" xfId="0" applyFont="1"/>
    <xf borderId="1" fillId="0" fontId="2" numFmtId="167" xfId="0" applyAlignment="1" applyBorder="1" applyFont="1" applyNumberFormat="1">
      <alignment readingOrder="0"/>
    </xf>
    <xf borderId="1" fillId="2" fontId="1" numFmtId="0" xfId="0" applyAlignment="1" applyBorder="1" applyFill="1" applyFont="1">
      <alignment readingOrder="0" shrinkToFit="0" vertical="bottom" wrapText="1"/>
    </xf>
    <xf borderId="1" fillId="2" fontId="2" numFmtId="0" xfId="0" applyAlignment="1" applyBorder="1" applyFill="1" applyFont="1">
      <alignment vertical="bottom"/>
    </xf>
    <xf borderId="1" fillId="2" fontId="1" numFmtId="10" xfId="0" applyAlignment="1" applyBorder="1" applyFill="1" applyFont="1" applyNumberFormat="1">
      <alignment horizontal="right" shrinkToFit="0" vertical="bottom" wrapText="1"/>
    </xf>
    <xf borderId="1" fillId="2" fontId="4" numFmtId="4" xfId="0" applyBorder="1" applyFill="1" applyFont="1" applyNumberFormat="1"/>
    <xf borderId="1" fillId="2" fontId="1" numFmtId="3" xfId="0" applyAlignment="1" applyBorder="1" applyFill="1" applyFont="1" applyNumberFormat="1">
      <alignment horizontal="right" shrinkToFit="0" vertical="bottom" wrapText="1"/>
    </xf>
    <xf borderId="0" fillId="0" fontId="1" numFmtId="4" xfId="0" applyAlignment="1" applyFont="1" applyNumberFormat="1">
      <alignment horizontal="right" readingOrder="0" vertical="bottom"/>
    </xf>
    <xf borderId="1" fillId="4" fontId="2" numFmtId="3" xfId="0" applyAlignment="1" applyBorder="1" applyFill="1" applyFont="1" applyNumberFormat="1">
      <alignment horizontal="right" vertical="bottom"/>
    </xf>
    <xf borderId="1" fillId="0" fontId="4" numFmtId="4" xfId="0" applyBorder="1" applyFont="1" applyNumberFormat="1"/>
    <xf borderId="0" fillId="0" fontId="2" numFmtId="1" xfId="0" applyAlignment="1" applyFont="1" applyNumberFormat="1">
      <alignment vertical="bottom"/>
    </xf>
    <xf borderId="0" fillId="0" fontId="2" numFmtId="10" xfId="0" applyAlignment="1" applyFont="1" applyNumberFormat="1">
      <alignment horizontal="right" readingOrder="0" vertical="bottom"/>
    </xf>
    <xf borderId="1" fillId="2" fontId="1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7" numFmtId="3" xfId="0" applyAlignment="1" applyBorder="1" applyFont="1" applyNumberFormat="1">
      <alignment readingOrder="0" vertical="bottom"/>
    </xf>
    <xf borderId="1" fillId="4" fontId="7" numFmtId="3" xfId="0" applyAlignment="1" applyBorder="1" applyFill="1" applyFont="1" applyNumberFormat="1">
      <alignment vertical="bottom"/>
    </xf>
    <xf borderId="1" fillId="0" fontId="7" numFmtId="3" xfId="0" applyAlignment="1" applyBorder="1" applyFont="1" applyNumberFormat="1">
      <alignment vertical="bottom"/>
    </xf>
    <xf borderId="1" fillId="5" fontId="1" numFmtId="3" xfId="0" applyAlignment="1" applyBorder="1" applyFill="1" applyFont="1" applyNumberFormat="1">
      <alignment shrinkToFit="0" vertical="bottom" wrapText="1"/>
    </xf>
    <xf borderId="0" fillId="0" fontId="8" numFmtId="0" xfId="0" applyFont="1"/>
    <xf borderId="0" fillId="0" fontId="5" numFmtId="4" xfId="0" applyAlignment="1" applyFont="1" applyNumberFormat="1">
      <alignment readingOrder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0" fontId="1" numFmtId="4" xfId="0" applyAlignment="1" applyBorder="1" applyFont="1" applyNumberFormat="1">
      <alignment horizontal="center" shrinkToFit="0" vertical="bottom" wrapText="1"/>
    </xf>
    <xf borderId="1" fillId="0" fontId="11" numFmtId="0" xfId="0" applyAlignment="1" applyBorder="1" applyFont="1">
      <alignment readingOrder="0" shrinkToFit="0" vertical="bottom" wrapText="0"/>
    </xf>
    <xf borderId="1" fillId="0" fontId="7" numFmtId="4" xfId="0" applyAlignment="1" applyBorder="1" applyFont="1" applyNumberFormat="1">
      <alignment vertical="bottom"/>
    </xf>
    <xf borderId="1" fillId="0" fontId="11" numFmtId="4" xfId="0" applyAlignment="1" applyBorder="1" applyFont="1" applyNumberFormat="1">
      <alignment readingOrder="0" shrinkToFit="0" vertical="bottom" wrapText="0"/>
    </xf>
    <xf borderId="1" fillId="0" fontId="7" numFmtId="0" xfId="0" applyAlignment="1" applyBorder="1" applyFont="1">
      <alignment vertical="bottom"/>
    </xf>
    <xf borderId="1" fillId="2" fontId="7" numFmtId="0" xfId="0" applyAlignment="1" applyBorder="1" applyFill="1" applyFont="1">
      <alignment vertical="bottom"/>
    </xf>
    <xf borderId="1" fillId="0" fontId="11" numFmtId="4" xfId="0" applyAlignment="1" applyBorder="1" applyFont="1" applyNumberFormat="1">
      <alignment shrinkToFit="0" vertical="bottom" wrapText="0"/>
    </xf>
    <xf borderId="4" fillId="2" fontId="1" numFmtId="0" xfId="0" applyAlignment="1" applyBorder="1" applyFill="1" applyFont="1">
      <alignment horizontal="center" vertical="bottom"/>
    </xf>
    <xf borderId="0" fillId="0" fontId="12" numFmtId="4" xfId="0" applyAlignment="1" applyFont="1" applyNumberFormat="1">
      <alignment shrinkToFit="0" vertical="bottom" wrapText="0"/>
    </xf>
    <xf borderId="1" fillId="3" fontId="1" numFmtId="4" xfId="0" applyAlignment="1" applyBorder="1" applyFill="1" applyFont="1" applyNumberFormat="1">
      <alignment vertical="bottom"/>
    </xf>
    <xf borderId="1" fillId="3" fontId="7" numFmtId="4" xfId="0" applyAlignment="1" applyBorder="1" applyFill="1" applyFont="1" applyNumberFormat="1">
      <alignment vertical="bottom"/>
    </xf>
    <xf borderId="0" fillId="6" fontId="1" numFmtId="0" xfId="0" applyAlignment="1" applyFill="1" applyFont="1">
      <alignment shrinkToFit="0" vertical="bottom" wrapText="1"/>
    </xf>
    <xf borderId="1" fillId="4" fontId="2" numFmtId="4" xfId="0" applyAlignment="1" applyBorder="1" applyFill="1" applyFont="1" applyNumberFormat="1">
      <alignment vertical="bottom"/>
    </xf>
    <xf borderId="0" fillId="6" fontId="1" numFmtId="164" xfId="0" applyAlignment="1" applyFill="1" applyFont="1" applyNumberFormat="1">
      <alignment horizontal="center" vertical="bottom"/>
    </xf>
    <xf borderId="1" fillId="0" fontId="9" numFmtId="4" xfId="0" applyAlignment="1" applyBorder="1" applyFont="1" applyNumberFormat="1">
      <alignment readingOrder="0" shrinkToFit="0" vertical="bottom" wrapText="0"/>
    </xf>
    <xf borderId="1" fillId="0" fontId="2" numFmtId="165" xfId="0" applyAlignment="1" applyBorder="1" applyFont="1" applyNumberFormat="1">
      <alignment horizontal="right" readingOrder="0" vertical="bottom"/>
    </xf>
    <xf borderId="0" fillId="2" fontId="1" numFmtId="0" xfId="0" applyAlignment="1" applyFill="1" applyFont="1">
      <alignment horizontal="center" vertical="bottom"/>
    </xf>
    <xf borderId="5" fillId="0" fontId="11" numFmtId="0" xfId="0" applyAlignment="1" applyBorder="1" applyFont="1">
      <alignment shrinkToFit="0" vertical="bottom" wrapText="0"/>
    </xf>
    <xf borderId="1" fillId="6" fontId="1" numFmtId="164" xfId="0" applyAlignment="1" applyBorder="1" applyFill="1" applyFont="1" applyNumberFormat="1">
      <alignment horizontal="center" vertical="bottom"/>
    </xf>
    <xf borderId="1" fillId="0" fontId="2" numFmtId="165" xfId="0" applyAlignment="1" applyBorder="1" applyFont="1" applyNumberFormat="1">
      <alignment horizontal="right" vertical="bottom"/>
    </xf>
    <xf borderId="4" fillId="0" fontId="11" numFmtId="0" xfId="0" applyAlignment="1" applyBorder="1" applyFont="1">
      <alignment shrinkToFit="0" vertical="bottom" wrapText="0"/>
    </xf>
    <xf borderId="2" fillId="6" fontId="1" numFmtId="164" xfId="0" applyAlignment="1" applyBorder="1" applyFill="1" applyFont="1" applyNumberFormat="1">
      <alignment horizontal="center" vertical="bottom"/>
    </xf>
    <xf borderId="1" fillId="0" fontId="13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1" fillId="2" fontId="7" numFmtId="165" xfId="0" applyAlignment="1" applyBorder="1" applyFill="1" applyFont="1" applyNumberFormat="1">
      <alignment vertical="bottom"/>
    </xf>
    <xf borderId="6" fillId="2" fontId="1" numFmtId="0" xfId="0" applyAlignment="1" applyBorder="1" applyFill="1" applyFont="1">
      <alignment horizontal="center" vertical="bottom"/>
    </xf>
    <xf borderId="4" fillId="0" fontId="3" numFmtId="0" xfId="0" applyBorder="1" applyFont="1"/>
    <xf borderId="2" fillId="0" fontId="9" numFmtId="4" xfId="0" applyAlignment="1" applyBorder="1" applyFont="1" applyNumberFormat="1">
      <alignment readingOrder="0" shrinkToFit="0" vertical="bottom" wrapText="0"/>
    </xf>
    <xf borderId="1" fillId="2" fontId="2" numFmtId="4" xfId="0" applyAlignment="1" applyBorder="1" applyFill="1" applyFont="1" applyNumberFormat="1">
      <alignment horizontal="right" vertical="bottom"/>
    </xf>
    <xf borderId="5" fillId="0" fontId="2" numFmtId="0" xfId="0" applyAlignment="1" applyBorder="1" applyFont="1">
      <alignment readingOrder="0" shrinkToFit="0" vertical="bottom" wrapText="1"/>
    </xf>
    <xf borderId="1" fillId="2" fontId="2" numFmtId="165" xfId="0" applyAlignment="1" applyBorder="1" applyFill="1" applyFont="1" applyNumberFormat="1">
      <alignment horizontal="right" vertical="bottom"/>
    </xf>
    <xf borderId="5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shrinkToFit="0" vertical="bottom" wrapText="1"/>
    </xf>
    <xf borderId="5" fillId="0" fontId="2" numFmtId="165" xfId="0" applyAlignment="1" applyBorder="1" applyFont="1" applyNumberFormat="1">
      <alignment horizontal="right" readingOrder="0" vertical="bottom"/>
    </xf>
    <xf borderId="1" fillId="2" fontId="7" numFmtId="169" xfId="0" applyAlignment="1" applyBorder="1" applyFill="1" applyFont="1" applyNumberFormat="1">
      <alignment vertical="bottom"/>
    </xf>
    <xf borderId="0" fillId="0" fontId="5" numFmtId="3" xfId="0" applyAlignment="1" applyFont="1" applyNumberFormat="1">
      <alignment readingOrder="0"/>
    </xf>
    <xf borderId="5" fillId="3" fontId="7" numFmtId="4" xfId="0" applyAlignment="1" applyBorder="1" applyFill="1" applyFont="1" applyNumberFormat="1">
      <alignment vertical="bottom"/>
    </xf>
    <xf borderId="1" fillId="0" fontId="2" numFmtId="4" xfId="0" applyAlignment="1" applyBorder="1" applyFont="1" applyNumberFormat="1">
      <alignment shrinkToFit="0" vertical="bottom" wrapText="1"/>
    </xf>
    <xf borderId="1" fillId="2" fontId="2" numFmtId="4" xfId="0" applyAlignment="1" applyBorder="1" applyFill="1" applyFont="1" applyNumberFormat="1">
      <alignment horizontal="right" readingOrder="0" vertical="bottom"/>
    </xf>
    <xf borderId="1" fillId="0" fontId="1" numFmtId="0" xfId="0" applyAlignment="1" applyBorder="1" applyFont="1">
      <alignment shrinkToFit="0" vertical="bottom" wrapText="1"/>
    </xf>
    <xf borderId="1" fillId="2" fontId="7" numFmtId="4" xfId="0" applyAlignment="1" applyBorder="1" applyFill="1" applyFont="1" applyNumberFormat="1">
      <alignment vertical="bottom"/>
    </xf>
    <xf borderId="1" fillId="6" fontId="1" numFmtId="4" xfId="0" applyAlignment="1" applyBorder="1" applyFill="1" applyFont="1" applyNumberFormat="1">
      <alignment horizontal="right" shrinkToFit="0" vertical="bottom" wrapText="1"/>
    </xf>
    <xf borderId="1" fillId="2" fontId="2" numFmtId="165" xfId="0" applyAlignment="1" applyBorder="1" applyFill="1" applyFont="1" applyNumberFormat="1">
      <alignment horizontal="right" readingOrder="0" vertical="bottom"/>
    </xf>
    <xf borderId="1" fillId="6" fontId="7" numFmtId="4" xfId="0" applyAlignment="1" applyBorder="1" applyFill="1" applyFont="1" applyNumberFormat="1">
      <alignment vertical="bottom"/>
    </xf>
    <xf borderId="0" fillId="0" fontId="7" numFmtId="0" xfId="0" applyAlignment="1" applyFont="1">
      <alignment vertical="bottom"/>
    </xf>
    <xf borderId="1" fillId="6" fontId="7" numFmtId="0" xfId="0" applyAlignment="1" applyBorder="1" applyFill="1" applyFont="1">
      <alignment vertical="bottom"/>
    </xf>
    <xf borderId="1" fillId="8" fontId="7" numFmtId="0" xfId="0" applyAlignment="1" applyBorder="1" applyFill="1" applyFont="1">
      <alignment vertical="bottom"/>
    </xf>
    <xf borderId="1" fillId="0" fontId="2" numFmtId="2" xfId="0" applyAlignment="1" applyBorder="1" applyFont="1" applyNumberFormat="1">
      <alignment horizontal="right" vertical="bottom"/>
    </xf>
    <xf borderId="1" fillId="0" fontId="2" numFmtId="10" xfId="0" applyAlignment="1" applyBorder="1" applyFont="1" applyNumberFormat="1">
      <alignment horizontal="right" vertical="bottom"/>
    </xf>
    <xf borderId="1" fillId="8" fontId="7" numFmtId="2" xfId="0" applyAlignment="1" applyBorder="1" applyFill="1" applyFont="1" applyNumberFormat="1">
      <alignment vertical="bottom"/>
    </xf>
    <xf borderId="1" fillId="0" fontId="2" numFmtId="165" xfId="0" applyAlignment="1" applyBorder="1" applyFont="1" applyNumberFormat="1">
      <alignment readingOrder="0" vertical="bottom"/>
    </xf>
    <xf borderId="1" fillId="0" fontId="2" numFmtId="165" xfId="0" applyAlignment="1" applyBorder="1" applyFont="1" applyNumberFormat="1">
      <alignment vertical="bottom"/>
    </xf>
    <xf borderId="1" fillId="0" fontId="7" numFmtId="165" xfId="0" applyAlignment="1" applyBorder="1" applyFont="1" applyNumberFormat="1">
      <alignment vertical="bottom"/>
    </xf>
    <xf borderId="1" fillId="0" fontId="7" numFmtId="165" xfId="0" applyAlignment="1" applyBorder="1" applyFont="1" applyNumberFormat="1">
      <alignment readingOrder="0" vertical="bottom"/>
    </xf>
    <xf borderId="1" fillId="5" fontId="1" numFmtId="4" xfId="0" applyAlignment="1" applyBorder="1" applyFill="1" applyFont="1" applyNumberFormat="1">
      <alignment shrinkToFit="0" vertical="bottom" wrapText="1"/>
    </xf>
    <xf borderId="5" fillId="5" fontId="1" numFmtId="4" xfId="0" applyAlignment="1" applyBorder="1" applyFill="1" applyFont="1" applyNumberFormat="1">
      <alignment horizontal="right" shrinkToFit="0" vertical="bottom" wrapText="1"/>
    </xf>
    <xf borderId="0" fillId="0" fontId="7" numFmtId="165" xfId="0" applyAlignment="1" applyFont="1" applyNumberFormat="1">
      <alignment horizontal="right" vertical="bottom"/>
    </xf>
    <xf borderId="1" fillId="8" fontId="1" numFmtId="2" xfId="0" applyAlignment="1" applyBorder="1" applyFill="1" applyFont="1" applyNumberFormat="1">
      <alignment horizontal="right" vertical="bottom"/>
    </xf>
    <xf borderId="1" fillId="8" fontId="2" numFmtId="2" xfId="0" applyAlignment="1" applyBorder="1" applyFill="1" applyFont="1" applyNumberFormat="1">
      <alignment horizontal="right" vertical="bottom"/>
    </xf>
    <xf borderId="1" fillId="8" fontId="7" numFmtId="4" xfId="0" applyAlignment="1" applyBorder="1" applyFill="1" applyFont="1" applyNumberFormat="1">
      <alignment vertical="bottom"/>
    </xf>
    <xf borderId="1" fillId="8" fontId="1" numFmtId="4" xfId="0" applyAlignment="1" applyBorder="1" applyFill="1" applyFont="1" applyNumberFormat="1">
      <alignment horizontal="right" vertical="bottom"/>
    </xf>
    <xf borderId="1" fillId="8" fontId="14" numFmtId="4" xfId="0" applyAlignment="1" applyBorder="1" applyFill="1" applyFont="1" applyNumberFormat="1">
      <alignment vertical="bottom"/>
    </xf>
    <xf borderId="1" fillId="8" fontId="14" numFmtId="2" xfId="0" applyAlignment="1" applyBorder="1" applyFill="1" applyFont="1" applyNumberFormat="1">
      <alignment vertical="bottom"/>
    </xf>
    <xf borderId="1" fillId="6" fontId="1" numFmtId="49" xfId="0" applyAlignment="1" applyBorder="1" applyFill="1" applyFont="1" applyNumberFormat="1">
      <alignment shrinkToFit="0" vertical="bottom" wrapText="1"/>
    </xf>
    <xf borderId="1" fillId="0" fontId="7" numFmtId="0" xfId="0" applyAlignment="1" applyBorder="1" applyFont="1">
      <alignment readingOrder="0" vertical="bottom"/>
    </xf>
    <xf borderId="1" fillId="0" fontId="1" numFmtId="4" xfId="0" applyAlignment="1" applyBorder="1" applyFont="1" applyNumberFormat="1">
      <alignment horizontal="right" vertical="bottom"/>
    </xf>
    <xf borderId="0" fillId="0" fontId="5" numFmtId="3" xfId="0" applyFont="1" applyNumberFormat="1"/>
    <xf borderId="0" fillId="0" fontId="5" numFmtId="4" xfId="0" applyFont="1" applyNumberFormat="1"/>
    <xf borderId="1" fillId="0" fontId="1" numFmtId="3" xfId="0" applyAlignment="1" applyBorder="1" applyFont="1" applyNumberFormat="1">
      <alignment horizontal="right" vertical="bottom"/>
    </xf>
    <xf borderId="1" fillId="5" fontId="2" numFmtId="0" xfId="0" applyAlignment="1" applyBorder="1" applyFill="1" applyFont="1">
      <alignment vertical="bottom"/>
    </xf>
    <xf borderId="0" fillId="0" fontId="1" numFmtId="3" xfId="0" applyAlignment="1" applyFont="1" applyNumberFormat="1">
      <alignment vertical="bottom"/>
    </xf>
    <xf borderId="1" fillId="6" fontId="2" numFmtId="165" xfId="0" applyAlignment="1" applyBorder="1" applyFill="1" applyFont="1" applyNumberFormat="1">
      <alignment vertical="bottom"/>
    </xf>
    <xf borderId="0" fillId="0" fontId="1" numFmtId="165" xfId="0" applyAlignment="1" applyFont="1" applyNumberFormat="1">
      <alignment vertical="bottom"/>
    </xf>
    <xf borderId="1" fillId="2" fontId="1" numFmtId="0" xfId="0" applyAlignment="1" applyBorder="1" applyFill="1" applyFont="1">
      <alignment shrinkToFit="0" vertical="bottom" wrapText="1"/>
    </xf>
    <xf borderId="2" fillId="2" fontId="1" numFmtId="10" xfId="0" applyAlignment="1" applyBorder="1" applyFill="1" applyFont="1" applyNumberFormat="1">
      <alignment horizontal="right" shrinkToFit="0" vertical="bottom" wrapText="1"/>
    </xf>
    <xf borderId="0" fillId="0" fontId="1" numFmtId="0" xfId="0" applyAlignment="1" applyFont="1">
      <alignment readingOrder="0" vertical="bottom"/>
    </xf>
    <xf borderId="0" fillId="0" fontId="1" numFmtId="167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ubhrabaran Chakraborty" id="{c670f7e6-b448-407a-8d9a-63a583fac78a}" providerId="google-sheets"/>
  <x18tc:person displayName="Shilajit Saha" id="{e3fababe-460e-4aa6-a271-5c9cceb79df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5" dT="2025-07-15T12:11:03.00" personId="{e3fababe-460e-4aa6-a271-5c9cceb79dfb}" id="{71beedfc-505f-4941-bb74-07c8fce1a395}" done="0">
    <x18tc:text xml:space="preserve">4000 DG Charges paid through petty cash</x18tc:text>
  </x18tc:threadedComment>
  <x18tc:threadedComment ref="H22" dT="2026-01-15T06:01:20.00" personId="{e3fababe-460e-4aa6-a271-5c9cceb79dfb}" id="{1639b73e-d554-4d23-a57e-fffddce1e3a7}" done="0">
    <x18tc:text xml:space="preserve">35395 Lift AMC Charges from Oct 25 to Sep 26</x18tc:text>
  </x18tc:threadedComment>
  <x18tc:threadedComment ref="D25" dT="2026-01-15T06:11:58.00" personId="{e3fababe-460e-4aa6-a271-5c9cceb79dfb}" id="{7c457923-66dc-47db-9299-854a5438fb97}" done="0">
    <x18tc:text xml:space="preserve">8500 Jun 25 to Nov 25 for solid waste management</x18tc:text>
  </x18tc:threadedComment>
  <x18tc:threadedComment ref="K16" dT="2026-02-06T11:03:58.00" personId="{e3fababe-460e-4aa6-a271-5c9cceb79dfb}" id="{8e512e13-9bad-4e63-b18d-f5fd2e726460}" done="0">
    <x18tc:text xml:space="preserve">6018 from Jan to Apr 26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8" dT="2025-06-12T13:20:30.00" personId="{e3fababe-460e-4aa6-a271-5c9cceb79dfb}" id="{a65b731e-dda0-4e6d-842a-16c630ab1131}" done="0">
    <x18tc:text xml:space="preserve">As per GST RCM applicable @ 18%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3" dT="2025-10-15T12:13:28.00" personId="{e3fababe-460e-4aa6-a271-5c9cceb79dfb}" id="{a6db36a9-24fc-4cba-8563-fc6d78a06c21}" done="0">
    <x18tc:text xml:space="preserve">2124 3 months Fame Pilot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3" dT="2025-05-06T08:26:52.00" personId="{e3fababe-460e-4aa6-a271-5c9cceb79dfb}" id="{34260bb4-7eab-4981-8a17-0dcb5efbb50e}" done="0">
    <x18tc:text xml:space="preserve">2124 fame pilot for April to June 25</x18tc:text>
  </x18tc:threadedComment>
  <x18tc:threadedComment ref="C18" dT="2025-06-12T08:52:59.00" personId="{e3fababe-460e-4aa6-a271-5c9cceb79dfb}" id="{7bf956a6-ef4e-49f0-a9c4-9ff040a47e19}" done="0">
    <x18tc:text xml:space="preserve">Rent includes RCM @ 18% ...As per GST law (Commercial property taken on rent from Unregistered Party then Registered Party Need to pay GST on RCM Basis)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8" dT="2025-06-12T08:52:48.00" personId="{e3fababe-460e-4aa6-a271-5c9cceb79dfb}" id="{eae0525f-7872-4487-9bd3-c2c863ed0a91}" done="0">
    <x18tc:text xml:space="preserve">Rent includes RCM @ 18% ...As per GST law (Commercial property taken on rent from Unregistered Party then Registered Party Need to pay GST on RCM Basis)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3" dT="2025-05-05T13:13:20.00" personId="{e3fababe-460e-4aa6-a271-5c9cceb79dfb}" id="{2817788f-badb-41c5-a3bc-6b943f29dd3a}" done="0">
    <x18tc:text xml:space="preserve">2124 for April to June 25 Fame Pilot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5" dT="2026-04-08T13:51:46.00" personId="{e3fababe-460e-4aa6-a271-5c9cceb79dfb}" id="{97f27124-11bc-4552-a274-47852f15c1e8}" done="0">
    <x18tc:text xml:space="preserve">961892 from Aug 25 to Feb 26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5" dT="2025-08-13T20:15:35.00" personId="{e3fababe-460e-4aa6-a271-5c9cceb79dfb}" id="{a5d6873f-b014-41dc-8684-24d151295713}" done="0">
    <x18tc:text xml:space="preserve">39414 paid in the m/o of jul 25 for Mar and Apr 25</x18tc:text>
  </x18tc:threadedComment>
  <x18tc:threadedComment ref="I9" dT="2025-12-04T12:02:29.00" personId="{e3fababe-460e-4aa6-a271-5c9cceb79dfb}" id="{a3d4febe-e77b-4809-9f36-b4723b6778ec}" done="0">
    <x18tc:text xml:space="preserve">Only Sales upto 29/11/2025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2" dT="2025-07-15T13:31:55.00" personId="{e3fababe-460e-4aa6-a271-5c9cceb79dfb}" id="{58843063-95eb-4db6-8217-4c707c443aac}" done="0">
    <x18tc:text xml:space="preserve">11210 paid yearly to Sun Rise (20.6.25 to 19.06.26)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" dT="2025-09-19T07:18:09.00" personId="{e3fababe-460e-4aa6-a271-5c9cceb79dfb}" id="{bfc9c345-6241-4623-8e2e-ec7949f65284}" done="1">
    <x18tc:text xml:space="preserve">34567 is printing of leaf lets from Shreya Ent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" dT="2025-09-18T08:46:01.00" personId="{c670f7e6-b448-407a-8d9a-63a583fac78a}" id="{111d8446-3604-4824-b035-5b1a8a997035}" done="0">
    <x18tc:text xml:space="preserve">Kindly share details</x18tc:text>
  </x18tc:threadedComment>
  <x18tc:threadedComment ref="N4" dT="2025-09-18T08:46:41.00" personId="{c670f7e6-b448-407a-8d9a-63a583fac78a}" id="{9761a632-b640-4173-b701-61efe15104f2}" done="0">
    <x18tc:text xml:space="preserve">Kindly share details</x18tc:text>
  </x18tc:threadedComment>
  <x18tc:threadedComment ref="C5" dT="2025-09-18T08:47:24.00" personId="{c670f7e6-b448-407a-8d9a-63a583fac78a}" id="{e9ac1b71-f8c1-44a9-b3cb-b47cfb1460f4}" done="0">
    <x18tc:text xml:space="preserve">Kindly share details</x18tc:text>
  </x18tc:threadedComment>
  <x18tc:threadedComment ref="C5" dT="2025-09-19T06:50:02.00" personId="{e3fababe-460e-4aa6-a271-5c9cceb79dfb}" id="{94f35642-0c4d-4652-a05a-d4e6a870e6be}" parentId="{e9ac1b71-f8c1-44a9-b3cb-b47cfb1460f4}">
    <x18tc:text xml:space="preserve">519 HC+10605 Kaba+1510 Hc</x18tc:text>
  </x18tc:threadedComment>
  <x18tc:threadedComment ref="L9" dT="2025-09-18T08:49:28.00" personId="{c670f7e6-b448-407a-8d9a-63a583fac78a}" id="{0b893fb2-315b-45d5-adc9-3fe3019a6b99}" done="0">
    <x18tc:text xml:space="preserve">Kindly share details</x18tc:text>
  </x18tc:threadedComment>
  <x18tc:threadedComment ref="M9" dT="2025-09-18T08:49:33.00" personId="{c670f7e6-b448-407a-8d9a-63a583fac78a}" id="{ae7bc9d9-e6f9-4196-8e94-b6ea1d5cfd31}" done="0">
    <x18tc:text xml:space="preserve">Kindly share details</x18tc:text>
  </x18tc:threadedComment>
  <x18tc:threadedComment ref="I11" dT="2025-09-18T08:50:04.00" personId="{c670f7e6-b448-407a-8d9a-63a583fac78a}" id="{a4000a17-0a03-42ae-86be-782387f1b499}" done="0">
    <x18tc:text xml:space="preserve">Kindly share details</x18tc:text>
  </x18tc:threadedComment>
  <x18tc:threadedComment ref="E5" dT="2025-09-18T08:47:31.00" personId="{c670f7e6-b448-407a-8d9a-63a583fac78a}" id="{5be758cc-7c5d-4233-bccb-0622dbf1d0be}" done="0">
    <x18tc:text xml:space="preserve">Kindly share details</x18tc:text>
  </x18tc:threadedComment>
  <x18tc:threadedComment ref="F5" dT="2025-09-18T08:47:37.00" personId="{c670f7e6-b448-407a-8d9a-63a583fac78a}" id="{777360c4-7a56-4213-8b29-fcabbe878b3f}" done="0">
    <x18tc:text xml:space="preserve">Kindly share details</x18tc:text>
  </x18tc:threadedComment>
  <x18tc:threadedComment ref="N5" dT="2025-09-18T08:47:46.00" personId="{c670f7e6-b448-407a-8d9a-63a583fac78a}" id="{b240df0f-93a5-4e36-b11c-5a6d1236cf05}" done="0">
    <x18tc:text xml:space="preserve">Kindly share details</x18tc:text>
  </x18tc:threadedComment>
  <x18tc:threadedComment ref="I8" dT="2025-09-18T08:48:33.00" personId="{c670f7e6-b448-407a-8d9a-63a583fac78a}" id="{75fde7fe-beb7-4c5d-8814-b307ba0f0ebc}" done="0">
    <x18tc:text xml:space="preserve">Kindly share details</x18tc:text>
  </x18tc:threadedComment>
  <x18tc:threadedComment ref="J8" dT="2025-09-18T08:48:41.00" personId="{c670f7e6-b448-407a-8d9a-63a583fac78a}" id="{2f7e7f0c-b9b8-449f-8160-4a235e57f765}" done="0">
    <x18tc:text xml:space="preserve">Kindly share details</x18tc:text>
  </x18tc:threadedComment>
  <x18tc:threadedComment ref="K8" dT="2025-09-18T08:48:45.00" personId="{c670f7e6-b448-407a-8d9a-63a583fac78a}" id="{598517fd-297d-45a4-9cf4-67eb1417813f}" done="0">
    <x18tc:text xml:space="preserve">Kindly share details</x18tc:text>
  </x18tc:threadedComment>
  <x18tc:threadedComment ref="L8" dT="2025-09-18T08:48:51.00" personId="{c670f7e6-b448-407a-8d9a-63a583fac78a}" id="{4826192c-4c34-42f3-8415-636adf9e3f77}" done="0">
    <x18tc:text xml:space="preserve">Kindly share details</x18tc:text>
  </x18tc:threadedComment>
  <x18tc:threadedComment ref="M8" dT="2025-09-18T08:48:57.00" personId="{c670f7e6-b448-407a-8d9a-63a583fac78a}" id="{17a475fd-f9c9-4946-a8d0-beb7362297e1}" done="0">
    <x18tc:text xml:space="preserve">Kindly share details</x18tc:text>
  </x18tc:threadedComment>
  <x18tc:threadedComment ref="I9" dT="2025-09-18T08:49:11.00" personId="{c670f7e6-b448-407a-8d9a-63a583fac78a}" id="{69c11b2f-4391-4b17-b702-aa2ae435eaca}" done="0">
    <x18tc:text xml:space="preserve">Kindly share details</x18tc:text>
  </x18tc:threadedComment>
  <x18tc:threadedComment ref="J9" dT="2025-09-18T08:49:16.00" personId="{c670f7e6-b448-407a-8d9a-63a583fac78a}" id="{b841c834-a392-430d-99d3-7d3bec187904}" done="0">
    <x18tc:text xml:space="preserve">Kindly share details</x18tc:text>
  </x18tc:threadedComment>
  <x18tc:threadedComment ref="K9" dT="2025-09-18T08:49:21.00" personId="{c670f7e6-b448-407a-8d9a-63a583fac78a}" id="{3e977d50-5109-44df-a9df-0eb21d64095e}" done="0">
    <x18tc:text xml:space="preserve">Kindly share details</x18tc:text>
  </x18tc:threadedComment>
  <x18tc:threadedComment ref="E17" dT="2025-09-18T08:52:28.00" personId="{c670f7e6-b448-407a-8d9a-63a583fac78a}" id="{9e213532-8f6f-4e2a-bb95-e7453f072f4f}" done="0">
    <x18tc:text xml:space="preserve">Kindly share details</x18tc:text>
  </x18tc:threadedComment>
  <x18tc:threadedComment ref="F17" dT="2025-09-18T08:52:36.00" personId="{c670f7e6-b448-407a-8d9a-63a583fac78a}" id="{92b08409-289a-49bd-9d90-58ba31c5558d}" done="0">
    <x18tc:text xml:space="preserve">Kindly share details</x18tc:text>
  </x18tc:threadedComment>
  <x18tc:threadedComment ref="G17" dT="2025-09-18T08:52:41.00" personId="{c670f7e6-b448-407a-8d9a-63a583fac78a}" id="{56c22901-c1d3-40b1-8817-d612e5e42ea4}" done="0">
    <x18tc:text xml:space="preserve">Kindly share details</x18tc:text>
  </x18tc:threadedComment>
  <x18tc:threadedComment ref="J11" dT="2025-09-18T08:50:09.00" personId="{c670f7e6-b448-407a-8d9a-63a583fac78a}" id="{d4bd1f80-5421-4349-8833-614ca35f695a}" done="0">
    <x18tc:text xml:space="preserve">Kindly share details</x18tc:text>
  </x18tc:threadedComment>
  <x18tc:threadedComment ref="K11" dT="2025-09-18T08:50:14.00" personId="{c670f7e6-b448-407a-8d9a-63a583fac78a}" id="{fe5ab092-01ab-4fbf-a3ac-cfe4df0926f8}" done="0">
    <x18tc:text xml:space="preserve">Kindly share details</x18tc:text>
  </x18tc:threadedComment>
  <x18tc:threadedComment ref="L11" dT="2025-09-18T08:50:20.00" personId="{c670f7e6-b448-407a-8d9a-63a583fac78a}" id="{ad7fe9d1-ac0e-4a9f-b34e-cb44571bed24}" done="0">
    <x18tc:text xml:space="preserve">Kindly share details</x18tc:text>
  </x18tc:threadedComment>
  <x18tc:threadedComment ref="M11" dT="2025-09-18T08:50:24.00" personId="{c670f7e6-b448-407a-8d9a-63a583fac78a}" id="{09bb1458-fe6e-43ff-b5de-ba4964b813de}" done="0">
    <x18tc:text xml:space="preserve">Kindly share details</x18tc:text>
  </x18tc:threadedComment>
  <x18tc:threadedComment ref="D16" dT="2025-09-18T08:51:05.00" personId="{c670f7e6-b448-407a-8d9a-63a583fac78a}" id="{173c5643-d521-4270-a061-5048817acbd2}" done="0">
    <x18tc:text xml:space="preserve">Kindly share details</x18tc:text>
  </x18tc:threadedComment>
  <x18tc:threadedComment ref="E16" dT="2025-09-18T08:51:14.00" personId="{c670f7e6-b448-407a-8d9a-63a583fac78a}" id="{030a18df-93de-4519-99c7-2bfb79278005}" done="0">
    <x18tc:text xml:space="preserve">Kindly share details</x18tc:text>
  </x18tc:threadedComment>
  <x18tc:threadedComment ref="F16" dT="2025-09-18T08:51:24.00" personId="{c670f7e6-b448-407a-8d9a-63a583fac78a}" id="{04d4050e-4cce-4500-a0e9-0b859cc19ef4}" done="0">
    <x18tc:text xml:space="preserve">Kindly share details</x18tc:text>
  </x18tc:threadedComment>
  <x18tc:threadedComment ref="G16" dT="2025-09-18T08:51:30.00" personId="{c670f7e6-b448-407a-8d9a-63a583fac78a}" id="{08926333-8e83-476c-86a9-f7e180602d47}" done="0">
    <x18tc:text xml:space="preserve">Kindly share details</x18tc:text>
  </x18tc:threadedComment>
  <x18tc:threadedComment ref="L16" dT="2025-09-18T08:51:43.00" personId="{c670f7e6-b448-407a-8d9a-63a583fac78a}" id="{a07669f4-ff99-4ab2-979a-c2705c06085d}" done="0">
    <x18tc:text xml:space="preserve">Kindly share details</x18tc:text>
  </x18tc:threadedComment>
  <x18tc:threadedComment ref="C16" dT="2025-09-18T08:52:00.00" personId="{c670f7e6-b448-407a-8d9a-63a583fac78a}" id="{10732d5a-faea-4255-a87b-411670fdaa78}" done="0">
    <x18tc:text xml:space="preserve">Kindly share details</x18tc:text>
  </x18tc:threadedComment>
  <x18tc:threadedComment ref="C16" dT="2025-09-19T06:52:26.00" personId="{e3fababe-460e-4aa6-a271-5c9cceb79dfb}" id="{8f6bfd88-9eb2-4822-8ccf-920f7d8cb917}" parentId="{10732d5a-faea-4255-a87b-411670fdaa78}">
    <x18tc:text xml:space="preserve">1797 HC+ 20 HC + 550 HC</x18tc:text>
  </x18tc:threadedComment>
  <x18tc:threadedComment ref="B17" dT="2025-09-18T08:52:12.00" personId="{c670f7e6-b448-407a-8d9a-63a583fac78a}" id="{88c33a02-a799-48f4-9374-df5e7d033506}" done="0">
    <x18tc:text xml:space="preserve">Kindly share details</x18tc:text>
  </x18tc:threadedComment>
  <x18tc:threadedComment ref="C17" dT="2025-09-18T08:52:17.00" personId="{c670f7e6-b448-407a-8d9a-63a583fac78a}" id="{b333cb16-26f0-4597-bff4-4a388273af8a}" done="0">
    <x18tc:text xml:space="preserve">Kindly share details</x18tc:text>
  </x18tc:threadedComment>
  <x18tc:threadedComment ref="C17" dT="2025-09-19T06:53:00.00" personId="{e3fababe-460e-4aa6-a271-5c9cceb79dfb}" id="{1cc0c049-4c91-4472-bb19-0e20c8c6f0e5}" parentId="{b333cb16-26f0-4597-bff4-4a388273af8a}">
    <x18tc:text xml:space="preserve">840 HC +4000 HC</x18tc:text>
  </x18tc:threadedComment>
  <x18tc:threadedComment ref="D17" dT="2025-09-18T08:52:23.00" personId="{c670f7e6-b448-407a-8d9a-63a583fac78a}" id="{6cdf0dc0-fd62-494b-8750-c16af94d16d9}" done="0">
    <x18tc:text xml:space="preserve">Kindly share details</x18tc:text>
  </x18tc:threadedComment>
  <x18tc:threadedComment ref="E22" dT="2025-09-18T08:55:09.00" personId="{c670f7e6-b448-407a-8d9a-63a583fac78a}" id="{0bd6e4c0-a256-48c0-bfbf-d681f0c8de5d}" done="0">
    <x18tc:text xml:space="preserve">Kindly share details</x18tc:text>
  </x18tc:threadedComment>
  <x18tc:threadedComment ref="F22" dT="2025-09-18T08:55:19.00" personId="{c670f7e6-b448-407a-8d9a-63a583fac78a}" id="{d4e85921-74d1-4b45-854c-36159a24e440}" done="0">
    <x18tc:text xml:space="preserve">Kindly share details</x18tc:text>
  </x18tc:threadedComment>
  <x18tc:threadedComment ref="G22" dT="2025-09-18T08:55:19.00" personId="{c670f7e6-b448-407a-8d9a-63a583fac78a}" id="{1bdc4bb2-cc88-43f0-bb82-433e9d956a47}" done="0">
    <x18tc:text xml:space="preserve">Kindly share details</x18tc:text>
  </x18tc:threadedComment>
  <x18tc:threadedComment ref="H17" dT="2025-09-18T08:52:47.00" personId="{c670f7e6-b448-407a-8d9a-63a583fac78a}" id="{cba74f09-6dde-4f27-a7b4-5d69deed0663}" done="0">
    <x18tc:text xml:space="preserve">Kindly share details</x18tc:text>
  </x18tc:threadedComment>
  <x18tc:threadedComment ref="D20" dT="2025-09-18T08:53:08.00" personId="{c670f7e6-b448-407a-8d9a-63a583fac78a}" id="{374e6bc8-2a6a-4b94-b37e-294778e207ce}" done="0">
    <x18tc:text xml:space="preserve">Kindly share details</x18tc:text>
  </x18tc:threadedComment>
  <x18tc:threadedComment ref="F20" dT="2025-09-18T08:53:15.00" personId="{c670f7e6-b448-407a-8d9a-63a583fac78a}" id="{8a3b3d85-5fed-4802-8048-bcc98e0d6361}" done="0">
    <x18tc:text xml:space="preserve">Kindly share details</x18tc:text>
  </x18tc:threadedComment>
  <x18tc:threadedComment ref="H20" dT="2025-09-18T08:53:20.00" personId="{c670f7e6-b448-407a-8d9a-63a583fac78a}" id="{078eac35-ecae-45de-ae06-8c0e44fed1bf}" done="0">
    <x18tc:text xml:space="preserve">Kindly share details</x18tc:text>
  </x18tc:threadedComment>
  <x18tc:threadedComment ref="C21" dT="2025-09-18T08:53:38.00" personId="{c670f7e6-b448-407a-8d9a-63a583fac78a}" id="{54bbbd4d-3762-4e7f-9b3a-58bc2a97af43}" done="0">
    <x18tc:text xml:space="preserve">Kindly share details</x18tc:text>
  </x18tc:threadedComment>
  <x18tc:threadedComment ref="B21" dT="2025-09-18T08:53:43.00" personId="{c670f7e6-b448-407a-8d9a-63a583fac78a}" id="{6c9d6e1e-e4b0-4a73-98fd-96c85b5b0435}" done="0">
    <x18tc:text xml:space="preserve">Kindly share details</x18tc:text>
  </x18tc:threadedComment>
  <x18tc:threadedComment ref="D21" dT="2025-09-18T08:53:51.00" personId="{c670f7e6-b448-407a-8d9a-63a583fac78a}" id="{bfe06b1a-39d0-448b-843d-17294ff44672}" done="0">
    <x18tc:text xml:space="preserve">Kindly share details</x18tc:text>
  </x18tc:threadedComment>
  <x18tc:threadedComment ref="E21" dT="2025-09-18T08:53:56.00" personId="{c670f7e6-b448-407a-8d9a-63a583fac78a}" id="{ea64abfe-5a27-4f0c-9b6e-6fab696637b6}" done="0">
    <x18tc:text xml:space="preserve">Kindly share details</x18tc:text>
  </x18tc:threadedComment>
  <x18tc:threadedComment ref="G21" dT="2025-09-18T08:54:02.00" personId="{c670f7e6-b448-407a-8d9a-63a583fac78a}" id="{402dfc1a-6380-4420-bbc1-c834696fad3e}" done="0">
    <x18tc:text xml:space="preserve">Kindly share details</x18tc:text>
  </x18tc:threadedComment>
  <x18tc:threadedComment ref="I21" dT="2025-09-18T08:54:21.00" personId="{c670f7e6-b448-407a-8d9a-63a583fac78a}" id="{179a68a2-08f6-49bf-90df-cbc45a3d3a5b}" done="0">
    <x18tc:text xml:space="preserve">Kindly share details</x18tc:text>
  </x18tc:threadedComment>
  <x18tc:threadedComment ref="K21" dT="2025-09-18T08:54:29.00" personId="{c670f7e6-b448-407a-8d9a-63a583fac78a}" id="{e78440cd-6006-4bf8-828e-c9a959789270}" done="0">
    <x18tc:text xml:space="preserve">Kindly share details</x18tc:text>
  </x18tc:threadedComment>
  <x18tc:threadedComment ref="L21" dT="2025-09-18T08:54:35.00" personId="{c670f7e6-b448-407a-8d9a-63a583fac78a}" id="{64a75f19-2bbf-4f3f-b560-426d496d25b7}" done="0">
    <x18tc:text xml:space="preserve">Kindly share details</x18tc:text>
  </x18tc:threadedComment>
  <x18tc:threadedComment ref="M21" dT="2025-09-18T08:55:08.00" personId="{c670f7e6-b448-407a-8d9a-63a583fac78a}" id="{b726622b-0988-4bf7-8fc9-abafb5b97981}" done="0">
    <x18tc:text xml:space="preserve">Kindly share details</x18tc:text>
  </x18tc:threadedComment>
  <x18tc:threadedComment ref="H22" dT="2025-09-18T08:55:27.00" personId="{c670f7e6-b448-407a-8d9a-63a583fac78a}" id="{7815dba8-b8bf-4df6-959d-7a20caeb9e03}" done="0">
    <x18tc:text xml:space="preserve">Kindly share details</x18tc:text>
  </x18tc:threadedComment>
  <x18tc:threadedComment ref="I22" dT="2025-09-18T08:55:40.00" personId="{c670f7e6-b448-407a-8d9a-63a583fac78a}" id="{632cf4b6-73f1-4e14-be4d-4a43e0b1958c}" done="0">
    <x18tc:text xml:space="preserve">Kindly share details</x18tc:text>
  </x18tc:threadedComment>
  <x18tc:threadedComment ref="J22" dT="2025-09-18T08:55:41.00" personId="{c670f7e6-b448-407a-8d9a-63a583fac78a}" id="{675f760c-d9bd-4463-87a3-6eddfe224d4c}" done="0">
    <x18tc:text xml:space="preserve">Kindly share details</x18tc:text>
  </x18tc:threadedComment>
  <x18tc:threadedComment ref="K22" dT="2025-09-18T08:55:42.00" personId="{c670f7e6-b448-407a-8d9a-63a583fac78a}" id="{57af805b-a8b4-4b79-982c-f9b4ac152612}" done="0">
    <x18tc:text xml:space="preserve">Kindly share details</x18tc:text>
  </x18tc:threadedComment>
  <x18tc:threadedComment ref="L22" dT="2025-09-18T08:55:47.00" personId="{c670f7e6-b448-407a-8d9a-63a583fac78a}" id="{ba4d98a6-706f-43da-a7eb-14795452fba9}" done="0">
    <x18tc:text xml:space="preserve">Kindly share details</x18tc:text>
  </x18tc:threadedComment>
  <x18tc:threadedComment ref="M22" dT="2025-09-18T08:55:53.00" personId="{c670f7e6-b448-407a-8d9a-63a583fac78a}" id="{36df0e2e-d112-4b6f-a309-d26893afccaf}" done="0">
    <x18tc:text xml:space="preserve">Kindly share details</x18tc:text>
  </x18tc:threadedComment>
  <x18tc:threadedComment ref="D22" dT="2025-09-18T08:56:10.00" personId="{c670f7e6-b448-407a-8d9a-63a583fac78a}" id="{460bf0ad-ae8e-4bb8-aa1a-c2ce7b6eb033}" done="0">
    <x18tc:text xml:space="preserve">Kindly share details</x18tc:text>
  </x18tc:threadedComment>
  <x18tc:threadedComment ref="B22" dT="2025-09-18T08:56:18.00" personId="{c670f7e6-b448-407a-8d9a-63a583fac78a}" id="{1fbde93e-51f3-49f7-92cf-890e0b61743d}" done="0">
    <x18tc:text xml:space="preserve">Kindly share details</x18tc:text>
  </x18tc:threadedComment>
  <x18tc:threadedComment ref="C22" dT="2025-09-18T08:56:23.00" personId="{c670f7e6-b448-407a-8d9a-63a583fac78a}" id="{3753e81a-fdb1-4418-a4b4-e775f3abaad6}" done="0">
    <x18tc:text xml:space="preserve">Kindly share details</x18tc:text>
  </x18tc:threadedComment>
  <x18tc:threadedComment ref="C22" dT="2025-09-19T07:19:38.00" personId="{e3fababe-460e-4aa6-a271-5c9cceb79dfb}" id="{5481c48d-a90a-476d-b167-26f5fe08b203}" parentId="{3753e81a-fdb1-4418-a4b4-e775f3abaad6}">
    <x18tc:text xml:space="preserve">34567 is shown as Ad Expenses.</x18tc:text>
  </x18tc:threadedComment>
  <x18tc:threadedComment ref="O31" dT="2025-09-18T08:56:37.00" personId="{c670f7e6-b448-407a-8d9a-63a583fac78a}" id="{6a6daaeb-936b-44e7-8cf3-823c2a80aa05}" done="0">
    <x18tc:text xml:space="preserve">Kindly share details</x18tc:text>
  </x18tc:threadedComment>
  <x18tc:threadedComment ref="O18" dT="2025-09-18T08:58:55.00" personId="{c670f7e6-b448-407a-8d9a-63a583fac78a}" id="{d94ad303-f68f-4c83-8c5a-493141ec3d43}" done="0">
    <x18tc:text xml:space="preserve">Kindly share details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" dT="2025-05-05T12:40:27.00" personId="{e3fababe-460e-4aa6-a271-5c9cceb79dfb}" id="{62d3454d-ac59-49a2-b081-64b088968d30}" done="0">
    <x18tc:text xml:space="preserve">22420 Security Guard Charges</x18tc:text>
  </x18tc:threadedComment>
  <x18tc:threadedComment ref="D11" dT="2025-07-15T12:58:58.00" personId="{e3fababe-460e-4aa6-a271-5c9cceb79dfb}" id="{6728321d-074e-4b55-8b05-726a36b8cd79}" done="0">
    <x18tc:text xml:space="preserve">42100 solar charges paid to CK landlord for April to June 25</x18tc:text>
  </x18tc:threadedComment>
  <x18tc:threadedComment ref="F14" dT="2025-09-16T13:49:38.00" personId="{e3fababe-460e-4aa6-a271-5c9cceb79dfb}" id="{4f1db18b-6481-426c-82f3-6affff2e50e3}" done="0">
    <x18tc:text xml:space="preserve">2 Vendor Anil Shukla &amp; Indrprastha Gas</x18tc:text>
  </x18tc:threadedComment>
  <x18tc:threadedComment ref="C5" dT="2025-09-18T06:17:09.00" personId="{e3fababe-460e-4aa6-a271-5c9cceb79dfb}" id="{4837fa1a-7905-44c8-a215-763e297dfe06}" done="0">
    <x18tc:text xml:space="preserve">addition figure stock in amount from Kol CW</x18tc:text>
  </x18tc:threadedComment>
  <x18tc:threadedComment ref="B5" dT="2025-09-18T06:17:40.00" personId="{e3fababe-460e-4aa6-a271-5c9cceb79dfb}" id="{b962843b-8c2d-49e2-9196-69b6add3df33}" done="0">
    <x18tc:text xml:space="preserve">addition figure stock in amount from Kol CW</x18tc:text>
  </x18tc:threadedComment>
  <x18tc:threadedComment ref="F5" dT="2025-09-18T06:15:31.00" personId="{e3fababe-460e-4aa6-a271-5c9cceb79dfb}" id="{94530bd5-e9c8-4fef-8e68-fed49c083b54}" done="0">
    <x18tc:text xml:space="preserve">addition figure stock in amount from Kol CW</x18tc:text>
  </x18tc:threadedComment>
  <x18tc:threadedComment ref="E5" dT="2025-09-18T06:16:47.00" personId="{e3fababe-460e-4aa6-a271-5c9cceb79dfb}" id="{8b66f600-c4cb-4bcb-aa4f-2c1ce760506f}" done="0">
    <x18tc:text xml:space="preserve">addition figure stock in amount from Kol CW</x18tc:text>
  </x18tc:threadedComment>
  <x18tc:threadedComment ref="D5" dT="2025-09-18T06:17:01.00" personId="{e3fababe-460e-4aa6-a271-5c9cceb79dfb}" id="{1a35426d-9de1-47c2-b4cd-4596dbd15a78}" done="0">
    <x18tc:text xml:space="preserve">addition figure stock in amount from Kol CW</x18tc:text>
  </x18tc:threadedComment>
  <x18tc:threadedComment ref="K15" dT="2026-02-06T14:06:52.00" personId="{e3fababe-460e-4aa6-a271-5c9cceb79dfb}" id="{072bf871-3e96-4aa5-b2d3-fa2eed1c694a}" done="0">
    <x18tc:text xml:space="preserve">21800 Vehicle Insurance for 12 months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3" dT="2025-06-13T13:14:38.00" personId="{e3fababe-460e-4aa6-a271-5c9cceb79dfb}" id="{a2b842ae-3fce-4762-a1fc-b267c7e14559}" done="0">
    <x18tc:text xml:space="preserve">Dehradun Travelling</x18tc:text>
  </x18tc:threadedComment>
  <x18tc:threadedComment ref="I4" dT="2025-12-05T11:55:44.00" personId="{e3fababe-460e-4aa6-a271-5c9cceb79dfb}" id="{1cbd2b90-5fff-4060-8029-3300ded27a51}" done="0">
    <x18tc:text xml:space="preserve">8030 House Keeoing expenses of Guest Houses</x18tc:text>
  </x18tc:threadedComment>
  <x18tc:threadedComment ref="D11" dT="2025-12-05T10:24:29.00" personId="{e3fababe-460e-4aa6-a271-5c9cceb79dfb}" id="{5406def8-fe3d-498f-a5d9-b254702dcf7e}" done="0">
    <x18tc:text xml:space="preserve">33795 Cash Pick Up Charges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6" width="12.63"/>
    <col customWidth="1" min="7" max="7" width="11.25"/>
    <col customWidth="1" min="16" max="16" width="8.13"/>
  </cols>
  <sheetData>
    <row r="1" ht="15.75" customHeight="1">
      <c r="A1" s="1"/>
      <c r="B1" s="2"/>
      <c r="C1" s="2"/>
      <c r="D1" s="2"/>
      <c r="E1" s="2"/>
      <c r="F1" s="2"/>
      <c r="G1" s="6"/>
      <c r="H1" s="2"/>
      <c r="I1" s="2"/>
      <c r="J1" s="2"/>
      <c r="K1" s="2"/>
      <c r="L1" s="2"/>
      <c r="M1" s="2"/>
      <c r="N1" s="2"/>
      <c r="O1" s="2"/>
      <c r="P1" s="2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ht="15.75" customHeight="1">
      <c r="A2" s="3" t="s">
        <v>5</v>
      </c>
      <c r="B2" s="12" t="s">
        <v>6</v>
      </c>
      <c r="C2" s="4">
        <v>45748.0</v>
      </c>
      <c r="D2" s="4">
        <v>45778.0</v>
      </c>
      <c r="E2" s="4">
        <v>45809.0</v>
      </c>
      <c r="F2" s="4">
        <v>45839.0</v>
      </c>
      <c r="G2" s="5">
        <v>45870.0</v>
      </c>
      <c r="H2" s="4">
        <v>45901.0</v>
      </c>
      <c r="I2" s="4">
        <v>45931.0</v>
      </c>
      <c r="J2" s="4">
        <v>45962.0</v>
      </c>
      <c r="K2" s="4">
        <v>45992.0</v>
      </c>
      <c r="L2" s="4">
        <v>46023.0</v>
      </c>
      <c r="M2" s="4">
        <v>46054.0</v>
      </c>
      <c r="N2" s="4">
        <v>46082.0</v>
      </c>
      <c r="O2" s="7" t="s">
        <v>3</v>
      </c>
      <c r="P2" s="9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10" t="s">
        <v>4</v>
      </c>
      <c r="B3" s="11"/>
      <c r="C3" s="11"/>
      <c r="D3" s="11"/>
      <c r="E3" s="11"/>
      <c r="F3" s="11"/>
      <c r="G3" s="13"/>
      <c r="H3" s="11"/>
      <c r="I3" s="11"/>
      <c r="J3" s="11"/>
      <c r="K3" s="11"/>
      <c r="L3" s="11"/>
      <c r="M3" s="11"/>
      <c r="N3" s="11"/>
      <c r="O3" s="11"/>
      <c r="P3" s="11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14" t="s">
        <v>7</v>
      </c>
      <c r="B4" s="17" t="s">
        <v>8</v>
      </c>
      <c r="C4" s="17">
        <f>'Noida Sec - 18'!B3+'Noida Sec -143'!B3+DLF!B3+'Faridabad Sec15'!B3+'Gurgaon Sec-15'!B3+'Gurgaon Sec - 10'!B3+'Paschim Vihar'!B3+Kalkaji!B3+CP!B3+Rohini!B3+'Model Town'!B3+'Pacific Mall'!B3</f>
        <v>993716</v>
      </c>
      <c r="D4" s="17">
        <f>'Noida Sec - 18'!C3+'Noida Sec -143'!C3+DLF!C3+'Faridabad Sec15'!C3+'Gurgaon Sec-15'!C3+'Gurgaon Sec - 10'!C3+'Paschim Vihar'!C3+Kalkaji!C3+CP!C3+Rohini!C3+'Model Town'!C3+'Pacific Mall'!C3</f>
        <v>985593.38</v>
      </c>
      <c r="E4" s="17">
        <f>'Noida Sec - 18'!D3+'Noida Sec -143'!D3+DLF!D3+'Faridabad Sec15'!D3+'Gurgaon Sec-15'!D3+'Gurgaon Sec - 10'!D3+'Paschim Vihar'!D3+Kalkaji!D3+CP!D3+Rohini!D3+'Model Town'!D3+'Pacific Mall'!D3</f>
        <v>1011915</v>
      </c>
      <c r="F4" s="17">
        <f>'Noida Sec - 18'!E3+'Noida Sec -143'!E3+DLF!E3+'Faridabad Sec15'!E3+'Gurgaon Sec-15'!E3+'Gurgaon Sec - 10'!E3+'Paschim Vihar'!E3+Kalkaji!E3+CP!E3+Rohini!E3+'Model Town'!E3+'Pacific Mall'!E3</f>
        <v>1043813.53</v>
      </c>
      <c r="G4" s="17">
        <f>'Noida Sec - 18'!F3+'Noida Sec -143'!F3+DLF!F3+'Faridabad Sec15'!F3+'Gurgaon Sec-15'!F3+'Gurgaon Sec - 10'!F3+'Paschim Vihar'!F3+Kalkaji!F3+CP!F3+Rohini!F3+'Model Town'!F3+'Pacific Mall'!F3</f>
        <v>1053063.79</v>
      </c>
      <c r="H4" s="17">
        <f>'Noida Sec - 18'!G3+'Noida Sec -143'!G3+DLF!G3+'Faridabad Sec15'!G3+'Gurgaon Sec-15'!G3+'Gurgaon Sec - 10'!G3+'Paschim Vihar'!G3+Kalkaji!G3+CP!G3+Rohini!G3+'Model Town'!G3+'Pacific Mall'!G3</f>
        <v>931666.9</v>
      </c>
      <c r="I4" s="17">
        <f>'Noida Sec - 18'!H3+'Noida Sec -143'!H3+DLF!H3+'Faridabad Sec15'!H3+'Gurgaon Sec-15'!H3+'Gurgaon Sec - 10'!H3+'Paschim Vihar'!H3+Kalkaji!H3+CP!H3+Rohini!H3+'Model Town'!H3+'Pacific Mall'!H3</f>
        <v>970596.89</v>
      </c>
      <c r="J4" s="17">
        <f>'Noida Sec - 18'!I3+'Noida Sec -143'!I3+DLF!I3+'Faridabad Sec15'!I3+'Gurgaon Sec-15'!I3+'Gurgaon Sec - 10'!I3+'Paschim Vihar'!I3+Kalkaji!I3+CP!I3+Rohini!I3+'Model Town'!I3+'Pacific Mall'!I3</f>
        <v>977614.19</v>
      </c>
      <c r="K4" s="17">
        <f>'Noida Sec - 18'!J3+'Noida Sec -143'!J3+DLF!J3+'Faridabad Sec15'!J3+'Gurgaon Sec-15'!J3+'Gurgaon Sec - 10'!J3+'Paschim Vihar'!J3+Kalkaji!J3+CP!J3+Rohini!J3+'Model Town'!J3+'Pacific Mall'!J3</f>
        <v>1023788.54</v>
      </c>
      <c r="L4" s="17">
        <f>'Noida Sec - 18'!K3+'Noida Sec -143'!K3+DLF!K3+'Faridabad Sec15'!K3+'Gurgaon Sec-15'!K3+'Gurgaon Sec - 10'!K3+'Paschim Vihar'!K3+Kalkaji!K3+CP!K3+Rohini!K3+'Model Town'!K3+'Pacific Mall'!K3</f>
        <v>1229490.7</v>
      </c>
      <c r="M4" s="17">
        <f>'Noida Sec - 18'!L3+'Noida Sec -143'!L3+DLF!L3+'Faridabad Sec15'!L3+'Gurgaon Sec-15'!L3+'Gurgaon Sec - 10'!L3+'Paschim Vihar'!L3+Kalkaji!L3+CP!L3+Rohini!L3+'Model Town'!L3+'Pacific Mall'!L3</f>
        <v>960505.19</v>
      </c>
      <c r="N4" s="17">
        <f>'Noida Sec - 18'!M3+'Noida Sec -143'!M3+DLF!M3+'Faridabad Sec15'!M3+'Gurgaon Sec-15'!M3+'Gurgaon Sec - 10'!M3+'Paschim Vihar'!M3+Kalkaji!M3+CP!M3+Rohini!M3+'Model Town'!M3+'Pacific Mall'!M3</f>
        <v>850671.5</v>
      </c>
      <c r="O4" s="18"/>
      <c r="P4" s="20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15.75" customHeight="1">
      <c r="A5" s="14" t="s">
        <v>9</v>
      </c>
      <c r="B5" s="17" t="s">
        <v>8</v>
      </c>
      <c r="C5" s="17">
        <f>'Noida Sec - 18'!B4+'Noida Sec -143'!B4+'Faridabad Sec15'!B4+DLF!B4+'Gurgaon Sec-15'!B4+'Paschim Vihar'!B4+Kalkaji!B4+CP!B4+Rohini!B4+'Model Town'!B4+'Pacific Mall'!B4+480296</f>
        <v>4466945.21</v>
      </c>
      <c r="D5" s="17">
        <f>'Noida Sec - 18'!C4+'Noida Sec -143'!C4+'Faridabad Sec15'!C4+DLF!C4+'Gurgaon Sec-15'!C4+'Paschim Vihar'!C4+Kalkaji!C4+CP!C4+Rohini!C4+'Model Town'!C4+'Pacific Mall'!C4+238551</f>
        <v>4537965.85</v>
      </c>
      <c r="E5" s="17">
        <f>'Noida Sec - 18'!D4+'Noida Sec -143'!D4+'Faridabad Sec15'!D4+DLF!D4+'Gurgaon Sec-15'!D4+'Paschim Vihar'!D4+Kalkaji!D4+CP!D4+Rohini!D4+'Model Town'!D4+'Pacific Mall'!D4+267948</f>
        <v>4576663.53</v>
      </c>
      <c r="F5" s="17">
        <f>'Noida Sec - 18'!E4+'Noida Sec -143'!E4+'Faridabad Sec15'!E4+DLF!E4+'Gurgaon Sec-15'!E4+'Paschim Vihar'!E4+Kalkaji!E4+CP!E4+Rohini!E4+'Model Town'!E4+'Pacific Mall'!E4+113974</f>
        <v>4748672.24</v>
      </c>
      <c r="G5" s="17">
        <f>'Noida Sec - 18'!F4+'Noida Sec -143'!F4+'Faridabad Sec15'!F4+DLF!F4+'Gurgaon Sec-15'!F4+'Paschim Vihar'!F4+Kalkaji!F4+CP!F4+Rohini!F4+'Model Town'!F4+'Pacific Mall'!F4+160391</f>
        <v>4564517.06</v>
      </c>
      <c r="H5" s="17">
        <f>'Noida Sec - 18'!G4+'Noida Sec -143'!G4+'Faridabad Sec15'!G4+DLF!G4+'Gurgaon Sec-15'!G4+'Paschim Vihar'!G4+Kalkaji!G4+CP!G4+Rohini!G4+'Model Town'!G4+'Pacific Mall'!G4+515868</f>
        <v>4521500.6</v>
      </c>
      <c r="I5" s="17">
        <f>'Noida Sec - 18'!H4+'Noida Sec -143'!H4+'Faridabad Sec15'!H4+DLF!H4+'Gurgaon Sec-15'!H4+'Paschim Vihar'!H4+Kalkaji!H4+CP!H4+Rohini!H4+'Model Town'!H4+'Pacific Mall'!H4+184386</f>
        <v>3978759.1</v>
      </c>
      <c r="J5" s="17">
        <f>'Noida Sec - 18'!I4+'Noida Sec -143'!I4+'Faridabad Sec15'!I4+DLF!I4+'Gurgaon Sec-15'!I4+'Paschim Vihar'!I4+Kalkaji!I4+CP!I4+Rohini!I4+'Model Town'!I4+'Pacific Mall'!I4+283112</f>
        <v>4063531.39</v>
      </c>
      <c r="K5" s="17">
        <f>'Noida Sec - 18'!J4+'Noida Sec -143'!J4+'Faridabad Sec15'!J4+DLF!J4+'Gurgaon Sec-15'!J4+'Paschim Vihar'!J4+Kalkaji!J4+CP!J4+Rohini!J4+'Model Town'!J4+'Pacific Mall'!J4+'Gurgaon Sec - 10'!J4+105978</f>
        <v>4503673.56</v>
      </c>
      <c r="L5" s="17">
        <f>'Noida Sec - 18'!K4+'Noida Sec -143'!K4+'Faridabad Sec15'!K4+DLF!K4+'Gurgaon Sec-15'!K4+'Paschim Vihar'!K4+Kalkaji!K4+CP!K4+Rohini!K4+'Model Town'!K4+'Pacific Mall'!K4+'Gurgaon Sec - 10'!K4</f>
        <v>4550618.13</v>
      </c>
      <c r="M5" s="17">
        <f>'Noida Sec - 18'!L4+'Noida Sec -143'!L4+DLF!L4+'Faridabad Sec15'!L4+'Gurgaon Sec-15'!L4+'Gurgaon Sec - 10'!L4+'Paschim Vihar'!L4+Kalkaji!L4+CP!L4+Rohini!L4+'Model Town'!L4+'Pacific Mall'!L4+461000</f>
        <v>5135833.29</v>
      </c>
      <c r="N5" s="17">
        <f>'Noida Sec - 18'!M4+'Noida Sec -143'!M4+DLF!M4+'Faridabad Sec15'!M4+'Gurgaon Sec-15'!M4+'Gurgaon Sec - 10'!M4+'Paschim Vihar'!M4+Kalkaji!M4+CP!M4+Rohini!M4+'Model Town'!M4+'Pacific Mall'!M4+'Shalimar Bagh'!M4+114362</f>
        <v>5694719.44</v>
      </c>
      <c r="O5" s="18"/>
      <c r="P5" s="20"/>
      <c r="Q5" s="8"/>
      <c r="R5" s="4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14" t="s">
        <v>10</v>
      </c>
      <c r="B6" s="17" t="s">
        <v>8</v>
      </c>
      <c r="C6" s="17">
        <f>'Noida Sec - 18'!B5+'Noida Sec -143'!B5+'Faridabad Sec15'!B5+DLF!B5+'Gurgaon Sec-15'!B5+'Paschim Vihar'!B5+Kalkaji!B5+CP!B5+Rohini!B5+'Model Town'!B5+'Pacific Mall'!B5</f>
        <v>0</v>
      </c>
      <c r="D6" s="17">
        <f>'Noida Sec - 18'!C5+'Noida Sec -143'!C5+'Faridabad Sec15'!C5+DLF!C5+'Gurgaon Sec-15'!C5+'Paschim Vihar'!C5+Kalkaji!C5+CP!C5+Rohini!C5+'Model Town'!C5+'Pacific Mall'!C5</f>
        <v>16172</v>
      </c>
      <c r="E6" s="17">
        <f>'Noida Sec - 18'!D5+'Noida Sec -143'!D5+'Faridabad Sec15'!D5+DLF!D5+'Gurgaon Sec-15'!D5+'Paschim Vihar'!D5+Kalkaji!D5+CP!D5+Rohini!D5+'Model Town'!D5+'Pacific Mall'!D5</f>
        <v>8649.27</v>
      </c>
      <c r="F6" s="17">
        <f>'Noida Sec - 18'!E5+'Noida Sec -143'!E5+'Faridabad Sec15'!E5+DLF!E5+'Gurgaon Sec-15'!E5+'Paschim Vihar'!E5+Kalkaji!E5+CP!E5+Rohini!E5+'Model Town'!E5+'Pacific Mall'!E5</f>
        <v>556</v>
      </c>
      <c r="G6" s="17">
        <f>'Noida Sec - 18'!F5+'Noida Sec -143'!F5+'Faridabad Sec15'!F5+DLF!F5+'Gurgaon Sec-15'!F5+'Paschim Vihar'!F5+Kalkaji!F5+CP!F5+Rohini!F5+'Model Town'!F5+'Pacific Mall'!F5</f>
        <v>0</v>
      </c>
      <c r="H6" s="17">
        <f>'Noida Sec - 18'!G5+'Noida Sec -143'!G5+'Faridabad Sec15'!G5+DLF!G5+'Gurgaon Sec-15'!G5+'Paschim Vihar'!G5+Kalkaji!G5+CP!G5+Rohini!G5+'Model Town'!G5+'Pacific Mall'!G5</f>
        <v>0</v>
      </c>
      <c r="I6" s="17">
        <f>'Noida Sec - 18'!H5+'Noida Sec -143'!H5+'Faridabad Sec15'!H5+DLF!H5+'Gurgaon Sec-15'!H5+'Paschim Vihar'!H5+Kalkaji!H5+CP!H5+Rohini!H5+'Model Town'!H5+'Pacific Mall'!H5</f>
        <v>0</v>
      </c>
      <c r="J6" s="17">
        <f>'Noida Sec - 18'!I5+'Noida Sec -143'!I5+'Faridabad Sec15'!I5+DLF!I5+'Gurgaon Sec-15'!I5+'Paschim Vihar'!I5+Kalkaji!I5+CP!I5+Rohini!I5+'Model Town'!I5+'Pacific Mall'!I5</f>
        <v>25336.42</v>
      </c>
      <c r="K6" s="17">
        <f>'Noida Sec - 18'!J5+'Noida Sec -143'!J5+'Faridabad Sec15'!J5+DLF!J5+'Gurgaon Sec-15'!J5+'Paschim Vihar'!J5+Kalkaji!J5+CP!J5+Rohini!J5+'Model Town'!J5+'Pacific Mall'!J5+'Gurgaon Sec - 10'!J5</f>
        <v>2081</v>
      </c>
      <c r="L6" s="17">
        <f>'Noida Sec - 18'!K5+'Noida Sec -143'!K5+'Faridabad Sec15'!K5+DLF!K5+'Gurgaon Sec-15'!K5+'Paschim Vihar'!K5+Kalkaji!K5+CP!K5+Rohini!K5+'Model Town'!K5+'Pacific Mall'!K5+'Gurgaon Sec - 10'!K5</f>
        <v>462.35</v>
      </c>
      <c r="M6" s="17">
        <f>'Noida Sec - 18'!L5+'Noida Sec -143'!L5+DLF!L5+'Faridabad Sec15'!L5+'Gurgaon Sec-15'!L5+'Gurgaon Sec - 10'!L5+'Paschim Vihar'!L5+Kalkaji!L5+CP!L5+Rohini!L5+'Model Town'!L5+'Pacific Mall'!L5</f>
        <v>43712</v>
      </c>
      <c r="N6" s="17">
        <f>'Noida Sec - 18'!M5+'Noida Sec -143'!M5+DLF!M5+'Faridabad Sec15'!M5+'Gurgaon Sec-15'!M5+'Gurgaon Sec - 10'!M5+'Paschim Vihar'!M5+Kalkaji!M5+CP!M5+Rohini!M5+'Model Town'!M5+'Pacific Mall'!M5+'Shalimar Bagh'!M5</f>
        <v>3114.98</v>
      </c>
      <c r="O6" s="18"/>
      <c r="P6" s="20"/>
      <c r="Q6" s="8"/>
      <c r="R6" s="8"/>
      <c r="S6" s="8"/>
      <c r="T6" s="8"/>
      <c r="U6" s="8"/>
      <c r="V6" s="8"/>
      <c r="W6" s="8"/>
      <c r="X6" s="8"/>
      <c r="Y6" s="49"/>
      <c r="Z6" s="8"/>
      <c r="AA6" s="8"/>
      <c r="AB6" s="8"/>
      <c r="AC6" s="8"/>
      <c r="AD6" s="8"/>
      <c r="AE6" s="8"/>
      <c r="AF6" s="8"/>
      <c r="AG6" s="8"/>
    </row>
    <row r="7" ht="15.75" customHeight="1">
      <c r="A7" s="14" t="s">
        <v>11</v>
      </c>
      <c r="B7" s="17" t="s">
        <v>8</v>
      </c>
      <c r="C7" s="17">
        <f>'Noida Sec - 18'!B6+'Noida Sec -143'!B6+'Faridabad Sec15'!B6+DLF!B6+'Gurgaon Sec-15'!B6+'Paschim Vihar'!B6+Kalkaji!B6+CP!B6+Rohini!B6+'Model Town'!B6+'Pacific Mall'!B6</f>
        <v>257019</v>
      </c>
      <c r="D7" s="17">
        <f>'Noida Sec - 18'!C6+'Noida Sec -143'!C6+'Faridabad Sec15'!C6+DLF!C6+'Gurgaon Sec-15'!C6+'Paschim Vihar'!C6+Kalkaji!C6+CP!C6+Rohini!C6+'Model Town'!C6+'Pacific Mall'!C6</f>
        <v>272145.73</v>
      </c>
      <c r="E7" s="17">
        <f>'Noida Sec - 18'!D6+'Noida Sec -143'!D6+'Faridabad Sec15'!D6+DLF!D6+'Gurgaon Sec-15'!D6+'Paschim Vihar'!D6+Kalkaji!D6+CP!D6+Rohini!D6+'Model Town'!D6+'Pacific Mall'!D6</f>
        <v>250427.5</v>
      </c>
      <c r="F7" s="17">
        <f>'Noida Sec - 18'!E6+'Noida Sec -143'!E6+'Faridabad Sec15'!E6+DLF!E6+'Gurgaon Sec-15'!E6+'Paschim Vihar'!E6+Kalkaji!E6+CP!E6+Rohini!E6+'Model Town'!E6+'Pacific Mall'!E6</f>
        <v>268883.8</v>
      </c>
      <c r="G7" s="17">
        <f>'Noida Sec - 18'!F6+'Noida Sec -143'!F6+'Faridabad Sec15'!F6+DLF!F6+'Gurgaon Sec-15'!F6+'Paschim Vihar'!F6+Kalkaji!F6+CP!F6+Rohini!F6+'Model Town'!F6+'Pacific Mall'!F6</f>
        <v>267299.42</v>
      </c>
      <c r="H7" s="17">
        <f>'Noida Sec - 18'!G6+'Noida Sec -143'!G6+'Faridabad Sec15'!G6+DLF!G6+'Gurgaon Sec-15'!G6+'Paschim Vihar'!G6+Kalkaji!G6+CP!G6+Rohini!G6+'Model Town'!G6+'Pacific Mall'!G6</f>
        <v>254022.517</v>
      </c>
      <c r="I7" s="17">
        <f>'Noida Sec - 18'!H6+'Noida Sec -143'!H6+'Faridabad Sec15'!H6+DLF!H6+'Gurgaon Sec-15'!H6+'Paschim Vihar'!H6+Kalkaji!H6+CP!H6+Rohini!H6+'Model Town'!H6+'Pacific Mall'!H6</f>
        <v>270740.17</v>
      </c>
      <c r="J7" s="17">
        <f>'Noida Sec - 18'!I6+'Noida Sec -143'!I6+'Faridabad Sec15'!I6+DLF!I6+'Gurgaon Sec-15'!I6+'Paschim Vihar'!I6+Kalkaji!I6+CP!I6+Rohini!I6+'Model Town'!I6+'Pacific Mall'!I6</f>
        <v>300905.03</v>
      </c>
      <c r="K7" s="17">
        <f>'Noida Sec - 18'!J6+'Noida Sec -143'!J6+'Faridabad Sec15'!J6+DLF!J6+'Gurgaon Sec-15'!J6+'Paschim Vihar'!J6+Kalkaji!J6+CP!J6+Rohini!J6+'Model Town'!J6+'Pacific Mall'!J6+'Gurgaon Sec - 10'!J6</f>
        <v>291445.37</v>
      </c>
      <c r="L7" s="17">
        <f>'Noida Sec - 18'!K6+'Noida Sec -143'!K6+'Faridabad Sec15'!K6+DLF!K6+'Gurgaon Sec-15'!K6+'Paschim Vihar'!K6+Kalkaji!K6+CP!K6+Rohini!K6+'Model Town'!K6+'Pacific Mall'!K6+'Gurgaon Sec - 10'!K6</f>
        <v>285924.53</v>
      </c>
      <c r="M7" s="17">
        <f>'Noida Sec - 18'!L6+'Noida Sec -143'!L6+DLF!L6+'Faridabad Sec15'!L6+'Gurgaon Sec-15'!L6+'Gurgaon Sec - 10'!L6+'Paschim Vihar'!L6+Kalkaji!L6+CP!L6+Rohini!L6+'Model Town'!L6+'Pacific Mall'!L6</f>
        <v>296116.67</v>
      </c>
      <c r="N7" s="17">
        <f>'Noida Sec - 18'!M6+'Noida Sec -143'!M6+DLF!M6+'Faridabad Sec15'!M6+'Gurgaon Sec-15'!M6+'Gurgaon Sec - 10'!M6+'Paschim Vihar'!M6+Kalkaji!M6+CP!M6+Rohini!M6+'Model Town'!M6+'Pacific Mall'!M6+'Shalimar Bagh'!M6</f>
        <v>344801.16</v>
      </c>
      <c r="O7" s="18"/>
      <c r="P7" s="20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14" t="s">
        <v>12</v>
      </c>
      <c r="B8" s="17" t="s">
        <v>8</v>
      </c>
      <c r="C8" s="17">
        <f>'Noida Sec - 18'!B7+'Noida Sec -143'!B7+DLF!B7+'Faridabad Sec15'!B7+'Gurgaon Sec-15'!B7+'Gurgaon Sec - 10'!B7+'Paschim Vihar'!B7+Kalkaji!B7+CP!B7+Rohini!B7+'Model Town'!B7+'Pacific Mall'!B7</f>
        <v>976756</v>
      </c>
      <c r="D8" s="17">
        <f>'Noida Sec - 18'!C7+'Noida Sec -143'!C7+DLF!C7+'Faridabad Sec15'!C7+'Gurgaon Sec-15'!C7+'Gurgaon Sec - 10'!C7+'Paschim Vihar'!C7+Kalkaji!C7+CP!C7+Rohini!C7+'Model Town'!C7+'Pacific Mall'!C7</f>
        <v>1011915</v>
      </c>
      <c r="E8" s="17">
        <f>'Noida Sec - 18'!D7+'Noida Sec -143'!D7+DLF!D7+'Faridabad Sec15'!D7+'Gurgaon Sec-15'!D7+'Gurgaon Sec - 10'!D7+'Paschim Vihar'!D7+Kalkaji!D7+CP!D7+Rohini!D7+'Model Town'!D7+'Pacific Mall'!D7</f>
        <v>1043813.53</v>
      </c>
      <c r="F8" s="17">
        <f>'Noida Sec - 18'!E7+'Noida Sec -143'!E7+DLF!E7+'Faridabad Sec15'!E7+'Gurgaon Sec-15'!E7+'Gurgaon Sec - 10'!E7+'Paschim Vihar'!E7+Kalkaji!E7+CP!E7+Rohini!E7+'Model Town'!E7+'Pacific Mall'!E7</f>
        <v>1053063.79</v>
      </c>
      <c r="G8" s="17">
        <f>'Noida Sec - 18'!F7+'Noida Sec -143'!F7+DLF!F7+'Faridabad Sec15'!F7+'Gurgaon Sec-15'!F7+'Gurgaon Sec - 10'!F7+'Paschim Vihar'!F7+Kalkaji!F7+CP!F7+Rohini!F7+'Model Town'!F7+'Pacific Mall'!F7</f>
        <v>931666.9</v>
      </c>
      <c r="H8" s="17">
        <f>'Noida Sec - 18'!G7+'Noida Sec -143'!G7+DLF!G7+'Faridabad Sec15'!G7+'Gurgaon Sec-15'!G7+'Gurgaon Sec - 10'!G7+'Paschim Vihar'!G7+Kalkaji!G7+CP!G7+Rohini!G7+'Model Town'!G7+'Pacific Mall'!G7</f>
        <v>970596.89</v>
      </c>
      <c r="I8" s="17">
        <f>'Noida Sec - 18'!H7+'Noida Sec -143'!H7+DLF!H7+'Faridabad Sec15'!H7+'Gurgaon Sec-15'!H7+'Gurgaon Sec - 10'!H7+'Paschim Vihar'!H7+Kalkaji!H7+CP!H7+Rohini!H7+'Model Town'!H7+'Pacific Mall'!H7</f>
        <v>977614.19</v>
      </c>
      <c r="J8" s="17">
        <f>'Noida Sec - 18'!I7+'Noida Sec -143'!I7+DLF!I7+'Faridabad Sec15'!I7+'Gurgaon Sec-15'!I7+'Gurgaon Sec - 10'!I7+'Paschim Vihar'!I7+Kalkaji!I7+CP!I7+Rohini!I7+'Model Town'!I7+'Pacific Mall'!I7</f>
        <v>1023788.54</v>
      </c>
      <c r="K8" s="17">
        <f>'Noida Sec - 18'!J7+'Noida Sec -143'!J7+DLF!J7+'Faridabad Sec15'!J7+'Gurgaon Sec-15'!J7+'Gurgaon Sec - 10'!J7+'Paschim Vihar'!J7+Kalkaji!J7+CP!J7+Rohini!J7+'Model Town'!J7+'Pacific Mall'!J7</f>
        <v>1229490.7</v>
      </c>
      <c r="L8" s="17">
        <f>'Noida Sec - 18'!K7+'Noida Sec -143'!K7+DLF!K7+'Faridabad Sec15'!K7+'Gurgaon Sec-15'!K7+'Gurgaon Sec - 10'!K7+'Paschim Vihar'!K7+Kalkaji!K7+CP!K7+Rohini!K7+'Model Town'!K7+'Pacific Mall'!K7</f>
        <v>960505.19</v>
      </c>
      <c r="M8" s="17">
        <f>'Noida Sec - 18'!L7+'Noida Sec -143'!L7+DLF!L7+'Faridabad Sec15'!L7+'Gurgaon Sec-15'!L7+'Gurgaon Sec - 10'!L7+'Paschim Vihar'!L7+Kalkaji!L7+CP!L7+Rohini!L7+'Model Town'!L7+'Pacific Mall'!L7</f>
        <v>847710.85</v>
      </c>
      <c r="N8" s="17">
        <f>'Noida Sec - 18'!M7+'Noida Sec -143'!M7+DLF!M7+'Faridabad Sec15'!M7+'Gurgaon Sec-15'!M7+'Gurgaon Sec - 10'!M7+'Paschim Vihar'!M7+Kalkaji!M7+CP!M7+Rohini!M7+'Model Town'!M7+'Pacific Mall'!M7+'Shalimar Bagh'!M7</f>
        <v>865957.47</v>
      </c>
      <c r="O8" s="18"/>
      <c r="P8" s="20"/>
      <c r="Q8" s="8"/>
      <c r="R8" s="63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5.75" customHeight="1">
      <c r="A9" s="11"/>
      <c r="B9" s="11"/>
      <c r="C9" s="11"/>
      <c r="D9" s="11"/>
      <c r="E9" s="11"/>
      <c r="F9" s="11"/>
      <c r="G9" s="13"/>
      <c r="H9" s="11"/>
      <c r="I9" s="11"/>
      <c r="J9" s="11"/>
      <c r="K9" s="11"/>
      <c r="L9" s="11"/>
      <c r="M9" s="11"/>
      <c r="N9" s="11"/>
      <c r="O9" s="11"/>
      <c r="P9" s="11"/>
      <c r="Q9" s="8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49"/>
      <c r="AE9" s="8"/>
      <c r="AF9" s="8"/>
      <c r="AG9" s="8"/>
    </row>
    <row r="10" ht="15.75" customHeight="1">
      <c r="A10" s="22" t="s">
        <v>13</v>
      </c>
      <c r="B10" s="17" t="s">
        <v>38</v>
      </c>
      <c r="C10" s="17">
        <f>'Noida Sec - 18'!B9+'Noida Sec -143'!B9+'Faridabad Sec15'!B9+DLF!B9+'Gurgaon Sec-15'!B9+'Paschim Vihar'!B9+Kalkaji!B9+CP!B9+Rohini!B9+'Model Town'!B9+'Pacific Mall'!B9+'Gurgaon Sec - 10'!B9+'Shalimar Bagh'!B9</f>
        <v>16506266.67</v>
      </c>
      <c r="D10" s="17">
        <f>'Noida Sec - 18'!C9+'Noida Sec -143'!C9+'Faridabad Sec15'!C9+DLF!C9+'Gurgaon Sec-15'!C9+'Paschim Vihar'!C9+Kalkaji!C9+CP!C9+Rohini!C9+'Model Town'!C9+'Pacific Mall'!C9+'Gurgaon Sec - 10'!C9+'Shalimar Bagh'!C9</f>
        <v>17850038.1</v>
      </c>
      <c r="E10" s="17">
        <f>'Noida Sec - 18'!D9+'Noida Sec -143'!D9+'Faridabad Sec15'!D9+DLF!D9+'Gurgaon Sec-15'!D9+'Paschim Vihar'!D9+Kalkaji!D9+CP!D9+Rohini!D9+'Model Town'!D9+'Pacific Mall'!D9+'Gurgaon Sec - 10'!D9+'Shalimar Bagh'!D9</f>
        <v>17762028.57</v>
      </c>
      <c r="F10" s="17">
        <f>'Noida Sec - 18'!E9+'Noida Sec -143'!E9+'Faridabad Sec15'!E9+DLF!E9+'Gurgaon Sec-15'!E9+'Paschim Vihar'!E9+Kalkaji!E9+CP!E9+Rohini!E9+'Model Town'!E9+'Pacific Mall'!E9+'Gurgaon Sec - 10'!E9+'Shalimar Bagh'!E9</f>
        <v>18827858.49</v>
      </c>
      <c r="G10" s="17">
        <f>'Noida Sec - 18'!F9+'Noida Sec -143'!F9+'Faridabad Sec15'!F9+DLF!F9+'Gurgaon Sec-15'!F9+'Paschim Vihar'!F9+Kalkaji!F9+CP!F9+Rohini!F9+'Model Town'!F9+'Pacific Mall'!F9+'Gurgaon Sec - 10'!F9+'Shalimar Bagh'!F9</f>
        <v>18611134.87</v>
      </c>
      <c r="H10" s="17">
        <f>'Noida Sec - 18'!G9+'Noida Sec -143'!G9+'Faridabad Sec15'!G9+DLF!G9+'Gurgaon Sec-15'!G9+'Paschim Vihar'!G9+Kalkaji!G9+CP!G9+Rohini!G9+'Model Town'!G9+'Pacific Mall'!G9+'Gurgaon Sec - 10'!G9+'Shalimar Bagh'!G9</f>
        <v>16760496.09</v>
      </c>
      <c r="I10" s="17">
        <f>'Noida Sec - 18'!H9+'Noida Sec -143'!H9+'Faridabad Sec15'!H9+DLF!H9+'Gurgaon Sec-15'!H9+'Paschim Vihar'!H9+Kalkaji!H9+CP!H9+Rohini!H9+'Model Town'!H9+'Pacific Mall'!H9+'Gurgaon Sec - 10'!H9+'Shalimar Bagh'!H9</f>
        <v>16220749.47</v>
      </c>
      <c r="J10" s="17">
        <f>'Noida Sec - 18'!I9+'Noida Sec -143'!I9+'Faridabad Sec15'!I9+DLF!I9+'Gurgaon Sec-15'!I9+'Paschim Vihar'!I9+Kalkaji!I9+CP!I9+Rohini!I9+'Model Town'!I9+'Pacific Mall'!I9+'Gurgaon Sec - 10'!I9+'Shalimar Bagh'!I9</f>
        <v>16064434.31</v>
      </c>
      <c r="K10" s="17">
        <f>'Noida Sec - 18'!J9+'Noida Sec -143'!J9+'Faridabad Sec15'!J9+DLF!J9+'Gurgaon Sec-15'!J9+'Paschim Vihar'!J9+Kalkaji!J9+CP!J9+Rohini!J9+'Model Town'!J9+'Pacific Mall'!J9+'Gurgaon Sec - 10'!J9+'Shalimar Bagh'!J9</f>
        <v>16984418.91</v>
      </c>
      <c r="L10" s="17">
        <f>'Noida Sec - 18'!K9+'Noida Sec -143'!K9+'Faridabad Sec15'!K9+DLF!K9+'Gurgaon Sec-15'!K9+'Paschim Vihar'!K9+Kalkaji!K9+CP!K9+Rohini!K9+'Model Town'!K9+'Pacific Mall'!K9+'Gurgaon Sec - 10'!K9+'Shalimar Bagh'!K9</f>
        <v>20016106.35</v>
      </c>
      <c r="M10" s="17">
        <f>'Noida Sec - 18'!L9+'Noida Sec -143'!L9+'Faridabad Sec15'!L9+DLF!L9+'Gurgaon Sec-15'!L9+'Paschim Vihar'!L9+Kalkaji!L9+CP!L9+Rohini!L9+'Model Town'!L9+'Pacific Mall'!L9+'Gurgaon Sec - 10'!L9+'Shalimar Bagh'!L9</f>
        <v>20217074.61</v>
      </c>
      <c r="N10" s="17">
        <f>'Noida Sec - 18'!M9+'Noida Sec -143'!M9+'Faridabad Sec15'!M9+DLF!M9+'Gurgaon Sec-15'!M9+'Paschim Vihar'!M9+Kalkaji!M9+CP!M9+Rohini!M9+'Model Town'!M9+'Pacific Mall'!M9+'Gurgaon Sec - 10'!M9+'Shalimar Bagh'!M9</f>
        <v>23420695.83</v>
      </c>
      <c r="O10" s="18">
        <f t="shared" ref="O10:O13" si="1">+SUM(C10:N10)</f>
        <v>219241302.3</v>
      </c>
      <c r="P10" s="20"/>
      <c r="Q10" s="58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49"/>
      <c r="AF10" s="8"/>
      <c r="AG10" s="8"/>
    </row>
    <row r="11" ht="15.75" customHeight="1">
      <c r="A11" s="22" t="s">
        <v>14</v>
      </c>
      <c r="B11" s="17" t="s">
        <v>38</v>
      </c>
      <c r="C11" s="17">
        <f>'Noida Sec - 18'!B10+'Noida Sec -143'!B10+'Faridabad Sec15'!B10+DLF!B10+'Gurgaon Sec-15'!B10+'Paschim Vihar'!B10+Kalkaji!B10+CP!B10+Rohini!B10+'Model Town'!B10+'Pacific Mall'!B10</f>
        <v>0</v>
      </c>
      <c r="D11" s="17">
        <f>'Noida Sec - 18'!C10+'Noida Sec -143'!C10+'Faridabad Sec15'!C10+DLF!C10+'Gurgaon Sec-15'!C10+'Paschim Vihar'!C10+Kalkaji!C10+CP!C10+Rohini!C10+'Model Town'!C10+'Pacific Mall'!C10</f>
        <v>0</v>
      </c>
      <c r="E11" s="17">
        <f>'Noida Sec - 18'!D10+'Noida Sec -143'!D10+'Faridabad Sec15'!D10+DLF!D10+'Gurgaon Sec-15'!D10+'Paschim Vihar'!D10+Kalkaji!D10+CP!D10+Rohini!D10+'Model Town'!D10+'Pacific Mall'!D10</f>
        <v>34020</v>
      </c>
      <c r="F11" s="17">
        <f>'Noida Sec - 18'!E10+'Noida Sec -143'!E10+'Faridabad Sec15'!E10+DLF!E10+'Gurgaon Sec-15'!E10+'Paschim Vihar'!E10+Kalkaji!E10+CP!E10+Rohini!E10+'Model Town'!E10+'Pacific Mall'!E10</f>
        <v>0</v>
      </c>
      <c r="G11" s="17">
        <f>'Noida Sec - 18'!F10+'Noida Sec -143'!F10+'Faridabad Sec15'!F10+DLF!F10+'Gurgaon Sec-15'!F10+'Paschim Vihar'!F10+Kalkaji!F10+CP!F10+Rohini!F10+'Model Town'!F10+'Pacific Mall'!F10</f>
        <v>0</v>
      </c>
      <c r="H11" s="17">
        <f>'Noida Sec - 18'!G10+'Noida Sec -143'!G10+'Faridabad Sec15'!G10+DLF!G10+'Gurgaon Sec-15'!G10+'Paschim Vihar'!G10+Kalkaji!G10+CP!G10+Rohini!G10+'Model Town'!G10+'Pacific Mall'!G10</f>
        <v>0</v>
      </c>
      <c r="I11" s="17">
        <f>'Noida Sec - 18'!H10+'Noida Sec -143'!H10+'Faridabad Sec15'!H10+DLF!H10+'Gurgaon Sec-15'!H10+'Paschim Vihar'!H10+Kalkaji!H10+CP!H10+Rohini!H10+'Model Town'!H10+'Pacific Mall'!H10</f>
        <v>0</v>
      </c>
      <c r="J11" s="17">
        <f>'Noida Sec - 18'!I10+'Noida Sec -143'!I10+'Faridabad Sec15'!I10+DLF!I10+'Gurgaon Sec-15'!I10+'Paschim Vihar'!I10+Kalkaji!I10+CP!I10+Rohini!I10+'Model Town'!I10+'Pacific Mall'!I10</f>
        <v>0</v>
      </c>
      <c r="K11" s="17">
        <f>'Noida Sec - 18'!J10+'Noida Sec -143'!J10+'Faridabad Sec15'!J10+DLF!J10+'Gurgaon Sec-15'!J10+'Paschim Vihar'!J10+Kalkaji!J10+CP!J10+Rohini!J10+'Model Town'!J10+'Pacific Mall'!J10+'Gurgaon Sec - 10'!J10</f>
        <v>0</v>
      </c>
      <c r="L11" s="17">
        <f>'Noida Sec - 18'!K10+'Noida Sec -143'!K10+'Faridabad Sec15'!K10+DLF!K10+'Gurgaon Sec-15'!K10+'Paschim Vihar'!K10+Kalkaji!K10+CP!K10+Rohini!K10+'Model Town'!K10+'Pacific Mall'!K10</f>
        <v>0</v>
      </c>
      <c r="M11" s="17">
        <f>'Noida Sec - 18'!L10+'Noida Sec -143'!L10+'Faridabad Sec15'!L10+DLF!L10+'Gurgaon Sec-15'!L10+'Paschim Vihar'!L10+Kalkaji!L10+CP!L10+Rohini!L10+'Model Town'!L10+'Pacific Mall'!L10+'Gurgaon Sec - 10'!L10+'Shalimar Bagh'!L10</f>
        <v>0</v>
      </c>
      <c r="N11" s="17">
        <f>'Noida Sec - 18'!M10+'Noida Sec -143'!M10+'Faridabad Sec15'!M10+DLF!M10+'Gurgaon Sec-15'!M10+'Paschim Vihar'!M10+Kalkaji!M10+CP!M10+Rohini!M10+'Model Town'!M10+'Pacific Mall'!M10+'Gurgaon Sec - 10'!M10+'Shalimar Bagh'!M10</f>
        <v>0</v>
      </c>
      <c r="O11" s="18">
        <f t="shared" si="1"/>
        <v>34020</v>
      </c>
      <c r="P11" s="20"/>
      <c r="Q11" s="58"/>
      <c r="R11" s="74"/>
      <c r="S11" s="74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69"/>
      <c r="AE11" s="49"/>
      <c r="AF11" s="8"/>
      <c r="AG11" s="8"/>
    </row>
    <row r="12" ht="15.75" customHeight="1">
      <c r="A12" s="22" t="s">
        <v>15</v>
      </c>
      <c r="B12" s="17" t="s">
        <v>38</v>
      </c>
      <c r="C12" s="17">
        <f>'Noida Sec - 18'!B11+'Noida Sec -143'!B11+'Faridabad Sec15'!B11+DLF!B11+'Gurgaon Sec-15'!B11+'Paschim Vihar'!B11+Kalkaji!B11+CP!B11+Rohini!B11+'Model Town'!B11+'Pacific Mall'!B11</f>
        <v>786012.6985</v>
      </c>
      <c r="D12" s="17">
        <f>'Noida Sec - 18'!C11+'Noida Sec -143'!C11+'Faridabad Sec15'!C11+DLF!C11+'Gurgaon Sec-15'!C11+'Paschim Vihar'!C11+Kalkaji!C11+CP!C11+Rohini!C11+'Model Town'!C11+'Pacific Mall'!C11</f>
        <v>850001.8145</v>
      </c>
      <c r="E12" s="17">
        <f>'Noida Sec - 18'!D11+'Noida Sec -143'!D11+'Faridabad Sec15'!D11+DLF!D11+'Gurgaon Sec-15'!D11+'Paschim Vihar'!D11+Kalkaji!D11+CP!D11+Rohini!D11+'Model Town'!D11+'Pacific Mall'!D11</f>
        <v>847430.8845</v>
      </c>
      <c r="F12" s="17">
        <f>'Noida Sec - 18'!E11+'Noida Sec -143'!E11+'Faridabad Sec15'!E11+DLF!E11+'Gurgaon Sec-15'!E11+'Paschim Vihar'!E11+Kalkaji!E11+CP!E11+Rohini!E11+'Model Town'!E11+'Pacific Mall'!E11</f>
        <v>896564.69</v>
      </c>
      <c r="G12" s="17">
        <f>'Noida Sec - 18'!F11+'Noida Sec -143'!F11+'Faridabad Sec15'!F11+DLF!F11+'Gurgaon Sec-15'!F11+'Paschim Vihar'!F11+Kalkaji!F11+CP!F11+Rohini!F11+'Model Town'!F11+'Pacific Mall'!F11</f>
        <v>886244.5175</v>
      </c>
      <c r="H12" s="17">
        <f>'Noida Sec - 18'!G11+'Noida Sec -143'!G11+'Faridabad Sec15'!G11+DLF!G11+'Gurgaon Sec-15'!G11+'Paschim Vihar'!G11+Kalkaji!G11+CP!G11+Rohini!G11+'Model Town'!G11+'Pacific Mall'!G11</f>
        <v>798118.8615</v>
      </c>
      <c r="I12" s="17">
        <f>'Noida Sec - 18'!H11+'Noida Sec -143'!H11+'Faridabad Sec15'!H11+DLF!H11+'Gurgaon Sec-15'!H11+'Paschim Vihar'!H11+Kalkaji!H11+CP!H11+Rohini!H11+'Model Town'!H11+'Pacific Mall'!H11</f>
        <v>772416.6415</v>
      </c>
      <c r="J12" s="17">
        <f>'Noida Sec - 18'!I11+'Noida Sec -143'!I11+'Faridabad Sec15'!I11+DLF!I11+'Gurgaon Sec-15'!I11+'Paschim Vihar'!I11+Kalkaji!I11+CP!I11+Rohini!I11+'Model Town'!I11+'Pacific Mall'!I11</f>
        <v>764973.0625</v>
      </c>
      <c r="K12" s="17">
        <f>'Noida Sec - 18'!J11+'Noida Sec -143'!J11+'Faridabad Sec15'!J11+DLF!J11+'Gurgaon Sec-15'!J11+'Paschim Vihar'!J11+Kalkaji!J11+CP!J11+Rohini!J11+'Model Town'!J11+'Pacific Mall'!J11+'Gurgaon Sec - 10'!J11</f>
        <v>808781.853</v>
      </c>
      <c r="L12" s="17">
        <f>'Noida Sec - 18'!K11+'Noida Sec -143'!K11+'Faridabad Sec15'!K11+DLF!K11+'Gurgaon Sec-15'!K11+'Paschim Vihar'!K11+Kalkaji!K11+CP!K11+Rohini!K11+'Model Town'!K11+'Pacific Mall'!K11</f>
        <v>920371.847</v>
      </c>
      <c r="M12" s="17">
        <f>'Noida Sec - 18'!L11+'Noida Sec -143'!L11+'Faridabad Sec15'!L11+DLF!L11+'Gurgaon Sec-15'!L11+'Paschim Vihar'!L11+Kalkaji!L11+CP!L11+Rohini!L11+'Model Town'!L11+'Pacific Mall'!L11+'Gurgaon Sec - 10'!L11+'Shalimar Bagh'!L11</f>
        <v>962717.8386</v>
      </c>
      <c r="N12" s="17">
        <f>'Noida Sec - 18'!M11+'Noida Sec -143'!M11+'Faridabad Sec15'!M11+DLF!M11+'Gurgaon Sec-15'!M11+'Paschim Vihar'!M11+Kalkaji!M11+CP!M11+Rohini!M11+'Model Town'!M11+'Pacific Mall'!M11+'Gurgaon Sec - 10'!M11+'Shalimar Bagh'!M11</f>
        <v>1115271.23</v>
      </c>
      <c r="O12" s="18">
        <f t="shared" si="1"/>
        <v>10408905.94</v>
      </c>
      <c r="P12" s="20"/>
      <c r="Q12" s="58"/>
      <c r="R12" s="74"/>
      <c r="S12" s="74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69"/>
      <c r="AE12" s="49"/>
      <c r="AF12" s="8"/>
      <c r="AG12" s="8"/>
    </row>
    <row r="13" ht="15.75" customHeight="1">
      <c r="A13" s="22" t="s">
        <v>16</v>
      </c>
      <c r="B13" s="17" t="s">
        <v>38</v>
      </c>
      <c r="C13" s="17">
        <f>'Noida Sec - 18'!B12+'Noida Sec -143'!B12+'Faridabad Sec15'!B12+DLF!B12+'Gurgaon Sec-15'!B12+'Paschim Vihar'!B12+Kalkaji!B12+CP!B12+Rohini!B12+'Model Town'!B12+'Pacific Mall'!B12</f>
        <v>1017799.89</v>
      </c>
      <c r="D13" s="17">
        <f>'Noida Sec - 18'!C12+'Noida Sec -143'!C12+'Faridabad Sec15'!C12+DLF!C12+'Gurgaon Sec-15'!C12+'Paschim Vihar'!C12+Kalkaji!C12+CP!C12+Rohini!C12+'Model Town'!C12+'Pacific Mall'!C12</f>
        <v>1203038.03</v>
      </c>
      <c r="E13" s="17">
        <f>'Noida Sec - 18'!D12+'Noida Sec -143'!D12+'Faridabad Sec15'!D12+DLF!D12+'Gurgaon Sec-15'!D12+'Paschim Vihar'!D12+Kalkaji!D12+CP!D12+Rohini!D12+'Model Town'!D12+'Pacific Mall'!D12</f>
        <v>1241370.091</v>
      </c>
      <c r="F13" s="17">
        <f>'Noida Sec - 18'!E12+'Noida Sec -143'!E12+'Faridabad Sec15'!E12+DLF!E12+'Gurgaon Sec-15'!E12+'Paschim Vihar'!E12+Kalkaji!E12+CP!E12+Rohini!E12+'Model Town'!E12+'Pacific Mall'!E12</f>
        <v>1406953.697</v>
      </c>
      <c r="G13" s="17">
        <f>'Noida Sec - 18'!F12+'Noida Sec -143'!F12+'Faridabad Sec15'!F12+DLF!F12+'Gurgaon Sec-15'!F12+'Paschim Vihar'!F12+Kalkaji!F12+CP!F12+Rohini!F12+'Model Town'!F12+'Pacific Mall'!F12</f>
        <v>1282423.056</v>
      </c>
      <c r="H13" s="17">
        <f>'Noida Sec - 18'!G12+'Noida Sec -143'!G12+'Faridabad Sec15'!G12+DLF!G12+'Gurgaon Sec-15'!G12+'Paschim Vihar'!G12+Kalkaji!G12+CP!G12+Rohini!G12+'Model Town'!G12+'Pacific Mall'!G12</f>
        <v>1162069.441</v>
      </c>
      <c r="I13" s="17">
        <f>'Noida Sec - 18'!H12+'Noida Sec -143'!H12+'Faridabad Sec15'!H12+DLF!H12+'Gurgaon Sec-15'!H12+'Paschim Vihar'!H12+Kalkaji!H12+CP!H12+Rohini!H12+'Model Town'!H12+'Pacific Mall'!H12</f>
        <v>1165725.788</v>
      </c>
      <c r="J13" s="17">
        <f>'Noida Sec - 18'!I12+'Noida Sec -143'!I12+'Faridabad Sec15'!I12+DLF!I12+'Gurgaon Sec-15'!I12+'Paschim Vihar'!I12+Kalkaji!I12+CP!I12+Rohini!I12+'Model Town'!I12+'Pacific Mall'!I12</f>
        <v>1060975.152</v>
      </c>
      <c r="K13" s="17">
        <f>'Noida Sec - 18'!J12+'Noida Sec -143'!J12+'Faridabad Sec15'!J12+DLF!J12+'Gurgaon Sec-15'!J12+'Paschim Vihar'!J12+Kalkaji!J12+CP!J12+Rohini!J12+'Model Town'!J12+'Pacific Mall'!J12+'Gurgaon Sec - 10'!J12</f>
        <v>1081776.924</v>
      </c>
      <c r="L13" s="17">
        <f>'Noida Sec - 18'!K12+'Noida Sec -143'!K12+DLF!K12+'Faridabad Sec15'!K12+'Gurgaon Sec-15'!K12+'Gurgaon Sec - 10'!K12+'Paschim Vihar'!K12+Kalkaji!K12+CP!K12+Rohini!K12+'Model Town'!K12+'Pacific Mall'!K12</f>
        <v>1296527.242</v>
      </c>
      <c r="M13" s="17">
        <f>'Noida Sec - 18'!L12+'Noida Sec -143'!L12+DLF!L12+'Faridabad Sec15'!L12+'Gurgaon Sec-15'!L12+'Gurgaon Sec - 10'!L12+'Paschim Vihar'!L12+Kalkaji!L12+CP!L12+Rohini!L12+'Model Town'!L12+'Pacific Mall'!L12</f>
        <v>1344867.586</v>
      </c>
      <c r="N13" s="17">
        <f>'Noida Sec - 18'!M12+'Noida Sec -143'!M12+'Faridabad Sec15'!M12+DLF!M12+'Gurgaon Sec-15'!M12+'Paschim Vihar'!M12+Kalkaji!M12+CP!M12+Rohini!M12+'Model Town'!M12+'Pacific Mall'!M12+'Gurgaon Sec - 10'!M12+'Shalimar Bagh'!M12</f>
        <v>1826332.184</v>
      </c>
      <c r="O13" s="18">
        <f t="shared" si="1"/>
        <v>15089859.08</v>
      </c>
      <c r="P13" s="20"/>
      <c r="Q13" s="69"/>
      <c r="R13" s="74"/>
      <c r="S13" s="74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69"/>
      <c r="AE13" s="49"/>
      <c r="AF13" s="8"/>
      <c r="AG13" s="8"/>
    </row>
    <row r="14" ht="15.75" customHeight="1">
      <c r="A14" s="80" t="s">
        <v>45</v>
      </c>
      <c r="B14" s="81"/>
      <c r="C14" s="82">
        <f t="shared" ref="C14:M14" si="2">C13/C10</f>
        <v>0.06166142293</v>
      </c>
      <c r="D14" s="82">
        <f t="shared" si="2"/>
        <v>0.06739694464</v>
      </c>
      <c r="E14" s="82">
        <f t="shared" si="2"/>
        <v>0.06988898177</v>
      </c>
      <c r="F14" s="82">
        <f t="shared" si="2"/>
        <v>0.07472722921</v>
      </c>
      <c r="G14" s="82">
        <f t="shared" si="2"/>
        <v>0.0689062255</v>
      </c>
      <c r="H14" s="82">
        <f t="shared" si="2"/>
        <v>0.06933383324</v>
      </c>
      <c r="I14" s="82">
        <f t="shared" si="2"/>
        <v>0.07186633329</v>
      </c>
      <c r="J14" s="82">
        <f t="shared" si="2"/>
        <v>0.06604497437</v>
      </c>
      <c r="K14" s="82">
        <f t="shared" si="2"/>
        <v>0.06369231292</v>
      </c>
      <c r="L14" s="82">
        <f t="shared" si="2"/>
        <v>0.0647741983</v>
      </c>
      <c r="M14" s="82">
        <f t="shared" si="2"/>
        <v>0.06652137424</v>
      </c>
      <c r="N14" s="82">
        <f>N13/(N10-N12)</f>
        <v>0.08187838684</v>
      </c>
      <c r="O14" s="84"/>
      <c r="P14" s="82"/>
      <c r="Q14" s="5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8"/>
      <c r="AF14" s="8"/>
      <c r="AG14" s="8"/>
    </row>
    <row r="15" ht="15.75" customHeight="1">
      <c r="A15" s="24" t="s">
        <v>17</v>
      </c>
      <c r="B15" s="11"/>
      <c r="C15" s="25">
        <f t="shared" ref="C15:N15" si="3">C10+C11-C12-C13</f>
        <v>14702454.08</v>
      </c>
      <c r="D15" s="25">
        <f t="shared" si="3"/>
        <v>15796998.26</v>
      </c>
      <c r="E15" s="25">
        <f t="shared" si="3"/>
        <v>15707247.6</v>
      </c>
      <c r="F15" s="26">
        <f t="shared" si="3"/>
        <v>16524340.1</v>
      </c>
      <c r="G15" s="26">
        <f t="shared" si="3"/>
        <v>16442467.29</v>
      </c>
      <c r="H15" s="26">
        <f t="shared" si="3"/>
        <v>14800307.79</v>
      </c>
      <c r="I15" s="25">
        <f t="shared" si="3"/>
        <v>14282607.04</v>
      </c>
      <c r="J15" s="25">
        <f t="shared" si="3"/>
        <v>14238486.1</v>
      </c>
      <c r="K15" s="25">
        <f t="shared" si="3"/>
        <v>15093860.14</v>
      </c>
      <c r="L15" s="25">
        <f t="shared" si="3"/>
        <v>17799207.26</v>
      </c>
      <c r="M15" s="25">
        <f t="shared" si="3"/>
        <v>17909489.19</v>
      </c>
      <c r="N15" s="25">
        <f t="shared" si="3"/>
        <v>20479092.42</v>
      </c>
      <c r="O15" s="25">
        <f t="shared" ref="O15:O32" si="5">sum(C15:N15)</f>
        <v>193776557.3</v>
      </c>
      <c r="P15" s="27">
        <f t="shared" ref="P15:P32" si="6">O15/$O$15</f>
        <v>1</v>
      </c>
      <c r="Q15" s="85" t="s">
        <v>46</v>
      </c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8"/>
      <c r="AF15" s="8"/>
      <c r="AG15" s="8"/>
    </row>
    <row r="16" ht="15.75" customHeight="1">
      <c r="A16" s="22" t="s">
        <v>18</v>
      </c>
      <c r="B16" s="86" t="s">
        <v>38</v>
      </c>
      <c r="C16" s="17">
        <f t="shared" ref="C16:N16" si="4">C4+C5-C6-C8</f>
        <v>4483905.21</v>
      </c>
      <c r="D16" s="17">
        <f t="shared" si="4"/>
        <v>4495472.23</v>
      </c>
      <c r="E16" s="17">
        <f t="shared" si="4"/>
        <v>4536115.73</v>
      </c>
      <c r="F16" s="17">
        <f t="shared" si="4"/>
        <v>4738865.98</v>
      </c>
      <c r="G16" s="17">
        <f t="shared" si="4"/>
        <v>4685913.95</v>
      </c>
      <c r="H16" s="17">
        <f t="shared" si="4"/>
        <v>4482570.61</v>
      </c>
      <c r="I16" s="17">
        <f t="shared" si="4"/>
        <v>3971741.8</v>
      </c>
      <c r="J16" s="17">
        <f t="shared" si="4"/>
        <v>3992020.62</v>
      </c>
      <c r="K16" s="17">
        <f t="shared" si="4"/>
        <v>4295890.4</v>
      </c>
      <c r="L16" s="17">
        <f t="shared" si="4"/>
        <v>4819141.29</v>
      </c>
      <c r="M16" s="17">
        <f t="shared" si="4"/>
        <v>5204915.63</v>
      </c>
      <c r="N16" s="17">
        <f t="shared" si="4"/>
        <v>5676318.49</v>
      </c>
      <c r="O16" s="18">
        <f t="shared" si="5"/>
        <v>55382871.94</v>
      </c>
      <c r="P16" s="29">
        <f t="shared" si="6"/>
        <v>0.2858079054</v>
      </c>
      <c r="Q16" s="88">
        <f t="shared" ref="Q16:Q30" si="7">AVERAGE(C16:N16)/11</f>
        <v>419567.2117</v>
      </c>
      <c r="R16" s="59"/>
      <c r="S16" s="89"/>
      <c r="T16" s="63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22" t="s">
        <v>19</v>
      </c>
      <c r="B17" s="86" t="s">
        <v>38</v>
      </c>
      <c r="C17" s="17">
        <f>'Noida Sec - 18'!B15+'Noida Sec -143'!B15+'Faridabad Sec15'!B15+DLF!B15+'Gurgaon Sec-15'!B15+'Paschim Vihar'!B15+Kalkaji!B15+CP!B15+Rohini!B15+'Model Town'!B15+'Pacific Mall'!B15</f>
        <v>976118.6667</v>
      </c>
      <c r="D17" s="17">
        <f>'Noida Sec - 18'!C15+'Noida Sec -143'!C15+'Faridabad Sec15'!C15+DLF!C15+'Gurgaon Sec-15'!C15+'Paschim Vihar'!C15+Kalkaji!C15+CP!C15+Rohini!C15+'Model Town'!C15+'Pacific Mall'!C15</f>
        <v>1053906.467</v>
      </c>
      <c r="E17" s="17">
        <f>'Noida Sec - 18'!D15+'Noida Sec -143'!D15+'Faridabad Sec15'!D15+DLF!D15+'Gurgaon Sec-15'!D15+'Paschim Vihar'!D15+Kalkaji!D15+CP!D15+Rohini!D15+'Model Town'!D15+'Pacific Mall'!D15</f>
        <v>1205832.367</v>
      </c>
      <c r="F17" s="17">
        <f>'Noida Sec - 18'!E15+'Noida Sec -143'!E15+'Faridabad Sec15'!E15+DLF!E15+'Gurgaon Sec-15'!E15+'Paschim Vihar'!E15+Kalkaji!E15+CP!E15+Rohini!E15+'Model Town'!E15+'Pacific Mall'!E15</f>
        <v>1161765.218</v>
      </c>
      <c r="G17" s="17">
        <f>'Noida Sec - 18'!F15+'Noida Sec -143'!F15+'Faridabad Sec15'!F15+DLF!F15+'Gurgaon Sec-15'!F15+'Paschim Vihar'!F15+Kalkaji!F15+CP!F15+Rohini!F15+'Model Town'!F15+'Pacific Mall'!F15</f>
        <v>1099231.778</v>
      </c>
      <c r="H17" s="17">
        <f>'Noida Sec - 18'!G15+'Noida Sec -143'!G15+'Faridabad Sec15'!G15+DLF!G15+'Gurgaon Sec-15'!G15+'Paschim Vihar'!G15+Kalkaji!G15+CP!G15+Rohini!G15+'Model Town'!G15+'Pacific Mall'!G15</f>
        <v>1034760.318</v>
      </c>
      <c r="I17" s="17">
        <f>'Noida Sec -143'!H15+'Noida Sec -143'!H15+'Faridabad Sec15'!H15+DLF!H15+'Gurgaon Sec-15'!H15+'Paschim Vihar'!H15+Kalkaji!H15+CP!H15+Rohini!H15+'Model Town'!H15+'Pacific Mall'!H15</f>
        <v>1013794.238</v>
      </c>
      <c r="J17" s="17">
        <f>'Noida Sec - 18'!I15+'Noida Sec -143'!I15+'Faridabad Sec15'!I15+DLF!I15+'Gurgaon Sec-15'!I15+'Paschim Vihar'!I15+Kalkaji!I15+CP!I15+Rohini!I15+'Model Town'!I15+'Pacific Mall'!I15</f>
        <v>798388.7381</v>
      </c>
      <c r="K17" s="17">
        <f>'Noida Sec - 18'!J15+'Noida Sec -143'!J15+'Faridabad Sec15'!J15+DLF!J15+'Gurgaon Sec-15'!J15+'Paschim Vihar'!J15+Kalkaji!J15+CP!J15+Rohini!J15+'Model Town'!J15+'Pacific Mall'!J15+'Gurgaon Sec - 10'!J15</f>
        <v>794077.7381</v>
      </c>
      <c r="L17" s="17">
        <f>'Noida Sec - 18'!K15+'Noida Sec -143'!K15+DLF!K15+'Faridabad Sec15'!K15+'Gurgaon Sec-15'!K15+'Gurgaon Sec - 10'!K15+'Paschim Vihar'!K15+Kalkaji!K15+CP!K15+Rohini!K15+'Model Town'!K15+'Pacific Mall'!K15</f>
        <v>854410.9981</v>
      </c>
      <c r="M17" s="17">
        <f>'Noida Sec - 18'!L15+'Noida Sec -143'!L15+DLF!L15+'Faridabad Sec15'!L15+'Gurgaon Sec-15'!L15+'Gurgaon Sec - 10'!L15+'Paschim Vihar'!L15+Kalkaji!L15+CP!L15+Rohini!L15+'Model Town'!L15+'Pacific Mall'!L15</f>
        <v>827419.8981</v>
      </c>
      <c r="N17" s="17">
        <f>'Noida Sec - 18'!M15+'Noida Sec -143'!M15+DLF!M15+'Faridabad Sec15'!M15+'Gurgaon Sec-15'!M15+'Gurgaon Sec - 10'!M15+'Paschim Vihar'!M15+Kalkaji!M15+CP!M15+Rohini!M15+'Model Town'!M15+'Pacific Mall'!M15</f>
        <v>960724.2867</v>
      </c>
      <c r="O17" s="18">
        <f t="shared" si="5"/>
        <v>11780430.71</v>
      </c>
      <c r="P17" s="29">
        <f t="shared" si="6"/>
        <v>0.06079389002</v>
      </c>
      <c r="Q17" s="88">
        <f t="shared" si="7"/>
        <v>89245.68721</v>
      </c>
      <c r="R17" s="69"/>
      <c r="S17" s="8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22" t="s">
        <v>20</v>
      </c>
      <c r="B18" s="86" t="s">
        <v>38</v>
      </c>
      <c r="C18" s="17">
        <f>'Noida Sec - 18'!B16+'Noida Sec -143'!B16+'Faridabad Sec15'!B16+DLF!B16+'Gurgaon Sec-15'!B16+'Paschim Vihar'!B16+Kalkaji!B16+CP!B16+Rohini!B16+'Model Town'!B16+'Pacific Mall'!B16</f>
        <v>16363</v>
      </c>
      <c r="D18" s="17">
        <f>'Noida Sec - 18'!C16+'Noida Sec -143'!C16+'Faridabad Sec15'!C16+DLF!C16+'Gurgaon Sec-15'!C16+'Paschim Vihar'!C16+Kalkaji!C16+CP!C16+Rohini!C16+'Model Town'!C16+'Pacific Mall'!C16</f>
        <v>12493</v>
      </c>
      <c r="E18" s="17">
        <f>'Noida Sec - 18'!D16+'Noida Sec -143'!D16+'Faridabad Sec15'!D16+DLF!D16+'Gurgaon Sec-15'!D16+'Paschim Vihar'!D16+Kalkaji!D16+CP!D16+Rohini!D16+'Model Town'!D16+'Pacific Mall'!D16</f>
        <v>16726</v>
      </c>
      <c r="F18" s="17">
        <f>'Noida Sec - 18'!E16+'Noida Sec -143'!E16+'Faridabad Sec15'!E16+DLF!E16+'Gurgaon Sec-15'!E16+'Paschim Vihar'!E16+Kalkaji!E16+CP!E16+Rohini!E16+'Model Town'!E16+'Pacific Mall'!E16</f>
        <v>14739.66667</v>
      </c>
      <c r="G18" s="17">
        <f>'Noida Sec - 18'!F16+'Noida Sec -143'!F16+'Faridabad Sec15'!F16+DLF!F16+'Gurgaon Sec-15'!F16+'Paschim Vihar'!F16+Kalkaji!F16+CP!F16+Rohini!F16+'Model Town'!F16+'Pacific Mall'!F16</f>
        <v>21453.66667</v>
      </c>
      <c r="H18" s="17">
        <f>'Noida Sec - 18'!G16+'Noida Sec -143'!G16+'Faridabad Sec15'!G16+DLF!G16+'Gurgaon Sec-15'!G16+'Paschim Vihar'!G16+Kalkaji!G16+CP!G16+Rohini!G16+'Model Town'!G16+'Pacific Mall'!G16</f>
        <v>17236.5</v>
      </c>
      <c r="I18" s="17">
        <f>'Noida Sec - 18'!H16+'Noida Sec -143'!H16+'Faridabad Sec15'!H16+DLF!H16+'Gurgaon Sec-15'!H16+'Paschim Vihar'!H16+Kalkaji!H16+CP!H16+Rohini!H16+'Model Town'!H16+'Pacific Mall'!H16</f>
        <v>16714.5</v>
      </c>
      <c r="J18" s="17">
        <f>'Noida Sec - 18'!I16+'Noida Sec -143'!I16+'Faridabad Sec15'!I16+DLF!I16+'Gurgaon Sec-15'!I16+'Paschim Vihar'!I16+Kalkaji!I16+CP!I16+Rohini!I16+'Model Town'!I16+'Pacific Mall'!I16</f>
        <v>16551.5</v>
      </c>
      <c r="K18" s="17">
        <f>'Noida Sec - 18'!J16+'Noida Sec -143'!J16+'Faridabad Sec15'!J16+DLF!J16+'Gurgaon Sec-15'!J16+'Paschim Vihar'!J16+Kalkaji!J16+CP!J16+Rohini!J16+'Model Town'!J16+'Pacific Mall'!J16+'Gurgaon Sec - 10'!J16</f>
        <v>18700.5</v>
      </c>
      <c r="L18" s="17">
        <f>'Noida Sec - 18'!K16+'Noida Sec -143'!K16+DLF!K16+'Faridabad Sec15'!K16+'Gurgaon Sec-15'!K16+'Gurgaon Sec - 10'!K16+'Paschim Vihar'!K16+Kalkaji!K16+CP!K16+Rohini!K16+'Model Town'!K16+'Pacific Mall'!K16</f>
        <v>17293</v>
      </c>
      <c r="M18" s="17">
        <f>'Noida Sec - 18'!L16+'Noida Sec -143'!L16+DLF!L16+'Faridabad Sec15'!L16+'Gurgaon Sec-15'!L16+'Gurgaon Sec - 10'!L16+'Paschim Vihar'!L16+Kalkaji!L16+CP!L16+Rohini!L16+'Model Town'!L16+'Pacific Mall'!L16</f>
        <v>17963.33333</v>
      </c>
      <c r="N18" s="17">
        <f>'Noida Sec - 18'!M16+'Noida Sec -143'!M16+DLF!M16+'Faridabad Sec15'!M16+'Gurgaon Sec-15'!M16+'Gurgaon Sec - 10'!M16+'Paschim Vihar'!M16+Kalkaji!M16+CP!M16+Rohini!M16+'Model Town'!M16+'Pacific Mall'!M16</f>
        <v>16958.83333</v>
      </c>
      <c r="O18" s="18">
        <f t="shared" si="5"/>
        <v>203193.5</v>
      </c>
      <c r="P18" s="29">
        <f t="shared" si="6"/>
        <v>0.001048596914</v>
      </c>
      <c r="Q18" s="88">
        <f t="shared" si="7"/>
        <v>1539.344697</v>
      </c>
      <c r="R18" s="69"/>
      <c r="S18" s="8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22" t="s">
        <v>21</v>
      </c>
      <c r="B19" s="86" t="s">
        <v>38</v>
      </c>
      <c r="C19" s="17">
        <f>'Noida Sec - 18'!B17+'Noida Sec -143'!B17+'Faridabad Sec15'!B17+DLF!B17+'Gurgaon Sec-15'!B17+'Paschim Vihar'!B17+Kalkaji!B17+CP!B17+Rohini!B17+'Model Town'!B17+'Pacific Mall'!B17</f>
        <v>457528.12</v>
      </c>
      <c r="D19" s="17">
        <f>'Noida Sec - 18'!C17+'Noida Sec -143'!C17+'Faridabad Sec15'!C17+DLF!C17+'Gurgaon Sec-15'!C17+'Paschim Vihar'!C17+Kalkaji!C17+CP!C17+Rohini!C17+'Model Town'!C17+'Pacific Mall'!C17</f>
        <v>467109.22</v>
      </c>
      <c r="E19" s="17">
        <f>'Noida Sec - 18'!D17+'Noida Sec -143'!D17+'Faridabad Sec15'!D17+DLF!D17+'Gurgaon Sec-15'!D17+'Paschim Vihar'!D17+Kalkaji!D17+CP!D17+Rohini!D17+'Model Town'!D17+'Pacific Mall'!D17</f>
        <v>412683</v>
      </c>
      <c r="F19" s="17">
        <f>'Noida Sec - 18'!E17+'Noida Sec -143'!E17+'Faridabad Sec15'!E17+DLF!E17+'Gurgaon Sec-15'!E17+'Paschim Vihar'!E17+Kalkaji!E17+CP!E17+Rohini!E17+'Model Town'!E17+'Pacific Mall'!E17</f>
        <v>462577.07</v>
      </c>
      <c r="G19" s="17">
        <f>'Noida Sec - 18'!F17+'Noida Sec -143'!F17+'Faridabad Sec15'!F17+DLF!F17+'Gurgaon Sec-15'!F17+'Paschim Vihar'!F17+Kalkaji!F17+CP!F17+Rohini!F17+'Model Town'!F17+'Pacific Mall'!F17</f>
        <v>460647.17</v>
      </c>
      <c r="H19" s="17">
        <f>'Noida Sec - 18'!G17+'Noida Sec -143'!G17+'Faridabad Sec15'!G17+DLF!G17+'Gurgaon Sec-15'!G17+'Paschim Vihar'!G17+Kalkaji!G17+CP!G17+Rohini!G17+'Model Town'!G17+'Pacific Mall'!G17</f>
        <v>388897.66</v>
      </c>
      <c r="I19" s="17">
        <f>'Noida Sec - 18'!H17+'Noida Sec -143'!H17+'Faridabad Sec15'!H17+DLF!H17+'Gurgaon Sec-15'!H17+'Paschim Vihar'!H17+Kalkaji!H17+CP!H17+Rohini!H17+'Model Town'!H17+'Pacific Mall'!H17</f>
        <v>410212.91</v>
      </c>
      <c r="J19" s="17">
        <f>'Noida Sec - 18'!I17+'Noida Sec -143'!I17+'Faridabad Sec15'!I17+DLF!I17+'Gurgaon Sec-15'!I17+'Paschim Vihar'!I17+Kalkaji!I17+CP!I17+Rohini!I17+'Model Town'!I17+'Pacific Mall'!I17</f>
        <v>411242.41</v>
      </c>
      <c r="K19" s="17">
        <f>'Noida Sec - 18'!J17+'Noida Sec -143'!J17+'Faridabad Sec15'!J17+DLF!J17+'Gurgaon Sec-15'!J17+'Paschim Vihar'!J17+Kalkaji!J17+CP!J17+Rohini!J17+'Model Town'!J17+'Pacific Mall'!J17+'Gurgaon Sec - 10'!J17</f>
        <v>414262.84</v>
      </c>
      <c r="L19" s="17">
        <f>'Noida Sec - 18'!K17+'Noida Sec -143'!K17+DLF!K17+'Faridabad Sec15'!K17+'Gurgaon Sec-15'!K17+'Gurgaon Sec - 10'!K17+'Paschim Vihar'!K17+Kalkaji!K17+CP!K17+Rohini!K17+'Model Town'!K17+'Pacific Mall'!K17</f>
        <v>469708.5</v>
      </c>
      <c r="M19" s="17">
        <f>'Noida Sec - 18'!L17+'Noida Sec -143'!L17+DLF!L17+'Faridabad Sec15'!L17+'Gurgaon Sec-15'!L17+'Gurgaon Sec - 10'!L17+'Paschim Vihar'!L17+Kalkaji!L17+CP!L17+Rohini!L17+'Model Town'!L17+'Pacific Mall'!L17</f>
        <v>414365</v>
      </c>
      <c r="N19" s="17">
        <f>'Noida Sec - 18'!M17+'Noida Sec -143'!M17+DLF!M17+'Faridabad Sec15'!M17+'Gurgaon Sec-15'!M17+'Gurgaon Sec - 10'!M17+'Paschim Vihar'!M17+Kalkaji!M17+CP!M17+Rohini!M17+'Model Town'!M17+'Pacific Mall'!M17</f>
        <v>569160.5</v>
      </c>
      <c r="O19" s="18">
        <f t="shared" si="5"/>
        <v>5338394.4</v>
      </c>
      <c r="P19" s="29">
        <f t="shared" si="6"/>
        <v>0.02754922719</v>
      </c>
      <c r="Q19" s="88">
        <f t="shared" si="7"/>
        <v>40442.38182</v>
      </c>
      <c r="R19" s="69"/>
      <c r="S19" s="89"/>
      <c r="T19" s="49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22" t="s">
        <v>22</v>
      </c>
      <c r="B20" s="86" t="s">
        <v>55</v>
      </c>
      <c r="C20" s="17">
        <f>'Noida Sec - 18'!B18+'Noida Sec -143'!B18+'Faridabad Sec15'!B18+DLF!B18+'Gurgaon Sec-15'!B18+'Paschim Vihar'!B18+Kalkaji!B18+CP!B18+Rohini!B18+'Model Town'!B18+'Pacific Mall'!B18</f>
        <v>3613825.52</v>
      </c>
      <c r="D20" s="17">
        <f>'Noida Sec - 18'!C18+'Noida Sec -143'!C18+'Faridabad Sec15'!C18+DLF!C18+'Gurgaon Sec-15'!C18+'Paschim Vihar'!C18+Kalkaji!C18+CP!C18+Rohini!C18+'Model Town'!C18+'Pacific Mall'!C18</f>
        <v>3770381.32</v>
      </c>
      <c r="E20" s="17">
        <f>'Noida Sec - 18'!D18+'Noida Sec -143'!D18+'Faridabad Sec15'!D18+DLF!D18+'Gurgaon Sec-15'!D18+'Paschim Vihar'!D18+Kalkaji!D18+CP!D18+Rohini!D18+'Model Town'!D18+'Pacific Mall'!D18</f>
        <v>3770380.52</v>
      </c>
      <c r="F20" s="17">
        <f>'Noida Sec - 18'!E18+'Noida Sec -143'!E18+'Faridabad Sec15'!E18+DLF!E18+'Gurgaon Sec-15'!E18+'Paschim Vihar'!E18+Kalkaji!E18+CP!E18+Rohini!E18+'Model Town'!E18+'Pacific Mall'!E18</f>
        <v>3770380</v>
      </c>
      <c r="G20" s="17">
        <f>'Noida Sec - 18'!F18+'Noida Sec -143'!F18+'Faridabad Sec15'!F18+DLF!F18+'Gurgaon Sec-15'!F18+'Paschim Vihar'!F18+Kalkaji!F18+CP!F18+Rohini!F18+'Model Town'!F18+'Pacific Mall'!F18</f>
        <v>3770381.32</v>
      </c>
      <c r="H20" s="17">
        <f>'Noida Sec - 18'!G18+'Noida Sec -143'!G18+'Faridabad Sec15'!G18+DLF!G18+'Gurgaon Sec-15'!G18+'Paschim Vihar'!G18+Kalkaji!G18+CP!G18+Rohini!G18+'Model Town'!G18+'Pacific Mall'!G18</f>
        <v>3770380.52</v>
      </c>
      <c r="I20" s="17">
        <f>'Noida Sec - 18'!H18+'Noida Sec -143'!H18+'Faridabad Sec15'!H18+DLF!H18+'Gurgaon Sec-15'!H18+'Paschim Vihar'!H18+Kalkaji!H18+CP!H18+Rohini!H18+'Model Town'!H18+'Pacific Mall'!H18</f>
        <v>3770381</v>
      </c>
      <c r="J20" s="17">
        <f>'Noida Sec - 18'!I18+'Noida Sec -143'!I18+'Faridabad Sec15'!I18+DLF!I18+'Gurgaon Sec-15'!I18+'Paschim Vihar'!I18+Kalkaji!I18+CP!I18+Rohini!I18+'Model Town'!I18+'Pacific Mall'!I18</f>
        <v>3770381.32</v>
      </c>
      <c r="K20" s="17">
        <f>'Noida Sec - 18'!J18+'Noida Sec -143'!J18+'Faridabad Sec15'!J18+DLF!J18+'Gurgaon Sec-15'!J18+'Paschim Vihar'!J18+Kalkaji!J18+CP!J18+Rohini!J18+'Model Town'!J18+'Pacific Mall'!J18+'Gurgaon Sec - 10'!J18</f>
        <v>3759303.27</v>
      </c>
      <c r="L20" s="17">
        <f>'Noida Sec - 18'!K18+'Noida Sec -143'!K18+DLF!K18+'Faridabad Sec15'!K18+'Gurgaon Sec-15'!K18+'Gurgaon Sec - 10'!K18+'Paschim Vihar'!K18+Kalkaji!K18+CP!K18+Rohini!K18+'Model Town'!K18+'Pacific Mall'!K18</f>
        <v>3759509.25</v>
      </c>
      <c r="M20" s="17">
        <f>'Noida Sec - 18'!L18+'Noida Sec -143'!L18+DLF!L18+'Faridabad Sec15'!L18+'Gurgaon Sec-15'!L18+'Gurgaon Sec - 10'!L18+'Paschim Vihar'!L18+Kalkaji!L18+CP!L18+Rohini!L18+'Model Town'!L18+'Pacific Mall'!L18</f>
        <v>3759898.32</v>
      </c>
      <c r="N20" s="17">
        <f>'Noida Sec - 18'!M18+'Noida Sec -143'!M18+DLF!M18+'Faridabad Sec15'!M18+'Gurgaon Sec-15'!M18+'Gurgaon Sec - 10'!M18+'Paschim Vihar'!M18+Kalkaji!M18+CP!M18+Rohini!M18+'Model Town'!M18+'Pacific Mall'!M18+'Shalimar Bagh'!M18</f>
        <v>3821494.518</v>
      </c>
      <c r="O20" s="18">
        <f t="shared" si="5"/>
        <v>45106696.88</v>
      </c>
      <c r="P20" s="29">
        <f t="shared" si="6"/>
        <v>0.2327768514</v>
      </c>
      <c r="Q20" s="88">
        <f t="shared" si="7"/>
        <v>341717.4006</v>
      </c>
      <c r="R20" s="69"/>
      <c r="S20" s="8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30" t="s">
        <v>23</v>
      </c>
      <c r="B21" s="86" t="s">
        <v>55</v>
      </c>
      <c r="C21" s="17">
        <f>'Noida Sec - 18'!B19+'Noida Sec -143'!B19+'Faridabad Sec15'!B19+DLF!B19+'Gurgaon Sec-15'!B19+'Paschim Vihar'!B19+Kalkaji!B19+CP!B19+Rohini!B19+'Model Town'!B19+'Pacific Mall'!B19</f>
        <v>0</v>
      </c>
      <c r="D21" s="17">
        <f>'Noida Sec - 18'!C19+'Noida Sec -143'!C19+'Faridabad Sec15'!C19+DLF!C19+'Gurgaon Sec-15'!C19+'Paschim Vihar'!C19+Kalkaji!C19+CP!C19+Rohini!C19+'Model Town'!C19+'Pacific Mall'!C19</f>
        <v>12761.93583</v>
      </c>
      <c r="E21" s="17">
        <f>'Noida Sec - 18'!D19+'Noida Sec -143'!D19+'Faridabad Sec15'!D19+DLF!D19+'Gurgaon Sec-15'!D19+'Paschim Vihar'!D19+Kalkaji!D19+CP!D19+Rohini!D19+'Model Town'!D19+'Pacific Mall'!D19</f>
        <v>12761.93583</v>
      </c>
      <c r="F21" s="17">
        <f>'Noida Sec - 18'!E19+'Noida Sec -143'!E19+'Faridabad Sec15'!E19+DLF!E19+'Gurgaon Sec-15'!E19+'Paschim Vihar'!E19+Kalkaji!E19+CP!E19+Rohini!E19+'Model Town'!E19+'Pacific Mall'!E19</f>
        <v>12761.93583</v>
      </c>
      <c r="G21" s="17">
        <f>'Noida Sec - 18'!F19+'Noida Sec -143'!F19+'Faridabad Sec15'!F19+DLF!F19+'Gurgaon Sec-15'!F19+'Paschim Vihar'!F19+Kalkaji!F19+CP!F19+Rohini!F19+'Model Town'!F19+'Pacific Mall'!F19</f>
        <v>12761.93583</v>
      </c>
      <c r="H21" s="17">
        <f>'Noida Sec - 18'!G19+'Noida Sec -143'!G19+'Faridabad Sec15'!G19+DLF!G19+'Gurgaon Sec-15'!G19+'Paschim Vihar'!G19+Kalkaji!G19+CP!G19+Rohini!G19+'Model Town'!G19+'Pacific Mall'!G19</f>
        <v>12761.93583</v>
      </c>
      <c r="I21" s="17">
        <f>'Noida Sec - 18'!H19+'Noida Sec -143'!H19+'Faridabad Sec15'!H19+DLF!H19+'Gurgaon Sec-15'!H19+'Paschim Vihar'!H19+Kalkaji!H19+CP!H19+Rohini!H19+'Model Town'!H19+'Pacific Mall'!H19</f>
        <v>12761.93583</v>
      </c>
      <c r="J21" s="17">
        <f>'Noida Sec - 18'!I19+'Noida Sec -143'!I19+'Faridabad Sec15'!I19+DLF!I19+'Gurgaon Sec-15'!I19+'Paschim Vihar'!I19+Kalkaji!I19+CP!I19+Rohini!I19+'Model Town'!I19+'Pacific Mall'!I19</f>
        <v>12761.93583</v>
      </c>
      <c r="K21" s="17">
        <f>'Noida Sec - 18'!J19+'Noida Sec -143'!J19+'Faridabad Sec15'!J19+DLF!J19+'Gurgaon Sec-15'!J19+'Paschim Vihar'!J19+Kalkaji!J19+CP!J19+Rohini!J19+'Model Town'!J19+'Pacific Mall'!J19+'Gurgaon Sec - 10'!J19</f>
        <v>14416.76917</v>
      </c>
      <c r="L21" s="17">
        <f>'Noida Sec - 18'!K19+'Noida Sec -143'!K19+DLF!K19+'Faridabad Sec15'!K19+'Gurgaon Sec-15'!K19+'Gurgaon Sec - 10'!K19+'Paschim Vihar'!K19+Kalkaji!K19+CP!K19+Rohini!K19+'Model Town'!K19+'Pacific Mall'!K19</f>
        <v>14416.76917</v>
      </c>
      <c r="M21" s="17">
        <f>'Noida Sec - 18'!L19+'Noida Sec -143'!L19+DLF!L19+'Faridabad Sec15'!L19+'Gurgaon Sec-15'!L19+'Gurgaon Sec - 10'!L19+'Paschim Vihar'!L19+Kalkaji!L19+CP!L19+Rohini!L19+'Model Town'!L19+'Pacific Mall'!L19</f>
        <v>14416.76917</v>
      </c>
      <c r="N21" s="17">
        <f>'Noida Sec - 18'!M19+'Noida Sec -143'!M19+DLF!M19+'Faridabad Sec15'!M19+'Gurgaon Sec-15'!M19+'Gurgaon Sec - 10'!M19+'Paschim Vihar'!M19+Kalkaji!M19+CP!M19+Rohini!M19+'Model Town'!M19+'Pacific Mall'!M19</f>
        <v>14416.76917</v>
      </c>
      <c r="O21" s="18">
        <f t="shared" si="5"/>
        <v>147000.6275</v>
      </c>
      <c r="P21" s="29">
        <f t="shared" si="6"/>
        <v>0.0007586089338</v>
      </c>
      <c r="Q21" s="88">
        <f t="shared" si="7"/>
        <v>1113.641117</v>
      </c>
      <c r="R21" s="69"/>
      <c r="S21" s="8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22" t="s">
        <v>24</v>
      </c>
      <c r="B22" s="86" t="s">
        <v>38</v>
      </c>
      <c r="C22" s="17">
        <f>'Noida Sec - 18'!B20+'Noida Sec -143'!B20+'Faridabad Sec15'!B20+DLF!B20+'Gurgaon Sec-15'!B20+'Paschim Vihar'!B20+Kalkaji!B20+CP!B20+Rohini!B20+'Model Town'!B20+'Pacific Mall'!B20</f>
        <v>83255.58333</v>
      </c>
      <c r="D22" s="17">
        <f>'Noida Sec - 18'!C20+'Noida Sec -143'!C20+'Faridabad Sec15'!C20+DLF!C20+'Gurgaon Sec-15'!C20+'Paschim Vihar'!C20+Kalkaji!C20+CP!C20+Rohini!C20+'Model Town'!C20+'Pacific Mall'!C20</f>
        <v>81166</v>
      </c>
      <c r="E22" s="17">
        <f>'Noida Sec - 18'!D20+'Noida Sec -143'!D20+'Faridabad Sec15'!D20+DLF!D20+'Gurgaon Sec-15'!D20+'Paschim Vihar'!D20+Kalkaji!D20+CP!D20+Rohini!D20+'Model Town'!D20+'Pacific Mall'!D20</f>
        <v>81166</v>
      </c>
      <c r="F22" s="17">
        <f>'Noida Sec - 18'!E20+'Noida Sec -143'!E20+'Faridabad Sec15'!E20+DLF!E20+'Gurgaon Sec-15'!E20+'Paschim Vihar'!E20+Kalkaji!E20+CP!E20+Rohini!E20+'Model Town'!E20+'Pacific Mall'!E20</f>
        <v>81166</v>
      </c>
      <c r="G22" s="17">
        <f>'Noida Sec - 18'!F20+'Noida Sec -143'!F20+'Faridabad Sec15'!F20+DLF!F20+'Gurgaon Sec-15'!F20+'Paschim Vihar'!F20+Kalkaji!F20+CP!F20+Rohini!F20+'Model Town'!F20+'Pacific Mall'!F20</f>
        <v>81166</v>
      </c>
      <c r="H22" s="17">
        <f>'Noida Sec - 18'!G20+'Noida Sec -143'!G20+'Faridabad Sec15'!G20+DLF!G20+'Gurgaon Sec-15'!G20+'Paschim Vihar'!G20+Kalkaji!G20+CP!G20+Rohini!G20+'Model Town'!G20+'Pacific Mall'!G20</f>
        <v>79076.41667</v>
      </c>
      <c r="I22" s="17">
        <f>'Noida Sec - 18'!H20+'Noida Sec -143'!H20+'Faridabad Sec15'!H20+DLF!H20+'Gurgaon Sec-15'!H20+'Paschim Vihar'!H20+Kalkaji!H20+CP!H20+Rohini!H20+'Model Town'!H20+'Pacific Mall'!H20</f>
        <v>74927.25</v>
      </c>
      <c r="J22" s="17">
        <f>'Noida Sec - 18'!I20+'Noida Sec -143'!I20+'Faridabad Sec15'!I20+DLF!I20+'Gurgaon Sec-15'!I20+'Paschim Vihar'!I20+Kalkaji!I20+CP!I20+Rohini!I20+'Model Town'!I20+'Pacific Mall'!I20</f>
        <v>74927.25</v>
      </c>
      <c r="K22" s="17">
        <f>'Noida Sec - 18'!J20+'Noida Sec -143'!J20+'Faridabad Sec15'!J20+DLF!J20+'Gurgaon Sec-15'!J20+'Paschim Vihar'!J20+Kalkaji!J20+CP!J20+Rohini!J20+'Model Town'!J20+'Pacific Mall'!J20+'Gurgaon Sec - 10'!J20</f>
        <v>82784.08333</v>
      </c>
      <c r="L22" s="17">
        <f>'Noida Sec - 18'!K20+'Noida Sec -143'!K20+DLF!K20+'Faridabad Sec15'!K20+'Gurgaon Sec-15'!K20+'Gurgaon Sec - 10'!K20+'Paschim Vihar'!K20+Kalkaji!K20+CP!K20+Rohini!K20+'Model Town'!K20+'Pacific Mall'!K20</f>
        <v>82784.08333</v>
      </c>
      <c r="M22" s="17">
        <f>'Noida Sec - 18'!L20+'Noida Sec -143'!L20+DLF!L20+'Faridabad Sec15'!L20+'Gurgaon Sec-15'!L20+'Gurgaon Sec - 10'!L20+'Paschim Vihar'!L20+Kalkaji!L20+CP!L20+Rohini!L20+'Model Town'!L20+'Pacific Mall'!L20</f>
        <v>80947.58333</v>
      </c>
      <c r="N22" s="17">
        <f>'Noida Sec - 18'!M20+'Noida Sec -143'!M20+DLF!M20+'Faridabad Sec15'!M20+'Gurgaon Sec-15'!M20+'Gurgaon Sec - 10'!M20+'Paschim Vihar'!M20+Kalkaji!M20+CP!M20+Rohini!M20+'Model Town'!M20+'Pacific Mall'!M20</f>
        <v>80947.58333</v>
      </c>
      <c r="O22" s="18">
        <f t="shared" si="5"/>
        <v>964313.8333</v>
      </c>
      <c r="P22" s="29">
        <f t="shared" si="6"/>
        <v>0.004976421539</v>
      </c>
      <c r="Q22" s="88">
        <f t="shared" si="7"/>
        <v>7305.407828</v>
      </c>
      <c r="R22" s="69"/>
      <c r="S22" s="8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22" t="s">
        <v>25</v>
      </c>
      <c r="B23" s="86" t="s">
        <v>130</v>
      </c>
      <c r="C23" s="17">
        <f>'Noida Sec - 18'!B21+'Noida Sec -143'!B21+'Faridabad Sec15'!B21+DLF!B21+'Gurgaon Sec-15'!B21+'Paschim Vihar'!B21+Kalkaji!B21+CP!B21+Rohini!B21+'Model Town'!B21+'Pacific Mall'!B21</f>
        <v>3513263.559</v>
      </c>
      <c r="D23" s="17">
        <f>'Noida Sec - 18'!C21+'Noida Sec -143'!C21+'Faridabad Sec15'!C21+DLF!C21+'Gurgaon Sec-15'!C21+'Paschim Vihar'!C21+Kalkaji!C21+CP!C21+Rohini!C21+'Model Town'!C21+'Pacific Mall'!C21</f>
        <v>3508561.163</v>
      </c>
      <c r="E23" s="17">
        <f>'Noida Sec - 18'!D21+'Noida Sec -143'!D21+'Faridabad Sec15'!D21+DLF!D21+'Gurgaon Sec-15'!D21+'Paschim Vihar'!D21+Kalkaji!D21+CP!D21+Rohini!D21+'Model Town'!D21+'Pacific Mall'!D21</f>
        <v>3615510.403</v>
      </c>
      <c r="F23" s="17">
        <f>'Noida Sec - 18'!E21+'Noida Sec -143'!E21+'Faridabad Sec15'!E21+DLF!E21+'Gurgaon Sec-15'!E21+'Paschim Vihar'!E21+Kalkaji!E21+CP!E21+Rohini!E21+'Model Town'!E21+'Pacific Mall'!E21</f>
        <v>3598622.313</v>
      </c>
      <c r="G23" s="17">
        <f>'Noida Sec - 18'!F21+'Noida Sec -143'!F21+'Faridabad Sec15'!F21+DLF!F21+'Gurgaon Sec-15'!F21+'Paschim Vihar'!F21+Kalkaji!F21+CP!F21+Rohini!F21+'Model Town'!F21+'Pacific Mall'!F21</f>
        <v>3604374.403</v>
      </c>
      <c r="H23" s="17">
        <f>'Noida Sec - 18'!G21+'Noida Sec -143'!G21+'Faridabad Sec15'!G21+DLF!G21+'Gurgaon Sec-15'!G21+'Paschim Vihar'!G21+Kalkaji!G21+CP!G21+Rohini!G21+'Model Town'!G21+'Pacific Mall'!G21</f>
        <v>3630726.053</v>
      </c>
      <c r="I23" s="17">
        <f>'Noida Sec - 18'!H21+'Noida Sec -143'!H21+'Faridabad Sec15'!H21+DLF!H21+'Gurgaon Sec-15'!H21+'Paschim Vihar'!H21+Kalkaji!H21+CP!H21+Rohini!H21+'Model Town'!H21+'Pacific Mall'!H21</f>
        <v>3557967.493</v>
      </c>
      <c r="J23" s="17">
        <f>'Noida Sec - 18'!I21+'Noida Sec -143'!I21+'Faridabad Sec15'!I21+DLF!I21+'Gurgaon Sec-15'!I21+'Paschim Vihar'!I21+Kalkaji!I21+CP!I21+Rohini!I21+'Model Town'!I21+'Pacific Mall'!I21</f>
        <v>3555118.003</v>
      </c>
      <c r="K23" s="17">
        <f>'Noida Sec - 18'!J21+'Noida Sec -143'!J21+'Faridabad Sec15'!J21+DLF!J21+'Gurgaon Sec-15'!J21+'Paschim Vihar'!J21+Kalkaji!J21+CP!J21+Rohini!J21+'Model Town'!J21+'Pacific Mall'!J21+'Gurgaon Sec - 10'!J21</f>
        <v>3714348.833</v>
      </c>
      <c r="L23" s="17">
        <f>'Noida Sec - 18'!K21+'Noida Sec -143'!K21+DLF!K21+'Faridabad Sec15'!K21+'Gurgaon Sec-15'!K21+'Gurgaon Sec - 10'!K21+'Paschim Vihar'!K21+Kalkaji!K21+CP!K21+Rohini!K21+'Model Town'!K21+'Pacific Mall'!K21</f>
        <v>3886180.833</v>
      </c>
      <c r="M23" s="17">
        <f>'Noida Sec - 18'!L21+'Noida Sec -143'!L21+DLF!L21+'Faridabad Sec15'!L21+'Gurgaon Sec-15'!L21+'Gurgaon Sec - 10'!L21+'Paschim Vihar'!L21+Kalkaji!L21+CP!L21+Rohini!L21+'Model Town'!L21+'Pacific Mall'!L21</f>
        <v>3807968.833</v>
      </c>
      <c r="N23" s="17">
        <f>'Noida Sec - 18'!M21+'Noida Sec -143'!M21+DLF!M21+'Faridabad Sec15'!M21+'Gurgaon Sec-15'!M21+'Gurgaon Sec - 10'!M21+'Paschim Vihar'!M21+Kalkaji!M21+CP!M21+Rohini!M21+'Model Town'!M21+'Pacific Mall'!M21+'Shalimar Bagh'!M21</f>
        <v>3840778.608</v>
      </c>
      <c r="O23" s="18">
        <f t="shared" si="5"/>
        <v>43833420.5</v>
      </c>
      <c r="P23" s="29">
        <f t="shared" si="6"/>
        <v>0.226206003</v>
      </c>
      <c r="Q23" s="88">
        <f t="shared" si="7"/>
        <v>332071.3674</v>
      </c>
      <c r="R23" s="69"/>
      <c r="S23" s="89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14" t="s">
        <v>26</v>
      </c>
      <c r="B24" s="86" t="s">
        <v>38</v>
      </c>
      <c r="C24" s="17">
        <f>'Noida Sec - 18'!B22+'Noida Sec -143'!B22+'Faridabad Sec15'!B22+DLF!B22+'Gurgaon Sec-15'!B22+'Paschim Vihar'!B22+Kalkaji!B22+CP!B22+Rohini!B22+'Model Town'!B22+'Pacific Mall'!B22</f>
        <v>97907.75</v>
      </c>
      <c r="D24" s="17">
        <f>'Noida Sec - 18'!C22+'Noida Sec -143'!C22+'Faridabad Sec15'!C22+DLF!C22+'Gurgaon Sec-15'!C22+'Paschim Vihar'!C22+Kalkaji!C22+CP!C22+Rohini!C22+'Model Town'!C22+'Pacific Mall'!C22</f>
        <v>98143.75</v>
      </c>
      <c r="E24" s="17">
        <f>'Noida Sec - 18'!D22+'Noida Sec -143'!D22+'Faridabad Sec15'!D22+DLF!D22+'Gurgaon Sec-15'!D22+'Paschim Vihar'!D22+Kalkaji!D22+CP!D22+Rohini!D22+'Model Town'!D22+'Pacific Mall'!D22</f>
        <v>99313.91667</v>
      </c>
      <c r="F24" s="17">
        <f>'Noida Sec - 18'!E22+'Noida Sec -143'!E22+'Faridabad Sec15'!E22+DLF!E22+'Gurgaon Sec-15'!E22+'Paschim Vihar'!E22+Kalkaji!E22+CP!E22+Rohini!E22+'Model Town'!E22+'Pacific Mall'!E22</f>
        <v>99549.91667</v>
      </c>
      <c r="G24" s="17">
        <f>'Noida Sec - 18'!F22+'Noida Sec -143'!F22+'Faridabad Sec15'!F22+DLF!F22+'Gurgaon Sec-15'!F22+'Paschim Vihar'!F22+Kalkaji!F22+CP!F22+Rohini!F22+'Model Town'!F22+'Pacific Mall'!F22</f>
        <v>102499.9167</v>
      </c>
      <c r="H24" s="17">
        <f>'Noida Sec - 18'!G22+'Noida Sec -143'!G22+'Faridabad Sec15'!G22+DLF!G22+'Gurgaon Sec-15'!G22+'Paschim Vihar'!G22+Kalkaji!G22+CP!G22+Rohini!G22+'Model Town'!G22+'Pacific Mall'!G22</f>
        <v>102499.9167</v>
      </c>
      <c r="I24" s="17">
        <f>'Noida Sec - 18'!H22+'Noida Sec -143'!H22+'Faridabad Sec15'!H22+DLF!H22+'Gurgaon Sec-15'!H22+'Paschim Vihar'!H22+Kalkaji!H22+CP!H22+Rohini!H22+'Model Town'!H22+'Pacific Mall'!H22</f>
        <v>105449.5</v>
      </c>
      <c r="J24" s="17">
        <f>'Noida Sec - 18'!I22+'Noida Sec -143'!I22+'Faridabad Sec15'!I22+DLF!I22+'Gurgaon Sec-15'!I22+'Paschim Vihar'!I22+Kalkaji!I22+CP!I22+Rohini!I22+'Model Town'!I22+'Pacific Mall'!I22</f>
        <v>100377.5</v>
      </c>
      <c r="K24" s="17">
        <f>'Noida Sec - 18'!J22+'Noida Sec -143'!J22+'Faridabad Sec15'!J22+DLF!J22+'Gurgaon Sec-15'!J22+'Paschim Vihar'!J22+Kalkaji!J22+CP!J22+Rohini!J22+'Model Town'!J22+'Pacific Mall'!J22+'Gurgaon Sec - 10'!J22</f>
        <v>100257.5</v>
      </c>
      <c r="L24" s="17">
        <f>'Noida Sec - 18'!K22+'Noida Sec -143'!K22+DLF!K22+'Faridabad Sec15'!K22+'Gurgaon Sec-15'!K22+'Gurgaon Sec - 10'!K22+'Paschim Vihar'!K22+Kalkaji!K22+CP!K22+Rohini!K22+'Model Town'!K22+'Pacific Mall'!K22</f>
        <v>104977.5</v>
      </c>
      <c r="M24" s="17">
        <f>'Noida Sec - 18'!L22+'Noida Sec -143'!L22+DLF!L22+'Faridabad Sec15'!L22+'Gurgaon Sec-15'!L22+'Gurgaon Sec - 10'!L22+'Paschim Vihar'!L22+Kalkaji!L22+CP!L22+Rohini!L22+'Model Town'!L22+'Pacific Mall'!L22</f>
        <v>104977.5</v>
      </c>
      <c r="N24" s="17">
        <f>'Noida Sec - 18'!M22+'Noida Sec -143'!M22+DLF!M22+'Faridabad Sec15'!M22+'Gurgaon Sec-15'!M22+'Gurgaon Sec - 10'!M22+'Paschim Vihar'!M22+Kalkaji!M22+CP!M22+Rohini!M22+'Model Town'!M22+'Pacific Mall'!M22</f>
        <v>104977.5</v>
      </c>
      <c r="O24" s="18">
        <f t="shared" si="5"/>
        <v>1220932.167</v>
      </c>
      <c r="P24" s="29">
        <f t="shared" si="6"/>
        <v>0.006300721738</v>
      </c>
      <c r="Q24" s="88">
        <f t="shared" si="7"/>
        <v>9249.486111</v>
      </c>
      <c r="R24" s="69"/>
      <c r="S24" s="89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33" t="s">
        <v>27</v>
      </c>
      <c r="B25" s="86" t="s">
        <v>38</v>
      </c>
      <c r="C25" s="17">
        <f>'Noida Sec - 18'!B23+'Noida Sec -143'!B23+'Faridabad Sec15'!B23+DLF!B23+'Gurgaon Sec-15'!B23+'Paschim Vihar'!B23+Kalkaji!B23+CP!B23+Rohini!B23+'Model Town'!B23+'Pacific Mall'!B23</f>
        <v>7978.25</v>
      </c>
      <c r="D25" s="17">
        <f>'Noida Sec - 18'!C23+'Noida Sec -143'!C23+'Faridabad Sec15'!C23+DLF!C23+'Gurgaon Sec-15'!C23+'Paschim Vihar'!C23+Kalkaji!C23+CP!C23+Rohini!C23+'Model Town'!C23+'Pacific Mall'!C23</f>
        <v>7978.25</v>
      </c>
      <c r="E25" s="17">
        <f>'Noida Sec - 18'!D23+'Noida Sec -143'!D23+'Faridabad Sec15'!D23+DLF!D23+'Gurgaon Sec-15'!D23+'Paschim Vihar'!D23+Kalkaji!D23+CP!D23+Rohini!D23+'Model Town'!D23+'Pacific Mall'!D23</f>
        <v>7978.25</v>
      </c>
      <c r="F25" s="17">
        <f>'Noida Sec - 18'!E23+'Noida Sec -143'!E23+'Faridabad Sec15'!E23+DLF!E23+'Gurgaon Sec-15'!E23+'Paschim Vihar'!E23+Kalkaji!E23+CP!E23+Rohini!E23+'Model Town'!E23+'Pacific Mall'!E23</f>
        <v>7978.25</v>
      </c>
      <c r="G25" s="17">
        <f>'Noida Sec - 18'!F23+'Noida Sec -143'!F23+'Faridabad Sec15'!F23+DLF!F23+'Gurgaon Sec-15'!F23+'Paschim Vihar'!F23+Kalkaji!F23+CP!F23+Rohini!F23+'Model Town'!F23+'Pacific Mall'!F23</f>
        <v>7978.25</v>
      </c>
      <c r="H25" s="17">
        <f>'Noida Sec - 18'!G23+'Noida Sec -143'!G23+'Faridabad Sec15'!G23+DLF!G23+'Gurgaon Sec-15'!G23+'Paschim Vihar'!G23+Kalkaji!G23+CP!G23+Rohini!G23+'Model Town'!G23+'Pacific Mall'!G23</f>
        <v>7978.25</v>
      </c>
      <c r="I25" s="17">
        <f>'Noida Sec - 18'!H23+'Noida Sec -143'!H23+'Faridabad Sec15'!H23+DLF!H23+'Gurgaon Sec-15'!H23+'Paschim Vihar'!H23+Kalkaji!H23+CP!H23+Rohini!H23+'Model Town'!H23+'Pacific Mall'!H23</f>
        <v>9394.25</v>
      </c>
      <c r="J25" s="17">
        <f>'Noida Sec - 18'!I23+'Noida Sec -143'!I23+'Faridabad Sec15'!I23+DLF!I23+'Gurgaon Sec-15'!I23+'Paschim Vihar'!I23+Kalkaji!I23+CP!I23+Rohini!I23+'Model Town'!I23+'Pacific Mall'!I23</f>
        <v>9394.25</v>
      </c>
      <c r="K25" s="17">
        <f>'Noida Sec - 18'!J23+'Noida Sec -143'!J23+'Faridabad Sec15'!J23+DLF!J23+'Gurgaon Sec-15'!J23+'Paschim Vihar'!J23+Kalkaji!J23+CP!J23+Rohini!J23+'Model Town'!J23+'Pacific Mall'!J23+'Gurgaon Sec - 10'!J23</f>
        <v>9394.25</v>
      </c>
      <c r="L25" s="17">
        <f>'Noida Sec - 18'!K23+'Noida Sec -143'!K23+DLF!K23+'Faridabad Sec15'!K23+'Gurgaon Sec-15'!K23+'Gurgaon Sec - 10'!K23+'Paschim Vihar'!K23+Kalkaji!K23+CP!K23+Rohini!K23+'Model Town'!K23+'Pacific Mall'!K23</f>
        <v>14822.25</v>
      </c>
      <c r="M25" s="17">
        <f>'Noida Sec - 18'!L23+'Noida Sec -143'!L23+DLF!L23+'Faridabad Sec15'!L23+'Gurgaon Sec-15'!L23+'Gurgaon Sec - 10'!L23+'Paschim Vihar'!L23+Kalkaji!L23+CP!L23+Rohini!L23+'Model Town'!L23+'Pacific Mall'!L23</f>
        <v>14822.25</v>
      </c>
      <c r="N25" s="17">
        <f>'Noida Sec - 18'!M23+'Noida Sec -143'!M23+DLF!M23+'Faridabad Sec15'!M23+'Gurgaon Sec-15'!M23+'Gurgaon Sec - 10'!M23+'Paschim Vihar'!M23+Kalkaji!M23+CP!M23+Rohini!M23+'Model Town'!M23+'Pacific Mall'!M23</f>
        <v>14822.25</v>
      </c>
      <c r="O25" s="18">
        <f t="shared" si="5"/>
        <v>120519</v>
      </c>
      <c r="P25" s="29">
        <f t="shared" si="6"/>
        <v>0.0006219482981</v>
      </c>
      <c r="Q25" s="88">
        <f t="shared" si="7"/>
        <v>913.0227273</v>
      </c>
      <c r="R25" s="69"/>
      <c r="S25" s="89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22" t="s">
        <v>28</v>
      </c>
      <c r="B26" s="86" t="s">
        <v>38</v>
      </c>
      <c r="C26" s="17">
        <f>'Noida Sec - 18'!B24+'Noida Sec -143'!B24+'Faridabad Sec15'!B24+DLF!B24+'Gurgaon Sec-15'!B24+'Paschim Vihar'!B24+Kalkaji!B24+CP!B24+Rohini!B24+'Model Town'!B24+'Pacific Mall'!B24</f>
        <v>31978</v>
      </c>
      <c r="D26" s="17">
        <f>'Noida Sec - 18'!C24+'Noida Sec -143'!C24+'Faridabad Sec15'!C24+DLF!C24+'Gurgaon Sec-15'!C24+'Paschim Vihar'!C24+Kalkaji!C24+CP!C24+Rohini!C24+'Model Town'!C24+'Pacific Mall'!C24</f>
        <v>17647</v>
      </c>
      <c r="E26" s="17">
        <f>'Noida Sec - 18'!D24+'Noida Sec -143'!D24+'Faridabad Sec15'!D24+DLF!D24+'Gurgaon Sec-15'!D24+'Paschim Vihar'!D24+Kalkaji!D24+CP!D24+Rohini!D24+'Model Town'!D24+'Pacific Mall'!D24</f>
        <v>39307</v>
      </c>
      <c r="F26" s="17">
        <f>'Noida Sec - 18'!E24+'Noida Sec -143'!E24+'Faridabad Sec15'!E24+DLF!E24+'Gurgaon Sec-15'!E24+'Paschim Vihar'!E24+Kalkaji!E24+CP!E24+Rohini!E24+'Model Town'!E24+'Pacific Mall'!E24</f>
        <v>34351</v>
      </c>
      <c r="G26" s="17">
        <f>'Noida Sec - 18'!F24+'Noida Sec -143'!F24+'Faridabad Sec15'!F24+DLF!F24+'Gurgaon Sec-15'!F24+'Paschim Vihar'!F24+Kalkaji!F24+CP!F24+Rohini!F24+'Model Town'!F24+'Pacific Mall'!F24</f>
        <v>143401</v>
      </c>
      <c r="H26" s="17">
        <f>'Noida Sec - 18'!G24+'Noida Sec -143'!G24+'Faridabad Sec15'!G24+DLF!G24+'Gurgaon Sec-15'!G24+'Paschim Vihar'!G24+Kalkaji!G24+CP!G24+Rohini!G24+'Model Town'!G24+'Pacific Mall'!G24</f>
        <v>86511</v>
      </c>
      <c r="I26" s="17">
        <f>'Noida Sec - 18'!H24+'Noida Sec -143'!H24+'Faridabad Sec15'!H24+DLF!H24+'Gurgaon Sec-15'!H24+'Paschim Vihar'!H24+Kalkaji!H24+CP!H24+Rohini!H24+'Model Town'!H24+'Pacific Mall'!H24</f>
        <v>61040</v>
      </c>
      <c r="J26" s="17">
        <f>'Noida Sec - 18'!I24+'Noida Sec -143'!I24+'Faridabad Sec15'!I24+DLF!I24+'Gurgaon Sec-15'!I24+'Paschim Vihar'!I24+Kalkaji!I24+CP!I24+Rohini!I24+'Model Town'!I24+'Pacific Mall'!I24</f>
        <v>136540</v>
      </c>
      <c r="K26" s="17">
        <f>'Noida Sec - 18'!J24+'Noida Sec -143'!J24+'Faridabad Sec15'!J24+DLF!J24+'Gurgaon Sec-15'!J24+'Paschim Vihar'!J24+Kalkaji!J24+CP!J24+Rohini!J24+'Model Town'!J24+'Pacific Mall'!J24</f>
        <v>27917</v>
      </c>
      <c r="L26" s="17">
        <f>'Noida Sec - 18'!K24+'Noida Sec -143'!K24+DLF!K24+'Faridabad Sec15'!K24+'Gurgaon Sec-15'!K24+'Gurgaon Sec - 10'!K24+'Paschim Vihar'!K24+Kalkaji!K24+CP!K24+Rohini!K24+'Model Town'!K24+'Pacific Mall'!K24</f>
        <v>43556</v>
      </c>
      <c r="M26" s="17">
        <f>'Noida Sec - 18'!L24+'Noida Sec -143'!L24+DLF!L24+'Faridabad Sec15'!L24+'Gurgaon Sec-15'!L24+'Gurgaon Sec - 10'!L24+'Paschim Vihar'!L24+Kalkaji!L24+CP!L24+Rohini!L24+'Model Town'!L24+'Pacific Mall'!L24</f>
        <v>200241</v>
      </c>
      <c r="N26" s="17">
        <f>'Noida Sec - 18'!M24+'Noida Sec -143'!M24+DLF!M24+'Faridabad Sec15'!M24+'Gurgaon Sec-15'!M24+'Gurgaon Sec - 10'!M24+'Paschim Vihar'!M24+Kalkaji!M24+CP!M24+Rohini!M24+'Model Town'!M24+'Pacific Mall'!M24</f>
        <v>64438.82</v>
      </c>
      <c r="O26" s="18">
        <f t="shared" si="5"/>
        <v>886927.82</v>
      </c>
      <c r="P26" s="29">
        <f t="shared" si="6"/>
        <v>0.004577064597</v>
      </c>
      <c r="Q26" s="88">
        <f t="shared" si="7"/>
        <v>6719.150152</v>
      </c>
      <c r="R26" s="69"/>
      <c r="S26" s="89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22" t="s">
        <v>29</v>
      </c>
      <c r="B27" s="86" t="s">
        <v>55</v>
      </c>
      <c r="C27" s="17">
        <f>'Noida Sec - 18'!B25+'Noida Sec -143'!B25+'Faridabad Sec15'!B25+DLF!B25+'Gurgaon Sec-15'!B25+'Paschim Vihar'!B25+Kalkaji!B25+CP!B25+Rohini!B25+'Model Town'!B25+'Pacific Mall'!B25</f>
        <v>94756.87</v>
      </c>
      <c r="D27" s="17">
        <f>'Noida Sec - 18'!C25+'Noida Sec -143'!C25+'Faridabad Sec15'!C25+DLF!C25+'Gurgaon Sec-15'!C25+'Paschim Vihar'!C25+Kalkaji!C25+CP!C25+Rohini!C25+'Model Town'!C25+'Pacific Mall'!C25</f>
        <v>110055.62</v>
      </c>
      <c r="E27" s="17">
        <f>'Noida Sec - 18'!D25+'Noida Sec -143'!D25+'Faridabad Sec15'!D25+DLF!D25+'Gurgaon Sec-15'!D25+'Paschim Vihar'!D25+Kalkaji!D25+CP!D25+Rohini!D25+'Model Town'!D25+'Pacific Mall'!D25</f>
        <v>124906.4967</v>
      </c>
      <c r="F27" s="17">
        <f>'Noida Sec - 18'!E25+'Noida Sec -143'!E25+'Faridabad Sec15'!E25+DLF!E25+'Gurgaon Sec-15'!E25+'Paschim Vihar'!E25+Kalkaji!E25+CP!E25+Rohini!E25+'Model Town'!E25+'Pacific Mall'!E25</f>
        <v>80255.39667</v>
      </c>
      <c r="G27" s="17">
        <f>'Noida Sec - 18'!F25+'Noida Sec -143'!F25+'Faridabad Sec15'!F25+DLF!F25+'Gurgaon Sec-15'!F25+'Paschim Vihar'!F25+Kalkaji!F25+CP!F25+Rohini!F25+'Model Town'!F25+'Pacific Mall'!F25</f>
        <v>284362.9467</v>
      </c>
      <c r="H27" s="17">
        <f>'Noida Sec - 18'!G25+'Noida Sec -143'!G25+'Faridabad Sec15'!G25+DLF!G25+'Gurgaon Sec-15'!G25+'Paschim Vihar'!G25+Kalkaji!G25+CP!G25+Rohini!G25+'Model Town'!G25+'Pacific Mall'!G25</f>
        <v>187513.9367</v>
      </c>
      <c r="I27" s="17">
        <f>'Noida Sec - 18'!H25+'Noida Sec -143'!H25+'Faridabad Sec15'!H25+DLF!H25+'Gurgaon Sec-15'!H25+'Paschim Vihar'!H25+Kalkaji!H25+CP!H25+Rohini!H25+'Model Town'!H25+'Pacific Mall'!H25</f>
        <v>147122.0367</v>
      </c>
      <c r="J27" s="17">
        <f>'Noida Sec - 18'!I25+'Noida Sec -143'!I25+'Faridabad Sec15'!I25+DLF!I25+'Gurgaon Sec-15'!I25+'Paschim Vihar'!I25+Kalkaji!I25+CP!I25+Rohini!I25+'Model Town'!I25+'Pacific Mall'!I25</f>
        <v>181422.1367</v>
      </c>
      <c r="K27" s="17">
        <f>'Noida Sec - 18'!J25+'Noida Sec -143'!J25+'Faridabad Sec15'!J25+DLF!J25+'Gurgaon Sec-15'!J25+'Paschim Vihar'!J25+Kalkaji!J25+CP!J25+Rohini!J25+'Model Town'!J25+'Pacific Mall'!J25</f>
        <v>139650.94</v>
      </c>
      <c r="L27" s="17">
        <f>'Noida Sec - 18'!K25+'Noida Sec -143'!K25+DLF!K25+'Faridabad Sec15'!K25+'Gurgaon Sec-15'!K25+'Gurgaon Sec - 10'!K25+'Paschim Vihar'!K25+Kalkaji!K25+CP!K25+Rohini!K25+'Model Town'!K25+'Pacific Mall'!K25</f>
        <v>153833.11</v>
      </c>
      <c r="M27" s="17">
        <f>'Noida Sec - 18'!L25+'Noida Sec -143'!L25+DLF!L25+'Faridabad Sec15'!L25+'Gurgaon Sec-15'!L25+'Gurgaon Sec - 10'!L25+'Paschim Vihar'!L25+Kalkaji!L25+CP!L25+Rohini!L25+'Model Town'!L25+'Pacific Mall'!L25</f>
        <v>294015.03</v>
      </c>
      <c r="N27" s="17">
        <f>'Noida Sec - 18'!M25+'Noida Sec -143'!M25+DLF!M25+'Faridabad Sec15'!M25+'Gurgaon Sec-15'!M25+'Gurgaon Sec - 10'!M25+'Paschim Vihar'!M25+Kalkaji!M25+CP!M25+Rohini!M25+'Model Town'!M25+'Pacific Mall'!M25</f>
        <v>187135.1</v>
      </c>
      <c r="O27" s="18">
        <f t="shared" si="5"/>
        <v>1985029.62</v>
      </c>
      <c r="P27" s="29">
        <f t="shared" si="6"/>
        <v>0.01024391004</v>
      </c>
      <c r="Q27" s="88">
        <f t="shared" si="7"/>
        <v>15038.10318</v>
      </c>
      <c r="R27" s="69"/>
      <c r="S27" s="89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22" t="s">
        <v>30</v>
      </c>
      <c r="B28" s="86" t="s">
        <v>55</v>
      </c>
      <c r="C28" s="17">
        <f>'Noida Sec - 18'!B26+'Noida Sec -143'!B26+'Faridabad Sec15'!B26+DLF!B26+'Gurgaon Sec-15'!B26+'Paschim Vihar'!B26+Kalkaji!B26+CP!B26+Rohini!B26+'Model Town'!B26+'Pacific Mall'!B26</f>
        <v>212132.5</v>
      </c>
      <c r="D28" s="17">
        <f>'Noida Sec - 18'!C26+'Noida Sec -143'!C26+'Faridabad Sec15'!C26+DLF!C26+'Gurgaon Sec-15'!C26+'Paschim Vihar'!C26+Kalkaji!C26+CP!C26+Rohini!C26+'Model Town'!C26+'Pacific Mall'!C26</f>
        <v>216928.5</v>
      </c>
      <c r="E28" s="17">
        <f>'Noida Sec - 18'!D26+'Noida Sec -143'!D26+'Faridabad Sec15'!D26+DLF!D26+'Gurgaon Sec-15'!D26+'Paschim Vihar'!D26+Kalkaji!D26+CP!D26+Rohini!D26+'Model Town'!D26+'Pacific Mall'!D26</f>
        <v>219902.5</v>
      </c>
      <c r="F28" s="17">
        <f>'Noida Sec - 18'!E26+'Noida Sec -143'!E26+'Faridabad Sec15'!E26+DLF!E26+'Gurgaon Sec-15'!E26+'Paschim Vihar'!E26+Kalkaji!E26+CP!E26+Rohini!E26+'Model Town'!E26+'Pacific Mall'!E26</f>
        <v>219042.5</v>
      </c>
      <c r="G28" s="17">
        <f>'Noida Sec - 18'!F26+'Noida Sec -143'!F26+'Faridabad Sec15'!F26+DLF!F26+'Gurgaon Sec-15'!F26+'Paschim Vihar'!F26+Kalkaji!F26+CP!F26+Rohini!F26+'Model Town'!F26+'Pacific Mall'!F26</f>
        <v>221288.5</v>
      </c>
      <c r="H28" s="17">
        <f>'Noida Sec - 18'!G26+'Noida Sec -143'!G26+'Faridabad Sec15'!G26+DLF!G26+'Gurgaon Sec-15'!G26+'Paschim Vihar'!G26+Kalkaji!G26+CP!G26+Rohini!G26+'Model Town'!G26+'Pacific Mall'!G26</f>
        <v>221288.5</v>
      </c>
      <c r="I28" s="17">
        <f>'Noida Sec - 18'!H26+'Noida Sec -143'!H26+'Faridabad Sec15'!H26+DLF!H26+'Gurgaon Sec-15'!H26+'Paschim Vihar'!H26+Kalkaji!H26+CP!H26+Rohini!H26+'Model Town'!H26+'Pacific Mall'!H26</f>
        <v>221288.5</v>
      </c>
      <c r="J28" s="17">
        <f>'Noida Sec - 18'!I26+'Noida Sec -143'!I26+'Faridabad Sec15'!I26+DLF!I26+'Gurgaon Sec-15'!I26+'Paschim Vihar'!I26+Kalkaji!I26+CP!I26+Rohini!I26+'Model Town'!I26+'Pacific Mall'!I26</f>
        <v>214880.5</v>
      </c>
      <c r="K28" s="17">
        <f>'Noida Sec - 18'!J26+'Noida Sec -143'!J26+'Faridabad Sec15'!J26+DLF!J26+'Gurgaon Sec-15'!J26+'Paschim Vihar'!J26+Kalkaji!J26+CP!J26+Rohini!J26+'Model Town'!J26+'Pacific Mall'!J26</f>
        <v>212962.5</v>
      </c>
      <c r="L28" s="17">
        <f>'Noida Sec - 18'!K26+'Noida Sec -143'!K26+DLF!K26+'Faridabad Sec15'!K26+'Gurgaon Sec-15'!K26+'Gurgaon Sec - 10'!K26+'Paschim Vihar'!K26+Kalkaji!K26+CP!K26+Rohini!K26+'Model Town'!K26+'Pacific Mall'!K26</f>
        <v>212170.5</v>
      </c>
      <c r="M28" s="17">
        <f>'Noida Sec - 18'!L26+'Noida Sec -143'!L26+DLF!L26+'Faridabad Sec15'!L26+'Gurgaon Sec-15'!L26+'Gurgaon Sec - 10'!L26+'Paschim Vihar'!L26+Kalkaji!L26+CP!L26+Rohini!L26+'Model Town'!L26+'Pacific Mall'!L26</f>
        <v>213194.5</v>
      </c>
      <c r="N28" s="17">
        <f>'Noida Sec - 18'!M26+'Noida Sec -143'!M26+DLF!M26+'Faridabad Sec15'!M26+'Gurgaon Sec-15'!M26+'Gurgaon Sec - 10'!M26+'Paschim Vihar'!M26+Kalkaji!M26+CP!M26+Rohini!M26+'Model Town'!M26+'Pacific Mall'!M26+'Shalimar Bagh'!M26</f>
        <v>221907.39</v>
      </c>
      <c r="O28" s="18">
        <f t="shared" si="5"/>
        <v>2606986.89</v>
      </c>
      <c r="P28" s="29">
        <f t="shared" si="6"/>
        <v>0.01345357213</v>
      </c>
      <c r="Q28" s="88">
        <f t="shared" si="7"/>
        <v>19749.90068</v>
      </c>
      <c r="R28" s="69"/>
      <c r="S28" s="89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30" t="s">
        <v>146</v>
      </c>
      <c r="B29" s="86" t="s">
        <v>55</v>
      </c>
      <c r="C29" s="17">
        <f>'Ads Account'!B6</f>
        <v>773726.6667</v>
      </c>
      <c r="D29" s="17">
        <f>'Ads Account'!C6</f>
        <v>632593.5567</v>
      </c>
      <c r="E29" s="17">
        <f>'Ads Account'!D6</f>
        <v>574335.3367</v>
      </c>
      <c r="F29" s="17">
        <f>'Ads Account'!E6</f>
        <v>547564.9</v>
      </c>
      <c r="G29" s="17">
        <f>'Ads Account'!F6</f>
        <v>668555.48</v>
      </c>
      <c r="H29" s="17">
        <f>'Ads Account'!G6</f>
        <v>421036.56</v>
      </c>
      <c r="I29" s="17">
        <f>'Ads Account'!H6</f>
        <v>488867.7374</v>
      </c>
      <c r="J29" s="17">
        <f>'Ads Account'!I6</f>
        <v>497839.81</v>
      </c>
      <c r="K29" s="17">
        <f>'Ads Account'!J6</f>
        <v>584296.4</v>
      </c>
      <c r="L29" s="17">
        <f>'Ads Account'!K6</f>
        <v>587014.627</v>
      </c>
      <c r="M29" s="17">
        <f>'Ads Account'!L6</f>
        <v>809328.0588</v>
      </c>
      <c r="N29" s="17">
        <f>'Ads Account'!M6</f>
        <v>711696.378</v>
      </c>
      <c r="O29" s="18">
        <f t="shared" si="5"/>
        <v>7296855.511</v>
      </c>
      <c r="P29" s="29">
        <f t="shared" si="6"/>
        <v>0.03765602823</v>
      </c>
      <c r="Q29" s="88">
        <f t="shared" si="7"/>
        <v>55279.20842</v>
      </c>
      <c r="R29" s="69"/>
      <c r="S29" s="89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22" t="s">
        <v>31</v>
      </c>
      <c r="B30" s="86" t="s">
        <v>55</v>
      </c>
      <c r="C30" s="17">
        <f>'Noida Sec - 18'!B27+'Noida Sec -143'!B27+'Faridabad Sec15'!B27+DLF!B27+'Gurgaon Sec-15'!B27+'Paschim Vihar'!B27+Kalkaji!B27+CP!B27+Rohini!B27+'Model Town'!B27+'Pacific Mall'!B27</f>
        <v>2677264.397</v>
      </c>
      <c r="D30" s="17">
        <f>'Noida Sec - 18'!C27+'Noida Sec -143'!C27+'Faridabad Sec15'!C27+DLF!C27+'Gurgaon Sec-15'!C27+'Paschim Vihar'!C27+Kalkaji!C27+CP!C27+Rohini!C27+'Model Town'!C27+'Pacific Mall'!C27</f>
        <v>2785745.173</v>
      </c>
      <c r="E30" s="17">
        <f>'Noida Sec - 18'!D27+'Noida Sec -143'!D27+'Faridabad Sec15'!D27+DLF!D27+'Gurgaon Sec-15'!D27+'Paschim Vihar'!D27+Kalkaji!D27+CP!D27+Rohini!D27+'Model Town'!D27+'Pacific Mall'!D27</f>
        <v>2709914.133</v>
      </c>
      <c r="F30" s="17">
        <f>'Noida Sec - 18'!E27+'Noida Sec -143'!E27+'Faridabad Sec15'!E27+DLF!E27+'Gurgaon Sec-15'!E27+'Paschim Vihar'!E27+Kalkaji!E27+CP!E27+Rohini!E27+'Model Town'!E27+'Pacific Mall'!E27</f>
        <v>2900178.64</v>
      </c>
      <c r="G30" s="17">
        <f>'Noida Sec - 18'!F27+'Noida Sec -143'!F27+'Faridabad Sec15'!F27+DLF!F27+'Gurgaon Sec-15'!F27+'Paschim Vihar'!F27+Kalkaji!F27+CP!F27+Rohini!F27+'Model Town'!F27+'Pacific Mall'!F27</f>
        <v>2971472.35</v>
      </c>
      <c r="H30" s="17">
        <f>'Noida Sec - 18'!G27+'Noida Sec -143'!G27+'Faridabad Sec15'!G27+DLF!G27+'Gurgaon Sec-15'!G27+'Paschim Vihar'!G27+Kalkaji!G27+CP!G27+Rohini!G27+'Model Town'!G27+'Pacific Mall'!G27</f>
        <v>2664980.25</v>
      </c>
      <c r="I30" s="17">
        <f>'Noida Sec - 18'!H27+'Noida Sec -143'!H27+'Faridabad Sec15'!H27+DLF!H27+'Gurgaon Sec-15'!H27+'Paschim Vihar'!H27+Kalkaji!H27+CP!H27+Rohini!H27+'Model Town'!H27+'Pacific Mall'!H27</f>
        <v>2748602.51</v>
      </c>
      <c r="J30" s="17">
        <f>'Noida Sec - 18'!I27+'Noida Sec -143'!I27+'Faridabad Sec15'!I27+DLF!I27+'Gurgaon Sec-15'!I27+'Paschim Vihar'!I27+Kalkaji!I27+CP!I27+Rohini!I27+'Model Town'!I27+'Pacific Mall'!I27</f>
        <v>2541424.83</v>
      </c>
      <c r="K30" s="17">
        <f>'Noida Sec - 18'!J27+'Noida Sec -143'!J27+'Faridabad Sec15'!J27+DLF!J27+'Gurgaon Sec-15'!J27+'Paschim Vihar'!J27+Kalkaji!J27+CP!J27+Rohini!J27+'Model Town'!J27+'Pacific Mall'!J27+'Gurgaon Sec - 10'!J27</f>
        <v>2672294.167</v>
      </c>
      <c r="L30" s="17">
        <f>'Noida Sec - 18'!K27+'Noida Sec -143'!K27+DLF!K27+'Faridabad Sec15'!K27+'Gurgaon Sec-15'!K27+'Gurgaon Sec - 10'!K27+'Paschim Vihar'!K27+Kalkaji!K27+CP!K27+Rohini!K27+'Model Town'!K27+'Pacific Mall'!K27</f>
        <v>2729986.833</v>
      </c>
      <c r="M30" s="17">
        <f>'Noida Sec - 18'!L27+'Noida Sec -143'!L27+DLF!L27+'Faridabad Sec15'!L27+'Gurgaon Sec-15'!L27+'Gurgaon Sec - 10'!L27+'Paschim Vihar'!L27+Kalkaji!L27+CP!L27+Rohini!L27+'Model Town'!L27+'Pacific Mall'!L27</f>
        <v>2778963.113</v>
      </c>
      <c r="N30" s="17">
        <f>'Noida Sec - 18'!M27+'Noida Sec -143'!M27+DLF!M27+'Faridabad Sec15'!M27+'Gurgaon Sec-15'!M27+'Gurgaon Sec - 10'!M27+'Paschim Vihar'!M27+Kalkaji!M27+CP!M27+Rohini!M27+'Model Town'!M27+'Pacific Mall'!M27+'Shalimar Bagh'!M27</f>
        <v>3242871.947</v>
      </c>
      <c r="O30" s="18">
        <f t="shared" si="5"/>
        <v>33423698.34</v>
      </c>
      <c r="P30" s="29">
        <f t="shared" si="6"/>
        <v>0.1724857682</v>
      </c>
      <c r="Q30" s="88">
        <f t="shared" si="7"/>
        <v>253209.8359</v>
      </c>
      <c r="R30" s="69"/>
      <c r="S30" s="89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34" t="s">
        <v>32</v>
      </c>
      <c r="B31" s="172"/>
      <c r="C31" s="35">
        <f t="shared" ref="C31:N31" si="8">+SUM(C16:C30)</f>
        <v>17040004.09</v>
      </c>
      <c r="D31" s="35">
        <f t="shared" si="8"/>
        <v>17270943.19</v>
      </c>
      <c r="E31" s="35">
        <f t="shared" si="8"/>
        <v>17426833.59</v>
      </c>
      <c r="F31" s="35">
        <f t="shared" si="8"/>
        <v>17729798.79</v>
      </c>
      <c r="G31" s="36">
        <f t="shared" si="8"/>
        <v>18135488.67</v>
      </c>
      <c r="H31" s="36">
        <f t="shared" si="8"/>
        <v>17108218.43</v>
      </c>
      <c r="I31" s="36">
        <f t="shared" si="8"/>
        <v>16610265.66</v>
      </c>
      <c r="J31" s="36">
        <f t="shared" si="8"/>
        <v>16313270.8</v>
      </c>
      <c r="K31" s="36">
        <f t="shared" si="8"/>
        <v>16840557.19</v>
      </c>
      <c r="L31" s="36">
        <f t="shared" si="8"/>
        <v>17749805.54</v>
      </c>
      <c r="M31" s="36">
        <f t="shared" si="8"/>
        <v>18543436.82</v>
      </c>
      <c r="N31" s="36">
        <f t="shared" si="8"/>
        <v>19528648.97</v>
      </c>
      <c r="O31" s="35">
        <f t="shared" si="5"/>
        <v>210297271.7</v>
      </c>
      <c r="P31" s="37">
        <f t="shared" si="6"/>
        <v>1.085256518</v>
      </c>
      <c r="Q31" s="173">
        <f t="shared" ref="Q31:Q32" si="10">AVERAGE(C31:N31)</f>
        <v>17524772.65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38" t="s">
        <v>33</v>
      </c>
      <c r="B32" s="174"/>
      <c r="C32" s="39">
        <f t="shared" ref="C32:N32" si="9">C15-C31</f>
        <v>-2337550.013</v>
      </c>
      <c r="D32" s="39">
        <f t="shared" si="9"/>
        <v>-1473944.926</v>
      </c>
      <c r="E32" s="39">
        <f t="shared" si="9"/>
        <v>-1719585.99</v>
      </c>
      <c r="F32" s="39">
        <f t="shared" si="9"/>
        <v>-1205458.684</v>
      </c>
      <c r="G32" s="39">
        <f t="shared" si="9"/>
        <v>-1693021.373</v>
      </c>
      <c r="H32" s="39">
        <f t="shared" si="9"/>
        <v>-2307910.638</v>
      </c>
      <c r="I32" s="39">
        <f t="shared" si="9"/>
        <v>-2327658.619</v>
      </c>
      <c r="J32" s="39">
        <f t="shared" si="9"/>
        <v>-2074784.706</v>
      </c>
      <c r="K32" s="39">
        <f t="shared" si="9"/>
        <v>-1746697.054</v>
      </c>
      <c r="L32" s="39">
        <f t="shared" si="9"/>
        <v>49401.71824</v>
      </c>
      <c r="M32" s="39">
        <f t="shared" si="9"/>
        <v>-633947.6341</v>
      </c>
      <c r="N32" s="39">
        <f t="shared" si="9"/>
        <v>950443.4431</v>
      </c>
      <c r="O32" s="39">
        <f t="shared" si="5"/>
        <v>-16520714.48</v>
      </c>
      <c r="P32" s="40">
        <f t="shared" si="6"/>
        <v>-0.08525651766</v>
      </c>
      <c r="Q32" s="175">
        <f t="shared" si="10"/>
        <v>-1376726.206</v>
      </c>
      <c r="R32" s="8"/>
      <c r="S32" s="75">
        <v>2.541919366E7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80" t="s">
        <v>147</v>
      </c>
      <c r="B33" s="18"/>
      <c r="C33" s="29">
        <f t="shared" ref="C33:N33" si="11">C32/C15</f>
        <v>-0.1589904651</v>
      </c>
      <c r="D33" s="29">
        <f t="shared" si="11"/>
        <v>-0.09330538002</v>
      </c>
      <c r="E33" s="29">
        <f t="shared" si="11"/>
        <v>-0.1094772321</v>
      </c>
      <c r="F33" s="29">
        <f t="shared" si="11"/>
        <v>-0.0729504886</v>
      </c>
      <c r="G33" s="29">
        <f t="shared" si="11"/>
        <v>-0.1029663823</v>
      </c>
      <c r="H33" s="29">
        <f t="shared" si="11"/>
        <v>-0.155936665</v>
      </c>
      <c r="I33" s="29">
        <f t="shared" si="11"/>
        <v>-0.1629715508</v>
      </c>
      <c r="J33" s="29">
        <f t="shared" si="11"/>
        <v>-0.1457166648</v>
      </c>
      <c r="K33" s="29">
        <f t="shared" si="11"/>
        <v>-0.1157223558</v>
      </c>
      <c r="L33" s="29">
        <f t="shared" si="11"/>
        <v>0.002775501038</v>
      </c>
      <c r="M33" s="29">
        <f t="shared" si="11"/>
        <v>-0.03539730405</v>
      </c>
      <c r="N33" s="29">
        <f t="shared" si="11"/>
        <v>0.04641042795</v>
      </c>
      <c r="O33" s="18"/>
      <c r="P33" s="29"/>
      <c r="Q33" s="8"/>
      <c r="R33" s="69"/>
      <c r="S33" s="48">
        <f>O32</f>
        <v>-16520714.48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176" t="s">
        <v>34</v>
      </c>
      <c r="B34" s="20"/>
      <c r="C34" s="82">
        <f t="shared" ref="C34:N34" si="12">(C16/C15)</f>
        <v>0.3049766512</v>
      </c>
      <c r="D34" s="82">
        <f t="shared" si="12"/>
        <v>0.2845776239</v>
      </c>
      <c r="E34" s="82">
        <f t="shared" si="12"/>
        <v>0.2887912539</v>
      </c>
      <c r="F34" s="82">
        <f t="shared" si="12"/>
        <v>0.2867809516</v>
      </c>
      <c r="G34" s="177">
        <f t="shared" si="12"/>
        <v>0.2849884915</v>
      </c>
      <c r="H34" s="82">
        <f t="shared" si="12"/>
        <v>0.3028700939</v>
      </c>
      <c r="I34" s="82">
        <f t="shared" si="12"/>
        <v>0.2780824109</v>
      </c>
      <c r="J34" s="82">
        <f t="shared" si="12"/>
        <v>0.2803683336</v>
      </c>
      <c r="K34" s="82">
        <f t="shared" si="12"/>
        <v>0.28461178</v>
      </c>
      <c r="L34" s="82">
        <f t="shared" si="12"/>
        <v>0.2707503328</v>
      </c>
      <c r="M34" s="82">
        <f t="shared" si="12"/>
        <v>0.2906233436</v>
      </c>
      <c r="N34" s="82">
        <f t="shared" si="12"/>
        <v>0.277176272</v>
      </c>
      <c r="O34" s="20"/>
      <c r="P34" s="20"/>
      <c r="Q34" s="8"/>
      <c r="S34" s="63">
        <f>S32+S33</f>
        <v>8898479.183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49"/>
      <c r="B36" s="8"/>
      <c r="C36" s="75"/>
      <c r="D36" s="75"/>
      <c r="E36" s="75"/>
      <c r="F36" s="75"/>
      <c r="G36" s="75"/>
      <c r="H36" s="75"/>
      <c r="I36" s="75"/>
      <c r="J36" s="75"/>
      <c r="K36" s="75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49"/>
      <c r="B37" s="8"/>
      <c r="C37" s="63">
        <f t="shared" ref="C37:N37" si="13">C32+C30</f>
        <v>339714.384</v>
      </c>
      <c r="D37" s="63">
        <f t="shared" si="13"/>
        <v>1311800.248</v>
      </c>
      <c r="E37" s="63">
        <f t="shared" si="13"/>
        <v>990328.143</v>
      </c>
      <c r="F37" s="63">
        <f t="shared" si="13"/>
        <v>1694719.956</v>
      </c>
      <c r="G37" s="63">
        <f t="shared" si="13"/>
        <v>1278450.977</v>
      </c>
      <c r="H37" s="63">
        <f t="shared" si="13"/>
        <v>357069.6117</v>
      </c>
      <c r="I37" s="63">
        <f t="shared" si="13"/>
        <v>420943.8909</v>
      </c>
      <c r="J37" s="63">
        <f t="shared" si="13"/>
        <v>466640.1237</v>
      </c>
      <c r="K37" s="63">
        <f t="shared" si="13"/>
        <v>925597.1128</v>
      </c>
      <c r="L37" s="63">
        <f t="shared" si="13"/>
        <v>2779388.552</v>
      </c>
      <c r="M37" s="63">
        <f t="shared" si="13"/>
        <v>2145015.479</v>
      </c>
      <c r="N37" s="63">
        <f t="shared" si="13"/>
        <v>4193315.39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78"/>
      <c r="B38" s="8"/>
      <c r="C38" s="179"/>
      <c r="D38" s="179"/>
      <c r="E38" s="179"/>
      <c r="F38" s="179"/>
      <c r="G38" s="179"/>
      <c r="H38" s="179"/>
      <c r="I38" s="179"/>
      <c r="J38" s="8"/>
      <c r="K38" s="8"/>
      <c r="L38" s="4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80"/>
      <c r="B40" s="8"/>
      <c r="C40" s="179"/>
      <c r="D40" s="179"/>
      <c r="E40" s="179"/>
      <c r="F40" s="179"/>
      <c r="G40" s="179"/>
      <c r="H40" s="179"/>
      <c r="I40" s="17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4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O2:P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2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16">
        <v>86720.0</v>
      </c>
      <c r="C3" s="17">
        <f t="shared" ref="C3:M3" si="1">B7</f>
        <v>80160</v>
      </c>
      <c r="D3" s="17">
        <f t="shared" si="1"/>
        <v>90114.76</v>
      </c>
      <c r="E3" s="17">
        <f t="shared" si="1"/>
        <v>88290</v>
      </c>
      <c r="F3" s="17">
        <f t="shared" si="1"/>
        <v>73436.88</v>
      </c>
      <c r="G3" s="17">
        <f t="shared" si="1"/>
        <v>76787</v>
      </c>
      <c r="H3" s="17">
        <f t="shared" si="1"/>
        <v>80448.91</v>
      </c>
      <c r="I3" s="17">
        <f t="shared" si="1"/>
        <v>77436.86</v>
      </c>
      <c r="J3" s="17">
        <f t="shared" si="1"/>
        <v>83465.48</v>
      </c>
      <c r="K3" s="17">
        <f t="shared" si="1"/>
        <v>92362</v>
      </c>
      <c r="L3" s="17">
        <f t="shared" si="1"/>
        <v>78028.51</v>
      </c>
      <c r="M3" s="17">
        <f t="shared" si="1"/>
        <v>72558</v>
      </c>
      <c r="N3" s="18">
        <f>+SUM(J3:L3)</f>
        <v>253855.99</v>
      </c>
      <c r="O3" s="20"/>
    </row>
    <row r="4" ht="15.75" customHeight="1">
      <c r="A4" s="14" t="s">
        <v>9</v>
      </c>
      <c r="B4" s="19">
        <v>454058.29</v>
      </c>
      <c r="C4" s="19">
        <v>453168.0</v>
      </c>
      <c r="D4" s="19">
        <v>415149.0</v>
      </c>
      <c r="E4" s="19">
        <v>471364.0</v>
      </c>
      <c r="F4" s="19">
        <v>477271.41</v>
      </c>
      <c r="G4" s="19">
        <v>426384.89</v>
      </c>
      <c r="H4" s="19">
        <v>398331.0</v>
      </c>
      <c r="I4" s="17">
        <f>398546.35</f>
        <v>398546.35</v>
      </c>
      <c r="J4" s="19">
        <v>396075.0</v>
      </c>
      <c r="K4" s="19">
        <v>427467.0</v>
      </c>
      <c r="L4" s="17">
        <f>392811.93</f>
        <v>392811.93</v>
      </c>
      <c r="M4" s="19">
        <v>498553.0</v>
      </c>
      <c r="N4" s="18">
        <f>sum(B4:M4)</f>
        <v>5209179.87</v>
      </c>
      <c r="O4" s="20"/>
    </row>
    <row r="5" ht="15.75" customHeight="1">
      <c r="A5" s="14" t="s">
        <v>10</v>
      </c>
      <c r="B5" s="19">
        <v>0.0</v>
      </c>
      <c r="C5" s="19">
        <v>0.0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8">
        <f t="shared" ref="N5:N6" si="2">+SUM(J5:L5)</f>
        <v>0</v>
      </c>
      <c r="O5" s="20"/>
    </row>
    <row r="6" ht="15.75" customHeight="1">
      <c r="A6" s="14" t="s">
        <v>11</v>
      </c>
      <c r="B6" s="19">
        <v>28788.0</v>
      </c>
      <c r="C6" s="19">
        <v>24643.81</v>
      </c>
      <c r="D6" s="19">
        <v>13426.0</v>
      </c>
      <c r="E6" s="19">
        <v>17770.78</v>
      </c>
      <c r="F6" s="19">
        <v>15477.0</v>
      </c>
      <c r="G6" s="19">
        <v>1278.017</v>
      </c>
      <c r="H6" s="19">
        <v>15898.0</v>
      </c>
      <c r="I6" s="19">
        <v>16758.1</v>
      </c>
      <c r="J6" s="19">
        <v>12784.81</v>
      </c>
      <c r="K6" s="19">
        <v>16181.72</v>
      </c>
      <c r="L6" s="19">
        <v>12642.26</v>
      </c>
      <c r="M6" s="19">
        <v>14347.0</v>
      </c>
      <c r="N6" s="18">
        <f t="shared" si="2"/>
        <v>41608.79</v>
      </c>
      <c r="O6" s="20"/>
    </row>
    <row r="7" ht="15.75" customHeight="1">
      <c r="A7" s="14" t="s">
        <v>12</v>
      </c>
      <c r="B7" s="19">
        <v>80160.0</v>
      </c>
      <c r="C7" s="19">
        <v>90114.76</v>
      </c>
      <c r="D7" s="19">
        <v>88290.0</v>
      </c>
      <c r="E7" s="19">
        <v>73436.88</v>
      </c>
      <c r="F7" s="19">
        <v>76787.0</v>
      </c>
      <c r="G7" s="19">
        <v>80448.91</v>
      </c>
      <c r="H7" s="19">
        <v>77436.86</v>
      </c>
      <c r="I7" s="19">
        <v>83465.48</v>
      </c>
      <c r="J7" s="19">
        <v>92362.0</v>
      </c>
      <c r="K7" s="19">
        <v>78028.51</v>
      </c>
      <c r="L7" s="19">
        <v>72558.0</v>
      </c>
      <c r="M7" s="19">
        <v>76058.0</v>
      </c>
      <c r="N7" s="18">
        <f>sum(B7:M7)</f>
        <v>969146.4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>
        <f>1787921.99*1.05+36815.11*1.05</f>
        <v>1915973.955</v>
      </c>
      <c r="C9" s="17">
        <f>1685620.88*1.05+42010.58*1.05</f>
        <v>1814013.033</v>
      </c>
      <c r="D9" s="17">
        <f>+(1545618-112.34)*1.05+37198*1.05+90*1.05</f>
        <v>1661933.343</v>
      </c>
      <c r="E9" s="17">
        <f>1871385.89*1.05</f>
        <v>1964955.185</v>
      </c>
      <c r="F9" s="17">
        <f>1797909.74*1.05</f>
        <v>1887805.227</v>
      </c>
      <c r="G9" s="17">
        <f>1583571.54*1.05</f>
        <v>1662750.117</v>
      </c>
      <c r="H9" s="17">
        <f>1532946.93*1.05+35979*1.05</f>
        <v>1647372.227</v>
      </c>
      <c r="I9" s="17">
        <f>1444428.39*1.05+10*1.05+33558.65*1.05</f>
        <v>1551896.892</v>
      </c>
      <c r="J9" s="17">
        <f>29901*1.05+1426925*1.05</f>
        <v>1529667.3</v>
      </c>
      <c r="K9" s="19">
        <f>1719108.36*1.05+36148.88*1.05</f>
        <v>1843020.102</v>
      </c>
      <c r="L9" s="17">
        <f>1558225.61*1.05+45729.2*1.05</f>
        <v>1684152.551</v>
      </c>
      <c r="M9" s="17">
        <f>1771108.35*1.05+51734.88*1.05</f>
        <v>1913985.392</v>
      </c>
      <c r="N9" s="18">
        <f t="shared" ref="N9:N12" si="3">+SUM(B9:M9)</f>
        <v>21077525.32</v>
      </c>
      <c r="O9" s="20"/>
    </row>
    <row r="10" ht="15.75" customHeight="1">
      <c r="A10" s="22" t="s">
        <v>14</v>
      </c>
      <c r="B10" s="19">
        <v>0.0</v>
      </c>
      <c r="C10" s="19">
        <v>0.0</v>
      </c>
      <c r="D10" s="19">
        <f>32400*1.05</f>
        <v>34020</v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8">
        <f t="shared" si="3"/>
        <v>34020</v>
      </c>
      <c r="O10" s="20"/>
    </row>
    <row r="11" ht="15.75" customHeight="1">
      <c r="A11" s="22" t="s">
        <v>15</v>
      </c>
      <c r="B11" s="17">
        <f t="shared" ref="B11:M11" si="4">(B9+B10)/1.05*0.05</f>
        <v>91236.855</v>
      </c>
      <c r="C11" s="17">
        <f t="shared" si="4"/>
        <v>86381.573</v>
      </c>
      <c r="D11" s="17">
        <f t="shared" si="4"/>
        <v>80759.683</v>
      </c>
      <c r="E11" s="17">
        <f t="shared" si="4"/>
        <v>93569.2945</v>
      </c>
      <c r="F11" s="17">
        <f t="shared" si="4"/>
        <v>89895.487</v>
      </c>
      <c r="G11" s="17">
        <f t="shared" si="4"/>
        <v>79178.577</v>
      </c>
      <c r="H11" s="17">
        <f t="shared" si="4"/>
        <v>78446.2965</v>
      </c>
      <c r="I11" s="17">
        <f t="shared" si="4"/>
        <v>73899.852</v>
      </c>
      <c r="J11" s="17">
        <f t="shared" si="4"/>
        <v>72841.3</v>
      </c>
      <c r="K11" s="17">
        <f t="shared" si="4"/>
        <v>87762.862</v>
      </c>
      <c r="L11" s="17">
        <f t="shared" si="4"/>
        <v>80197.7405</v>
      </c>
      <c r="M11" s="17">
        <f t="shared" si="4"/>
        <v>91142.1615</v>
      </c>
      <c r="N11" s="18">
        <f t="shared" si="3"/>
        <v>1005311.682</v>
      </c>
      <c r="O11" s="20"/>
    </row>
    <row r="12" ht="15.75" customHeight="1">
      <c r="A12" s="22" t="s">
        <v>16</v>
      </c>
      <c r="B12" s="19">
        <f>84300.76+1183.6+15174.14+213.1+52109.11+9379.64+1239.49+223.11</f>
        <v>163822.95</v>
      </c>
      <c r="C12" s="17">
        <f>96874.61+242.1+17195.34+51062.15+9769.5+3110.39+559.87+9213.94+1763.37</f>
        <v>189791.27</v>
      </c>
      <c r="D12" s="17">
        <f>1891+85744+340.48+15434.03+54674.8+9841+905.9+699.28+163.06+125.87+196.32+35.34</f>
        <v>170051.08</v>
      </c>
      <c r="E12" s="17">
        <f>72531.95+13115.76+3743+99976+18669.49+604.08+55.44+53.3</f>
        <v>208749.02</v>
      </c>
      <c r="F12" s="17">
        <f>+96716.72+17409.016+60321.26+10857.86+636.32+114.54+132.74</f>
        <v>186188.456</v>
      </c>
      <c r="G12" s="17">
        <f>89234.7+2306.97+16062.25+415.25+31769.85+11597.61+7806.18+813.8+146.49</f>
        <v>160153.1</v>
      </c>
      <c r="H12" s="17">
        <f>85644.09*1.18+45275.72*1.18+(391.7+1203.78)*1.18</f>
        <v>156368.0422</v>
      </c>
      <c r="I12" s="17">
        <f>29708.63+77546.41*1.18+2034.33*1.18+11992.48*1.18+1094.76*1.18</f>
        <v>139056.8464</v>
      </c>
      <c r="J12" s="17">
        <f>70758.73+12736.57+40294+7253+1464.33+263.58</f>
        <v>132770.21</v>
      </c>
      <c r="K12" s="17">
        <f>86873.36*1.18+46746.35*1.18+3213.17*1.18</f>
        <v>161462.7984</v>
      </c>
      <c r="L12" s="17">
        <f>38755.77*1.18+107691.44*1.18+2319.19*1.18+159.77</f>
        <v>175704.122</v>
      </c>
      <c r="M12" s="17">
        <f>43214.79*1.18+122071.62*1.18+3600.28*1.18+59.56</f>
        <v>199345.8542</v>
      </c>
      <c r="N12" s="18">
        <f t="shared" si="3"/>
        <v>2043463.749</v>
      </c>
      <c r="O12" s="20"/>
    </row>
    <row r="13" ht="15.75" customHeight="1">
      <c r="A13" s="24" t="s">
        <v>17</v>
      </c>
      <c r="B13" s="25">
        <f t="shared" ref="B13:M13" si="5">B9+B10-B11-B12</f>
        <v>1660914.15</v>
      </c>
      <c r="C13" s="25">
        <f t="shared" si="5"/>
        <v>1537840.19</v>
      </c>
      <c r="D13" s="25">
        <f t="shared" si="5"/>
        <v>1445142.58</v>
      </c>
      <c r="E13" s="25">
        <f t="shared" si="5"/>
        <v>1662636.87</v>
      </c>
      <c r="F13" s="26">
        <f t="shared" si="5"/>
        <v>1611721.284</v>
      </c>
      <c r="G13" s="26">
        <f t="shared" si="5"/>
        <v>1423418.44</v>
      </c>
      <c r="H13" s="25">
        <f t="shared" si="5"/>
        <v>1412557.888</v>
      </c>
      <c r="I13" s="25">
        <f t="shared" si="5"/>
        <v>1338940.194</v>
      </c>
      <c r="J13" s="25">
        <f t="shared" si="5"/>
        <v>1324055.79</v>
      </c>
      <c r="K13" s="25">
        <f t="shared" si="5"/>
        <v>1593794.442</v>
      </c>
      <c r="L13" s="25">
        <f t="shared" si="5"/>
        <v>1428250.688</v>
      </c>
      <c r="M13" s="25">
        <f t="shared" si="5"/>
        <v>1623497.376</v>
      </c>
      <c r="N13" s="25">
        <f t="shared" ref="N13:N29" si="7">sum(B13:M13)</f>
        <v>18062769.89</v>
      </c>
      <c r="O13" s="27">
        <f>N13/$N$7</f>
        <v>18.63781353</v>
      </c>
    </row>
    <row r="14" ht="15.75" customHeight="1">
      <c r="A14" s="22" t="s">
        <v>18</v>
      </c>
      <c r="B14" s="19">
        <f t="shared" ref="B14:M14" si="6">+B3+B4-B5-B7</f>
        <v>460618.29</v>
      </c>
      <c r="C14" s="19">
        <f t="shared" si="6"/>
        <v>443213.24</v>
      </c>
      <c r="D14" s="19">
        <f t="shared" si="6"/>
        <v>416973.76</v>
      </c>
      <c r="E14" s="19">
        <f t="shared" si="6"/>
        <v>486217.12</v>
      </c>
      <c r="F14" s="19">
        <f t="shared" si="6"/>
        <v>473921.29</v>
      </c>
      <c r="G14" s="28">
        <f t="shared" si="6"/>
        <v>422722.98</v>
      </c>
      <c r="H14" s="28">
        <f t="shared" si="6"/>
        <v>401343.05</v>
      </c>
      <c r="I14" s="28">
        <f t="shared" si="6"/>
        <v>392517.73</v>
      </c>
      <c r="J14" s="28">
        <f t="shared" si="6"/>
        <v>387178.48</v>
      </c>
      <c r="K14" s="28">
        <f t="shared" si="6"/>
        <v>441800.49</v>
      </c>
      <c r="L14" s="28">
        <f t="shared" si="6"/>
        <v>398282.44</v>
      </c>
      <c r="M14" s="28">
        <f t="shared" si="6"/>
        <v>495053</v>
      </c>
      <c r="N14" s="18">
        <f t="shared" si="7"/>
        <v>5219841.87</v>
      </c>
      <c r="O14" s="29">
        <f t="shared" ref="O14:O29" si="8">N14/$N$13</f>
        <v>0.2889834672</v>
      </c>
    </row>
    <row r="15" ht="15.75" customHeight="1">
      <c r="A15" s="22" t="s">
        <v>19</v>
      </c>
      <c r="B15" s="19">
        <f>68475+4000</f>
        <v>72475</v>
      </c>
      <c r="C15" s="19">
        <f>75565+1256</f>
        <v>76821</v>
      </c>
      <c r="D15" s="19">
        <f>72595+4000</f>
        <v>76595</v>
      </c>
      <c r="E15" s="19">
        <f>71404+3500</f>
        <v>74904</v>
      </c>
      <c r="F15" s="19">
        <v>72778.0</v>
      </c>
      <c r="G15" s="17">
        <f>66596</f>
        <v>66596</v>
      </c>
      <c r="H15" s="17">
        <v>61278.0</v>
      </c>
      <c r="I15" s="19">
        <v>52303.0</v>
      </c>
      <c r="J15" s="19">
        <v>38359.0</v>
      </c>
      <c r="K15" s="17">
        <f>40600+1950</f>
        <v>42550</v>
      </c>
      <c r="L15" s="19">
        <v>43171.0</v>
      </c>
      <c r="M15" s="19">
        <v>56365.0</v>
      </c>
      <c r="N15" s="18">
        <f t="shared" si="7"/>
        <v>734195</v>
      </c>
      <c r="O15" s="29">
        <f t="shared" si="8"/>
        <v>0.0406468667</v>
      </c>
    </row>
    <row r="16" ht="15.75" customHeight="1">
      <c r="A16" s="22" t="s">
        <v>20</v>
      </c>
      <c r="B16" s="19">
        <f>6018/3</f>
        <v>2006</v>
      </c>
      <c r="C16" s="19">
        <f>6018/3+300</f>
        <v>2306</v>
      </c>
      <c r="D16" s="19">
        <f t="shared" ref="D16:E16" si="9">6018/3</f>
        <v>2006</v>
      </c>
      <c r="E16" s="19">
        <f t="shared" si="9"/>
        <v>2006</v>
      </c>
      <c r="F16" s="19">
        <f>6018/3+302</f>
        <v>2308</v>
      </c>
      <c r="G16" s="17">
        <f>6018/3+602</f>
        <v>2608</v>
      </c>
      <c r="H16" s="17">
        <f t="shared" ref="H16:I16" si="10">6018/3</f>
        <v>2006</v>
      </c>
      <c r="I16" s="17">
        <f t="shared" si="10"/>
        <v>2006</v>
      </c>
      <c r="J16" s="17">
        <f>6018/3+300</f>
        <v>2306</v>
      </c>
      <c r="K16" s="17">
        <f t="shared" ref="K16:L16" si="11">6018/4+300</f>
        <v>1804.5</v>
      </c>
      <c r="L16" s="17">
        <f t="shared" si="11"/>
        <v>1804.5</v>
      </c>
      <c r="M16" s="17">
        <f>6018/4</f>
        <v>1504.5</v>
      </c>
      <c r="N16" s="18">
        <f t="shared" si="7"/>
        <v>24671.5</v>
      </c>
      <c r="O16" s="29">
        <f t="shared" si="8"/>
        <v>0.001365875785</v>
      </c>
    </row>
    <row r="17" ht="15.75" customHeight="1">
      <c r="A17" s="22" t="s">
        <v>21</v>
      </c>
      <c r="B17" s="19">
        <v>58116.0</v>
      </c>
      <c r="C17" s="19">
        <v>78810.0</v>
      </c>
      <c r="D17" s="19">
        <f>44412</f>
        <v>44412</v>
      </c>
      <c r="E17" s="19">
        <f>67224.8</f>
        <v>67224.8</v>
      </c>
      <c r="F17" s="19">
        <f>64925.92</f>
        <v>64925.92</v>
      </c>
      <c r="G17" s="19">
        <v>61512.0</v>
      </c>
      <c r="H17" s="19">
        <v>63546.91</v>
      </c>
      <c r="I17" s="19">
        <v>61985.0</v>
      </c>
      <c r="J17" s="19">
        <v>64850.0</v>
      </c>
      <c r="K17" s="19">
        <v>79501.91</v>
      </c>
      <c r="L17" s="17">
        <f>54863.86</f>
        <v>54863.86</v>
      </c>
      <c r="M17" s="19">
        <f>73199.17</f>
        <v>73199.17</v>
      </c>
      <c r="N17" s="18">
        <f t="shared" si="7"/>
        <v>772947.57</v>
      </c>
      <c r="O17" s="29">
        <f t="shared" si="8"/>
        <v>0.04279230565</v>
      </c>
    </row>
    <row r="18" ht="15.75" customHeight="1">
      <c r="A18" s="22" t="s">
        <v>22</v>
      </c>
      <c r="B18" s="19">
        <f t="shared" ref="B18:M18" si="12">342200</f>
        <v>342200</v>
      </c>
      <c r="C18" s="19">
        <f t="shared" si="12"/>
        <v>342200</v>
      </c>
      <c r="D18" s="19">
        <f t="shared" si="12"/>
        <v>342200</v>
      </c>
      <c r="E18" s="19">
        <f t="shared" si="12"/>
        <v>342200</v>
      </c>
      <c r="F18" s="19">
        <f t="shared" si="12"/>
        <v>342200</v>
      </c>
      <c r="G18" s="19">
        <f t="shared" si="12"/>
        <v>342200</v>
      </c>
      <c r="H18" s="19">
        <f t="shared" si="12"/>
        <v>342200</v>
      </c>
      <c r="I18" s="19">
        <f t="shared" si="12"/>
        <v>342200</v>
      </c>
      <c r="J18" s="17">
        <f t="shared" si="12"/>
        <v>342200</v>
      </c>
      <c r="K18" s="17">
        <f t="shared" si="12"/>
        <v>342200</v>
      </c>
      <c r="L18" s="17">
        <f t="shared" si="12"/>
        <v>342200</v>
      </c>
      <c r="M18" s="17">
        <f t="shared" si="12"/>
        <v>342200</v>
      </c>
      <c r="N18" s="18">
        <f t="shared" si="7"/>
        <v>4106400</v>
      </c>
      <c r="O18" s="29">
        <f t="shared" si="8"/>
        <v>0.2273405477</v>
      </c>
    </row>
    <row r="19" ht="15.75" customHeight="1">
      <c r="A19" s="30" t="s">
        <v>23</v>
      </c>
      <c r="B19" s="19">
        <v>0.0</v>
      </c>
      <c r="C19" s="19">
        <f t="shared" ref="C19:M19" si="13">12189/12</f>
        <v>1015.75</v>
      </c>
      <c r="D19" s="19">
        <f t="shared" si="13"/>
        <v>1015.75</v>
      </c>
      <c r="E19" s="19">
        <f t="shared" si="13"/>
        <v>1015.75</v>
      </c>
      <c r="F19" s="19">
        <f t="shared" si="13"/>
        <v>1015.75</v>
      </c>
      <c r="G19" s="19">
        <f t="shared" si="13"/>
        <v>1015.75</v>
      </c>
      <c r="H19" s="19">
        <f t="shared" si="13"/>
        <v>1015.75</v>
      </c>
      <c r="I19" s="19">
        <f t="shared" si="13"/>
        <v>1015.75</v>
      </c>
      <c r="J19" s="19">
        <f t="shared" si="13"/>
        <v>1015.75</v>
      </c>
      <c r="K19" s="19">
        <f t="shared" si="13"/>
        <v>1015.75</v>
      </c>
      <c r="L19" s="19">
        <f t="shared" si="13"/>
        <v>1015.75</v>
      </c>
      <c r="M19" s="19">
        <f t="shared" si="13"/>
        <v>1015.75</v>
      </c>
      <c r="N19" s="18">
        <f t="shared" si="7"/>
        <v>11173.25</v>
      </c>
      <c r="O19" s="29">
        <f t="shared" si="8"/>
        <v>0.0006185789925</v>
      </c>
    </row>
    <row r="20" ht="15.75" customHeight="1">
      <c r="A20" s="22" t="s">
        <v>24</v>
      </c>
      <c r="B20" s="19">
        <v>6018.0</v>
      </c>
      <c r="C20" s="19">
        <v>6018.0</v>
      </c>
      <c r="D20" s="19">
        <v>6018.0</v>
      </c>
      <c r="E20" s="19">
        <v>6018.0</v>
      </c>
      <c r="F20" s="19">
        <v>6018.0</v>
      </c>
      <c r="G20" s="19">
        <v>6018.0</v>
      </c>
      <c r="H20" s="19">
        <f t="shared" ref="H20:M20" si="14">72216/12</f>
        <v>6018</v>
      </c>
      <c r="I20" s="19">
        <f t="shared" si="14"/>
        <v>6018</v>
      </c>
      <c r="J20" s="19">
        <f t="shared" si="14"/>
        <v>6018</v>
      </c>
      <c r="K20" s="19">
        <f t="shared" si="14"/>
        <v>6018</v>
      </c>
      <c r="L20" s="19">
        <f t="shared" si="14"/>
        <v>6018</v>
      </c>
      <c r="M20" s="19">
        <f t="shared" si="14"/>
        <v>6018</v>
      </c>
      <c r="N20" s="18">
        <f t="shared" si="7"/>
        <v>72216</v>
      </c>
      <c r="O20" s="29">
        <f t="shared" si="8"/>
        <v>0.003998057908</v>
      </c>
    </row>
    <row r="21" ht="15.75" customHeight="1">
      <c r="A21" s="22" t="s">
        <v>25</v>
      </c>
      <c r="B21" s="19">
        <f>11400+326927.36+165407/12</f>
        <v>352111.2767</v>
      </c>
      <c r="C21" s="19">
        <f>336715+1473+165407/12</f>
        <v>351971.9167</v>
      </c>
      <c r="D21" s="19">
        <f>345216+165407/12</f>
        <v>358999.9167</v>
      </c>
      <c r="E21" s="19">
        <f>376724+165407/12</f>
        <v>390507.9167</v>
      </c>
      <c r="F21" s="19">
        <f>378713.01+165407/12</f>
        <v>392496.9267</v>
      </c>
      <c r="G21" s="17">
        <f>377946.01+165407/12</f>
        <v>391729.9267</v>
      </c>
      <c r="H21" s="17">
        <f>165407/12+367668</f>
        <v>381451.9167</v>
      </c>
      <c r="I21" s="17">
        <f>165407/12+392636.01</f>
        <v>406419.9267</v>
      </c>
      <c r="J21" s="17">
        <f>165407/12+377724</f>
        <v>391507.9167</v>
      </c>
      <c r="K21" s="17">
        <f>165407/12+381962</f>
        <v>395745.9167</v>
      </c>
      <c r="L21" s="17">
        <f>165407/12++386979</f>
        <v>400762.9167</v>
      </c>
      <c r="M21" s="17">
        <f>165407/12+398773</f>
        <v>412556.9167</v>
      </c>
      <c r="N21" s="18">
        <f t="shared" si="7"/>
        <v>4626263.39</v>
      </c>
      <c r="O21" s="29">
        <f t="shared" si="8"/>
        <v>0.2561214818</v>
      </c>
    </row>
    <row r="22" ht="15.75" customHeight="1">
      <c r="A22" s="14" t="s">
        <v>26</v>
      </c>
      <c r="B22" s="19">
        <f>1416/3+4720+2950</f>
        <v>8142</v>
      </c>
      <c r="C22" s="19">
        <f t="shared" ref="C22:D22" si="15">1416/3+5192+2950</f>
        <v>8614</v>
      </c>
      <c r="D22" s="19">
        <f t="shared" si="15"/>
        <v>8614</v>
      </c>
      <c r="E22" s="19">
        <f t="shared" ref="E22:G22" si="16">5192+2950</f>
        <v>8142</v>
      </c>
      <c r="F22" s="19">
        <f t="shared" si="16"/>
        <v>8142</v>
      </c>
      <c r="G22" s="17">
        <f t="shared" si="16"/>
        <v>8142</v>
      </c>
      <c r="H22" s="19">
        <f>5192+2950+35395/12</f>
        <v>11091.58333</v>
      </c>
      <c r="I22" s="17">
        <f>4720+2950+35395/12</f>
        <v>10619.58333</v>
      </c>
      <c r="J22" s="17">
        <f t="shared" ref="J22:M22" si="17">35395/12+4720+2950</f>
        <v>10619.58333</v>
      </c>
      <c r="K22" s="17">
        <f t="shared" si="17"/>
        <v>10619.58333</v>
      </c>
      <c r="L22" s="17">
        <f t="shared" si="17"/>
        <v>10619.58333</v>
      </c>
      <c r="M22" s="17">
        <f t="shared" si="17"/>
        <v>10619.58333</v>
      </c>
      <c r="N22" s="18">
        <f t="shared" si="7"/>
        <v>113985.5</v>
      </c>
      <c r="O22" s="29">
        <f t="shared" si="8"/>
        <v>0.006310521625</v>
      </c>
    </row>
    <row r="23" ht="15.75" customHeight="1">
      <c r="A23" s="33" t="s">
        <v>27</v>
      </c>
      <c r="B23" s="19">
        <v>0.0</v>
      </c>
      <c r="C23" s="19">
        <v>0.0</v>
      </c>
      <c r="D23" s="19">
        <v>0.0</v>
      </c>
      <c r="E23" s="19">
        <v>0.0</v>
      </c>
      <c r="F23" s="19">
        <v>0.0</v>
      </c>
      <c r="G23" s="19">
        <v>0.0</v>
      </c>
      <c r="H23" s="17">
        <f t="shared" ref="H23:J23" si="18">2124/3</f>
        <v>708</v>
      </c>
      <c r="I23" s="17">
        <f t="shared" si="18"/>
        <v>708</v>
      </c>
      <c r="J23" s="17">
        <f t="shared" si="18"/>
        <v>708</v>
      </c>
      <c r="K23" s="17">
        <f t="shared" ref="K23:M23" si="19">3304/3</f>
        <v>1101.333333</v>
      </c>
      <c r="L23" s="17">
        <f t="shared" si="19"/>
        <v>1101.333333</v>
      </c>
      <c r="M23" s="17">
        <f t="shared" si="19"/>
        <v>1101.333333</v>
      </c>
      <c r="N23" s="18">
        <f t="shared" si="7"/>
        <v>5428</v>
      </c>
      <c r="O23" s="29">
        <f t="shared" si="8"/>
        <v>0.0003005076205</v>
      </c>
    </row>
    <row r="24" ht="15.75" customHeight="1">
      <c r="A24" s="22" t="s">
        <v>28</v>
      </c>
      <c r="B24" s="19">
        <v>260.0</v>
      </c>
      <c r="C24" s="19">
        <v>400.0</v>
      </c>
      <c r="D24" s="19">
        <v>8271.0</v>
      </c>
      <c r="E24" s="19">
        <v>0.0</v>
      </c>
      <c r="F24" s="19">
        <v>10980.0</v>
      </c>
      <c r="G24" s="19">
        <v>10042.0</v>
      </c>
      <c r="H24" s="19">
        <v>150.0</v>
      </c>
      <c r="I24" s="19">
        <v>40002.0</v>
      </c>
      <c r="J24" s="19">
        <v>4130.0</v>
      </c>
      <c r="K24" s="19">
        <v>2000.0</v>
      </c>
      <c r="L24" s="19">
        <v>4130.0</v>
      </c>
      <c r="M24" s="19">
        <v>660.0</v>
      </c>
      <c r="N24" s="18">
        <f t="shared" si="7"/>
        <v>81025</v>
      </c>
      <c r="O24" s="29">
        <f t="shared" si="8"/>
        <v>0.004485746123</v>
      </c>
    </row>
    <row r="25" ht="15.75" customHeight="1">
      <c r="A25" s="22" t="s">
        <v>29</v>
      </c>
      <c r="B25" s="19">
        <f>14600.36-4000</f>
        <v>10600.36</v>
      </c>
      <c r="C25" s="19">
        <f>13175.89-1256</f>
        <v>11919.89</v>
      </c>
      <c r="D25" s="19">
        <f>15061+8500/6</f>
        <v>16477.66667</v>
      </c>
      <c r="E25" s="19">
        <f>15408.7+8500/6</f>
        <v>16825.36667</v>
      </c>
      <c r="F25" s="19">
        <f>58866.58+8500/6</f>
        <v>60283.24667</v>
      </c>
      <c r="G25" s="19">
        <f>17813.03+8500/6</f>
        <v>19229.69667</v>
      </c>
      <c r="H25" s="19">
        <f>14874.74+8500/6</f>
        <v>16291.40667</v>
      </c>
      <c r="I25" s="19">
        <f>13449.65+8500/6</f>
        <v>14866.31667</v>
      </c>
      <c r="J25" s="19">
        <v>5081.0</v>
      </c>
      <c r="K25" s="17">
        <f>19564.71</f>
        <v>19564.71</v>
      </c>
      <c r="L25" s="19">
        <v>21974.0</v>
      </c>
      <c r="M25" s="17">
        <f>17149.9</f>
        <v>17149.9</v>
      </c>
      <c r="N25" s="18">
        <f t="shared" si="7"/>
        <v>230263.56</v>
      </c>
      <c r="O25" s="29">
        <f t="shared" si="8"/>
        <v>0.01274796509</v>
      </c>
    </row>
    <row r="26" ht="15.75" customHeight="1">
      <c r="A26" s="22" t="s">
        <v>30</v>
      </c>
      <c r="B26" s="19">
        <v>0.0</v>
      </c>
      <c r="C26" s="19">
        <v>0.0</v>
      </c>
      <c r="D26" s="19">
        <v>0.0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8">
        <f t="shared" si="7"/>
        <v>0</v>
      </c>
      <c r="O26" s="29">
        <f t="shared" si="8"/>
        <v>0</v>
      </c>
    </row>
    <row r="27" ht="15.75" customHeight="1">
      <c r="A27" s="22" t="s">
        <v>31</v>
      </c>
      <c r="B27" s="19">
        <f>HO!D29</f>
        <v>302446.5369</v>
      </c>
      <c r="C27" s="19">
        <f>HO!H29</f>
        <v>271192.7175</v>
      </c>
      <c r="D27" s="19">
        <f>HO!L29</f>
        <v>249325.1779</v>
      </c>
      <c r="E27" s="19">
        <f>HO!P29</f>
        <v>291808.5628</v>
      </c>
      <c r="F27" s="19">
        <f>HO!D42</f>
        <v>291269.257</v>
      </c>
      <c r="G27" s="19">
        <f>HO!H42</f>
        <v>256304.2664</v>
      </c>
      <c r="H27" s="19">
        <f>HO!L42</f>
        <v>271838.3377</v>
      </c>
      <c r="I27" s="19">
        <f>HO!P42</f>
        <v>238987.195</v>
      </c>
      <c r="J27" s="17">
        <f>HO!D55</f>
        <v>234417.6064</v>
      </c>
      <c r="K27" s="17">
        <f>HO!H55</f>
        <v>244902.1863</v>
      </c>
      <c r="L27" s="17">
        <f>HO!L55</f>
        <v>221617.4865</v>
      </c>
      <c r="M27" s="17">
        <f>HO!P55</f>
        <v>257081.4169</v>
      </c>
      <c r="N27" s="18">
        <f t="shared" si="7"/>
        <v>3131190.747</v>
      </c>
      <c r="O27" s="29">
        <f t="shared" si="8"/>
        <v>0.1733505307</v>
      </c>
    </row>
    <row r="28" ht="15.75" customHeight="1">
      <c r="A28" s="34" t="s">
        <v>32</v>
      </c>
      <c r="B28" s="35">
        <f t="shared" ref="B28:M28" si="20">+SUM(B14:B27)</f>
        <v>1614993.464</v>
      </c>
      <c r="C28" s="35">
        <f t="shared" si="20"/>
        <v>1594482.514</v>
      </c>
      <c r="D28" s="35">
        <f t="shared" si="20"/>
        <v>1530908.271</v>
      </c>
      <c r="E28" s="35">
        <f t="shared" si="20"/>
        <v>1686869.516</v>
      </c>
      <c r="F28" s="36">
        <f t="shared" si="20"/>
        <v>1726338.39</v>
      </c>
      <c r="G28" s="35">
        <f t="shared" si="20"/>
        <v>1588120.62</v>
      </c>
      <c r="H28" s="35">
        <f t="shared" si="20"/>
        <v>1558938.954</v>
      </c>
      <c r="I28" s="35">
        <f t="shared" si="20"/>
        <v>1569648.502</v>
      </c>
      <c r="J28" s="35">
        <f t="shared" si="20"/>
        <v>1488391.336</v>
      </c>
      <c r="K28" s="35">
        <f t="shared" si="20"/>
        <v>1588824.38</v>
      </c>
      <c r="L28" s="35">
        <f t="shared" si="20"/>
        <v>1507560.87</v>
      </c>
      <c r="M28" s="35">
        <f t="shared" si="20"/>
        <v>1674524.57</v>
      </c>
      <c r="N28" s="35">
        <f t="shared" si="7"/>
        <v>19129601.39</v>
      </c>
      <c r="O28" s="37">
        <f t="shared" si="8"/>
        <v>1.059062453</v>
      </c>
    </row>
    <row r="29" ht="15.75" customHeight="1">
      <c r="A29" s="38" t="s">
        <v>33</v>
      </c>
      <c r="B29" s="39">
        <f t="shared" ref="B29:M29" si="21">B13-B28</f>
        <v>45920.68648</v>
      </c>
      <c r="C29" s="39">
        <f t="shared" si="21"/>
        <v>-56642.32418</v>
      </c>
      <c r="D29" s="39">
        <f t="shared" si="21"/>
        <v>-85765.69125</v>
      </c>
      <c r="E29" s="39">
        <f t="shared" si="21"/>
        <v>-24232.64612</v>
      </c>
      <c r="F29" s="39">
        <f t="shared" si="21"/>
        <v>-114617.1063</v>
      </c>
      <c r="G29" s="39">
        <f t="shared" si="21"/>
        <v>-164702.1797</v>
      </c>
      <c r="H29" s="39">
        <f t="shared" si="21"/>
        <v>-146381.0665</v>
      </c>
      <c r="I29" s="39">
        <f t="shared" si="21"/>
        <v>-230708.3081</v>
      </c>
      <c r="J29" s="39">
        <f t="shared" si="21"/>
        <v>-164335.5464</v>
      </c>
      <c r="K29" s="39">
        <f t="shared" si="21"/>
        <v>4970.061971</v>
      </c>
      <c r="L29" s="39">
        <f t="shared" si="21"/>
        <v>-79310.18188</v>
      </c>
      <c r="M29" s="39">
        <f t="shared" si="21"/>
        <v>-51027.19445</v>
      </c>
      <c r="N29" s="39">
        <f t="shared" si="7"/>
        <v>-1066831.496</v>
      </c>
      <c r="O29" s="40">
        <f t="shared" si="8"/>
        <v>-0.05906245293</v>
      </c>
    </row>
    <row r="30" ht="15.75" customHeight="1">
      <c r="A30" s="41" t="s">
        <v>34</v>
      </c>
      <c r="B30" s="42">
        <f t="shared" ref="B30:M30" si="22">(B14/B13)</f>
        <v>0.277328175</v>
      </c>
      <c r="C30" s="42">
        <f t="shared" si="22"/>
        <v>0.2882050052</v>
      </c>
      <c r="D30" s="42">
        <f t="shared" si="22"/>
        <v>0.2885346856</v>
      </c>
      <c r="E30" s="42">
        <f t="shared" si="22"/>
        <v>0.2924373498</v>
      </c>
      <c r="F30" s="43">
        <f t="shared" si="22"/>
        <v>0.2940466784</v>
      </c>
      <c r="G30" s="42">
        <f t="shared" si="22"/>
        <v>0.2969773105</v>
      </c>
      <c r="H30" s="42">
        <f t="shared" si="22"/>
        <v>0.2841250284</v>
      </c>
      <c r="I30" s="42">
        <f t="shared" si="22"/>
        <v>0.2931555359</v>
      </c>
      <c r="J30" s="42">
        <f t="shared" si="22"/>
        <v>0.2924185544</v>
      </c>
      <c r="K30" s="42">
        <f t="shared" si="22"/>
        <v>0.2772004209</v>
      </c>
      <c r="L30" s="42">
        <f t="shared" si="22"/>
        <v>0.2788603173</v>
      </c>
      <c r="M30" s="42">
        <f t="shared" si="22"/>
        <v>0.3049299662</v>
      </c>
      <c r="N30" s="44"/>
      <c r="O30" s="44"/>
    </row>
    <row r="31" ht="15.75" customHeight="1"/>
    <row r="32" ht="15.75" customHeight="1">
      <c r="B32" s="47">
        <f t="shared" ref="B32:M32" si="23">B29+B27</f>
        <v>348367.2233</v>
      </c>
      <c r="C32" s="47">
        <f t="shared" si="23"/>
        <v>214550.3933</v>
      </c>
      <c r="D32" s="47">
        <f t="shared" si="23"/>
        <v>163559.4867</v>
      </c>
      <c r="E32" s="47">
        <f t="shared" si="23"/>
        <v>267575.9167</v>
      </c>
      <c r="F32" s="47">
        <f t="shared" si="23"/>
        <v>176652.1507</v>
      </c>
      <c r="G32" s="47">
        <f t="shared" si="23"/>
        <v>91602.08667</v>
      </c>
      <c r="H32" s="47">
        <f t="shared" si="23"/>
        <v>125457.2711</v>
      </c>
      <c r="I32" s="47">
        <f t="shared" si="23"/>
        <v>8278.886933</v>
      </c>
      <c r="J32" s="47">
        <f t="shared" si="23"/>
        <v>70082.06</v>
      </c>
      <c r="K32" s="47">
        <f t="shared" si="23"/>
        <v>249872.2483</v>
      </c>
      <c r="L32" s="47">
        <f t="shared" si="23"/>
        <v>142307.3047</v>
      </c>
      <c r="M32" s="47">
        <f t="shared" si="23"/>
        <v>206054.2225</v>
      </c>
    </row>
    <row r="33" ht="15.75" customHeight="1">
      <c r="B33" s="46">
        <f t="shared" ref="B33:M33" si="24">B32/B13</f>
        <v>0.2097442684</v>
      </c>
      <c r="C33" s="46">
        <f t="shared" si="24"/>
        <v>0.1395141021</v>
      </c>
      <c r="D33" s="46">
        <f t="shared" si="24"/>
        <v>0.1131787887</v>
      </c>
      <c r="E33" s="46">
        <f t="shared" si="24"/>
        <v>0.1609346704</v>
      </c>
      <c r="F33" s="46">
        <f t="shared" si="24"/>
        <v>0.1096046521</v>
      </c>
      <c r="G33" s="46">
        <f t="shared" si="24"/>
        <v>0.06435358999</v>
      </c>
      <c r="H33" s="46">
        <f t="shared" si="24"/>
        <v>0.08881566711</v>
      </c>
      <c r="I33" s="46">
        <f t="shared" si="24"/>
        <v>0.006183164097</v>
      </c>
      <c r="J33" s="46">
        <f t="shared" si="24"/>
        <v>0.05292983916</v>
      </c>
      <c r="K33" s="46">
        <f t="shared" si="24"/>
        <v>0.1567782154</v>
      </c>
      <c r="L33" s="46">
        <f t="shared" si="24"/>
        <v>0.09963748372</v>
      </c>
      <c r="M33" s="46">
        <f t="shared" si="24"/>
        <v>0.1269199603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1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15">
        <v>113262.35</v>
      </c>
      <c r="C3" s="17">
        <f t="shared" ref="C3:M3" si="1">B7</f>
        <v>121260</v>
      </c>
      <c r="D3" s="17">
        <f t="shared" si="1"/>
        <v>137987.57</v>
      </c>
      <c r="E3" s="17">
        <f t="shared" si="1"/>
        <v>143225</v>
      </c>
      <c r="F3" s="17">
        <f t="shared" si="1"/>
        <v>166002.72</v>
      </c>
      <c r="G3" s="17">
        <f t="shared" si="1"/>
        <v>101188.84</v>
      </c>
      <c r="H3" s="17">
        <f t="shared" si="1"/>
        <v>111470.17</v>
      </c>
      <c r="I3" s="17">
        <f t="shared" si="1"/>
        <v>113745</v>
      </c>
      <c r="J3" s="17">
        <f t="shared" si="1"/>
        <v>115286.64</v>
      </c>
      <c r="K3" s="17">
        <f t="shared" si="1"/>
        <v>114441</v>
      </c>
      <c r="L3" s="17">
        <f t="shared" si="1"/>
        <v>104221</v>
      </c>
      <c r="M3" s="17">
        <f t="shared" si="1"/>
        <v>102469.89</v>
      </c>
      <c r="N3" s="18">
        <f>+SUM(J3:L3)</f>
        <v>333948.64</v>
      </c>
      <c r="O3" s="20"/>
    </row>
    <row r="4" ht="15.75" customHeight="1">
      <c r="A4" s="14" t="s">
        <v>9</v>
      </c>
      <c r="B4" s="19">
        <v>231341.81</v>
      </c>
      <c r="C4" s="19">
        <v>240232.19</v>
      </c>
      <c r="D4" s="19">
        <v>253530.33</v>
      </c>
      <c r="E4" s="19">
        <v>279888.38</v>
      </c>
      <c r="F4" s="19">
        <v>260746.0</v>
      </c>
      <c r="G4" s="19">
        <v>248834.84</v>
      </c>
      <c r="H4" s="19">
        <v>229757.0</v>
      </c>
      <c r="I4" s="19">
        <v>230448.39</v>
      </c>
      <c r="J4" s="19">
        <v>230500.0</v>
      </c>
      <c r="K4" s="19">
        <v>253056.82</v>
      </c>
      <c r="L4" s="19">
        <v>233249.39</v>
      </c>
      <c r="M4" s="19">
        <v>277179.0</v>
      </c>
      <c r="N4" s="18">
        <f>sum(B4:M4)</f>
        <v>2968764.15</v>
      </c>
      <c r="O4" s="20"/>
    </row>
    <row r="5" ht="15.75" customHeight="1">
      <c r="A5" s="14" t="s">
        <v>10</v>
      </c>
      <c r="B5" s="19">
        <v>0.0</v>
      </c>
      <c r="C5" s="19">
        <v>0.0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8">
        <f t="shared" ref="N5:N6" si="2">+SUM(J5:L5)</f>
        <v>0</v>
      </c>
      <c r="O5" s="20"/>
    </row>
    <row r="6" ht="15.75" customHeight="1">
      <c r="A6" s="14" t="s">
        <v>11</v>
      </c>
      <c r="B6" s="19">
        <v>16378.0</v>
      </c>
      <c r="C6" s="19">
        <v>18212.56</v>
      </c>
      <c r="D6" s="19">
        <v>26508.0</v>
      </c>
      <c r="E6" s="19">
        <v>29066.0</v>
      </c>
      <c r="F6" s="19">
        <v>47148.0</v>
      </c>
      <c r="G6" s="19">
        <v>34694.08</v>
      </c>
      <c r="H6" s="19">
        <v>35522.0</v>
      </c>
      <c r="I6" s="19">
        <v>87346.0</v>
      </c>
      <c r="J6" s="19">
        <v>27518.84</v>
      </c>
      <c r="K6" s="19">
        <v>27885.0</v>
      </c>
      <c r="L6" s="19">
        <v>22240.38</v>
      </c>
      <c r="M6" s="19">
        <v>28820.0</v>
      </c>
      <c r="N6" s="18">
        <f t="shared" si="2"/>
        <v>77644.22</v>
      </c>
      <c r="O6" s="20"/>
    </row>
    <row r="7" ht="15.75" customHeight="1">
      <c r="A7" s="14" t="s">
        <v>12</v>
      </c>
      <c r="B7" s="19">
        <v>121260.0</v>
      </c>
      <c r="C7" s="19">
        <v>137987.57</v>
      </c>
      <c r="D7" s="19">
        <v>143225.0</v>
      </c>
      <c r="E7" s="19">
        <v>166002.72</v>
      </c>
      <c r="F7" s="21">
        <v>101188.84</v>
      </c>
      <c r="G7" s="19">
        <v>111470.17</v>
      </c>
      <c r="H7" s="19">
        <v>113745.0</v>
      </c>
      <c r="I7" s="19">
        <v>115286.64</v>
      </c>
      <c r="J7" s="19">
        <v>114441.0</v>
      </c>
      <c r="K7" s="19">
        <v>104221.0</v>
      </c>
      <c r="L7" s="19">
        <v>102469.89</v>
      </c>
      <c r="M7" s="19">
        <v>103840.45</v>
      </c>
      <c r="N7" s="18">
        <f>sum(B7:M7)</f>
        <v>1435138.28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>
        <f>829820.4*1.05+26602.15*1.05</f>
        <v>899243.6775</v>
      </c>
      <c r="C9" s="17">
        <f>907085.57*1.05+28781.62*1.05</f>
        <v>982660.5495</v>
      </c>
      <c r="D9" s="17">
        <f>867177.71*1.05+27659.83*1.05</f>
        <v>939579.417</v>
      </c>
      <c r="E9" s="17">
        <f>999672.5*1.05</f>
        <v>1049656.125</v>
      </c>
      <c r="F9" s="17">
        <f>965928.68*1.05</f>
        <v>1014225.114</v>
      </c>
      <c r="G9" s="17">
        <f>908088.2*1.05</f>
        <v>953492.61</v>
      </c>
      <c r="H9" s="17">
        <f>845479.53*1.05+25230.54*1.05</f>
        <v>914245.5735</v>
      </c>
      <c r="I9" s="17">
        <f>856139.23*1.05+26555.06*1.05</f>
        <v>926829.0045</v>
      </c>
      <c r="J9" s="17">
        <f>829309*1.05+24974.33*1.05</f>
        <v>896997.4965</v>
      </c>
      <c r="K9" s="19">
        <f>907487.66*1.05+26687.72*1.05</f>
        <v>980884.149</v>
      </c>
      <c r="L9" s="17">
        <f>843829.49*1.05+30669.41*1.05</f>
        <v>918223.845</v>
      </c>
      <c r="M9" s="17">
        <f>946354.9*1.05+37852.19*1.05</f>
        <v>1033417.445</v>
      </c>
      <c r="N9" s="18">
        <f t="shared" ref="N9:N12" si="3">+SUM(B9:M9)</f>
        <v>11509455.01</v>
      </c>
      <c r="O9" s="20"/>
    </row>
    <row r="10" ht="15.75" customHeight="1">
      <c r="A10" s="22" t="s">
        <v>14</v>
      </c>
      <c r="B10" s="19">
        <v>0.0</v>
      </c>
      <c r="C10" s="19">
        <v>0.0</v>
      </c>
      <c r="D10" s="19">
        <v>0.0</v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8">
        <f t="shared" si="3"/>
        <v>0</v>
      </c>
      <c r="O10" s="20"/>
    </row>
    <row r="11" ht="15.75" customHeight="1">
      <c r="A11" s="22" t="s">
        <v>15</v>
      </c>
      <c r="B11" s="17">
        <f t="shared" ref="B11:M11" si="4">(B9+B10)/1.05*0.05</f>
        <v>42821.1275</v>
      </c>
      <c r="C11" s="17">
        <f t="shared" si="4"/>
        <v>46793.3595</v>
      </c>
      <c r="D11" s="17">
        <f t="shared" si="4"/>
        <v>44741.877</v>
      </c>
      <c r="E11" s="17">
        <f t="shared" si="4"/>
        <v>49983.625</v>
      </c>
      <c r="F11" s="17">
        <f t="shared" si="4"/>
        <v>48296.434</v>
      </c>
      <c r="G11" s="17">
        <f t="shared" si="4"/>
        <v>45404.41</v>
      </c>
      <c r="H11" s="17">
        <f t="shared" si="4"/>
        <v>43535.5035</v>
      </c>
      <c r="I11" s="17">
        <f t="shared" si="4"/>
        <v>44134.7145</v>
      </c>
      <c r="J11" s="17">
        <f t="shared" si="4"/>
        <v>42714.1665</v>
      </c>
      <c r="K11" s="17">
        <f t="shared" si="4"/>
        <v>46708.769</v>
      </c>
      <c r="L11" s="17">
        <f t="shared" si="4"/>
        <v>43724.945</v>
      </c>
      <c r="M11" s="17">
        <f t="shared" si="4"/>
        <v>49210.3545</v>
      </c>
      <c r="N11" s="18">
        <f t="shared" si="3"/>
        <v>548069.286</v>
      </c>
      <c r="O11" s="20"/>
    </row>
    <row r="12" ht="15.75" customHeight="1">
      <c r="A12" s="22" t="s">
        <v>16</v>
      </c>
      <c r="B12" s="17">
        <f>61143.68+540.18+11005.86+97.24+26972.86+4855.17+426.05+76.69</f>
        <v>105117.73</v>
      </c>
      <c r="C12" s="17">
        <f>66745.66+101.36+11912.86+21444.12+3441.69+518.79+93.39+3859.95+619.5</f>
        <v>108737.32</v>
      </c>
      <c r="D12" s="17">
        <f>670.77+63812.93+120.74+11486.33+33118.08+5961+215.75+102.44+38.84+18.44</f>
        <v>115545.32</v>
      </c>
      <c r="E12" s="17">
        <f>41812.54+7526.21+421+61793+11198.6+315.68+47.77+9.05+7.93</f>
        <v>123131.78</v>
      </c>
      <c r="F12" s="17">
        <f>57331.77+10319.71+31488.48+5667.97+521.9+93.94</f>
        <v>105423.77</v>
      </c>
      <c r="G12" s="17">
        <f>59964.66+908.91+10793.64+163.6+15035.37+8486.75+4233.97+468.56+84.34+52.05</f>
        <v>100191.85</v>
      </c>
      <c r="H12" s="17">
        <f>58875.1*1.18+30533*1.18+(903.9+449.75)*1.18</f>
        <v>107098.865</v>
      </c>
      <c r="I12" s="17">
        <f>22678.8*1.18+61970.33*1.18+373.73*1.18+7494.7*1.18+609.37*1.18</f>
        <v>109889.7774</v>
      </c>
      <c r="J12" s="17">
        <f>58818.26+10587+30107.66+5419+1872+336.97</f>
        <v>107140.89</v>
      </c>
      <c r="K12" s="17">
        <f>62350.76*1.18+36094.47*1.18+2073.9*1.18</f>
        <v>118612.5734</v>
      </c>
      <c r="L12" s="17">
        <f>23049.55*1.18+72317.5*1.18+1444.71*1.18+236.09</f>
        <v>114473.9668</v>
      </c>
      <c r="M12" s="17">
        <f>30301.84*1.18+88424.41*1.18+2133.72*1.18+239.65</f>
        <v>142854.4146</v>
      </c>
      <c r="N12" s="18">
        <f t="shared" si="3"/>
        <v>1358218.257</v>
      </c>
      <c r="O12" s="20"/>
    </row>
    <row r="13" ht="15.75" customHeight="1">
      <c r="A13" s="24" t="s">
        <v>17</v>
      </c>
      <c r="B13" s="25">
        <f t="shared" ref="B13:M13" si="5">B9+B10-B11-B12</f>
        <v>751304.82</v>
      </c>
      <c r="C13" s="25">
        <f t="shared" si="5"/>
        <v>827129.87</v>
      </c>
      <c r="D13" s="25">
        <f t="shared" si="5"/>
        <v>779292.22</v>
      </c>
      <c r="E13" s="25">
        <f t="shared" si="5"/>
        <v>876540.72</v>
      </c>
      <c r="F13" s="26">
        <f t="shared" si="5"/>
        <v>860504.91</v>
      </c>
      <c r="G13" s="26">
        <f t="shared" si="5"/>
        <v>807896.35</v>
      </c>
      <c r="H13" s="25">
        <f t="shared" si="5"/>
        <v>763611.205</v>
      </c>
      <c r="I13" s="25">
        <f t="shared" si="5"/>
        <v>772804.5126</v>
      </c>
      <c r="J13" s="25">
        <f t="shared" si="5"/>
        <v>747142.44</v>
      </c>
      <c r="K13" s="25">
        <f t="shared" si="5"/>
        <v>815562.8066</v>
      </c>
      <c r="L13" s="25">
        <f t="shared" si="5"/>
        <v>760024.9332</v>
      </c>
      <c r="M13" s="25">
        <f t="shared" si="5"/>
        <v>841352.6754</v>
      </c>
      <c r="N13" s="25">
        <f t="shared" ref="N13:N29" si="7">sum(B13:M13)</f>
        <v>9603167.463</v>
      </c>
      <c r="O13" s="27">
        <f t="shared" ref="O13:O18" si="8">N13/$N$7</f>
        <v>6.691457957</v>
      </c>
    </row>
    <row r="14" ht="15.75" customHeight="1">
      <c r="A14" s="22" t="s">
        <v>18</v>
      </c>
      <c r="B14" s="28">
        <f t="shared" ref="B14:M14" si="6">+B3+B4-B5-B7</f>
        <v>223344.16</v>
      </c>
      <c r="C14" s="28">
        <f t="shared" si="6"/>
        <v>223504.62</v>
      </c>
      <c r="D14" s="28">
        <f t="shared" si="6"/>
        <v>248292.9</v>
      </c>
      <c r="E14" s="28">
        <f t="shared" si="6"/>
        <v>257110.66</v>
      </c>
      <c r="F14" s="28">
        <f t="shared" si="6"/>
        <v>325559.88</v>
      </c>
      <c r="G14" s="28">
        <f t="shared" si="6"/>
        <v>238553.51</v>
      </c>
      <c r="H14" s="28">
        <f t="shared" si="6"/>
        <v>227482.17</v>
      </c>
      <c r="I14" s="28">
        <f t="shared" si="6"/>
        <v>228906.75</v>
      </c>
      <c r="J14" s="28">
        <f t="shared" si="6"/>
        <v>231345.64</v>
      </c>
      <c r="K14" s="28">
        <f t="shared" si="6"/>
        <v>263276.82</v>
      </c>
      <c r="L14" s="28">
        <f t="shared" si="6"/>
        <v>235000.5</v>
      </c>
      <c r="M14" s="28">
        <f t="shared" si="6"/>
        <v>275808.44</v>
      </c>
      <c r="N14" s="18">
        <f t="shared" si="7"/>
        <v>2978186.05</v>
      </c>
      <c r="O14" s="29">
        <f t="shared" si="8"/>
        <v>2.075191005</v>
      </c>
    </row>
    <row r="15" ht="15.75" customHeight="1">
      <c r="A15" s="22" t="s">
        <v>19</v>
      </c>
      <c r="B15" s="19">
        <v>41415.0</v>
      </c>
      <c r="C15" s="19">
        <v>42059.0</v>
      </c>
      <c r="D15" s="17">
        <f>43669</f>
        <v>43669</v>
      </c>
      <c r="E15" s="19">
        <f>44349</f>
        <v>44349</v>
      </c>
      <c r="F15" s="17">
        <f>41826</f>
        <v>41826</v>
      </c>
      <c r="G15" s="19">
        <v>43347.0</v>
      </c>
      <c r="H15" s="19">
        <v>40181.0</v>
      </c>
      <c r="I15" s="19">
        <v>35861.0</v>
      </c>
      <c r="J15" s="19">
        <v>35136.0</v>
      </c>
      <c r="K15" s="17">
        <f>33777</f>
        <v>33777</v>
      </c>
      <c r="L15" s="17">
        <f>32865</f>
        <v>32865</v>
      </c>
      <c r="M15" s="21">
        <v>35000.0</v>
      </c>
      <c r="N15" s="18">
        <f t="shared" si="7"/>
        <v>469485</v>
      </c>
      <c r="O15" s="29">
        <f t="shared" si="8"/>
        <v>0.3271357238</v>
      </c>
    </row>
    <row r="16" ht="15.75" customHeight="1">
      <c r="A16" s="22" t="s">
        <v>20</v>
      </c>
      <c r="B16" s="17"/>
      <c r="C16" s="17"/>
      <c r="D16" s="19">
        <f>2700+489</f>
        <v>3189</v>
      </c>
      <c r="E16" s="17">
        <f>2700</f>
        <v>2700</v>
      </c>
      <c r="F16" s="17">
        <f>1060</f>
        <v>1060</v>
      </c>
      <c r="G16" s="19">
        <f>489+1060</f>
        <v>1549</v>
      </c>
      <c r="H16" s="17">
        <f>1060</f>
        <v>1060</v>
      </c>
      <c r="I16" s="17">
        <f t="shared" ref="I16:J16" si="9">1060+489/2</f>
        <v>1304.5</v>
      </c>
      <c r="J16" s="19">
        <f t="shared" si="9"/>
        <v>1304.5</v>
      </c>
      <c r="K16" s="17">
        <f t="shared" ref="K16:L16" si="10">1060+489</f>
        <v>1549</v>
      </c>
      <c r="L16" s="19">
        <f t="shared" si="10"/>
        <v>1549</v>
      </c>
      <c r="M16" s="17">
        <f>1060</f>
        <v>1060</v>
      </c>
      <c r="N16" s="18">
        <f t="shared" si="7"/>
        <v>16325</v>
      </c>
      <c r="O16" s="29">
        <f t="shared" si="8"/>
        <v>0.01137521048</v>
      </c>
    </row>
    <row r="17" ht="15.75" customHeight="1">
      <c r="A17" s="22" t="s">
        <v>21</v>
      </c>
      <c r="B17" s="19">
        <v>0.0</v>
      </c>
      <c r="C17" s="19">
        <v>0.0</v>
      </c>
      <c r="D17" s="19">
        <v>0.0</v>
      </c>
      <c r="E17" s="19">
        <v>0.0</v>
      </c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19">
        <v>0.0</v>
      </c>
      <c r="L17" s="19">
        <v>0.0</v>
      </c>
      <c r="M17" s="19">
        <v>0.0</v>
      </c>
      <c r="N17" s="18">
        <f t="shared" si="7"/>
        <v>0</v>
      </c>
      <c r="O17" s="29">
        <f t="shared" si="8"/>
        <v>0</v>
      </c>
    </row>
    <row r="18" ht="15.75" customHeight="1">
      <c r="A18" s="22" t="s">
        <v>22</v>
      </c>
      <c r="B18" s="19">
        <v>173000.0</v>
      </c>
      <c r="C18" s="19">
        <v>204140.0</v>
      </c>
      <c r="D18" s="19">
        <v>204140.0</v>
      </c>
      <c r="E18" s="19">
        <v>204140.0</v>
      </c>
      <c r="F18" s="19">
        <v>204140.0</v>
      </c>
      <c r="G18" s="19">
        <v>204140.0</v>
      </c>
      <c r="H18" s="19">
        <v>204140.0</v>
      </c>
      <c r="I18" s="19">
        <v>204140.0</v>
      </c>
      <c r="J18" s="17">
        <f>129837.95</f>
        <v>129837.95</v>
      </c>
      <c r="K18" s="17">
        <f>141767.93</f>
        <v>141767.93</v>
      </c>
      <c r="L18" s="17">
        <f>132657</f>
        <v>132657</v>
      </c>
      <c r="M18" s="17">
        <f>M13*0.175</f>
        <v>147236.7182</v>
      </c>
      <c r="N18" s="18">
        <f t="shared" si="7"/>
        <v>2153479.598</v>
      </c>
      <c r="O18" s="29">
        <f t="shared" si="8"/>
        <v>1.500538051</v>
      </c>
    </row>
    <row r="19" ht="15.75" customHeight="1">
      <c r="A19" s="30" t="s">
        <v>23</v>
      </c>
      <c r="B19" s="19">
        <v>0.0</v>
      </c>
      <c r="C19" s="19">
        <f t="shared" ref="C19:M19" si="11">9708.84/12</f>
        <v>809.07</v>
      </c>
      <c r="D19" s="19">
        <f t="shared" si="11"/>
        <v>809.07</v>
      </c>
      <c r="E19" s="19">
        <f t="shared" si="11"/>
        <v>809.07</v>
      </c>
      <c r="F19" s="19">
        <f t="shared" si="11"/>
        <v>809.07</v>
      </c>
      <c r="G19" s="19">
        <f t="shared" si="11"/>
        <v>809.07</v>
      </c>
      <c r="H19" s="19">
        <f t="shared" si="11"/>
        <v>809.07</v>
      </c>
      <c r="I19" s="19">
        <f t="shared" si="11"/>
        <v>809.07</v>
      </c>
      <c r="J19" s="19">
        <f t="shared" si="11"/>
        <v>809.07</v>
      </c>
      <c r="K19" s="19">
        <f t="shared" si="11"/>
        <v>809.07</v>
      </c>
      <c r="L19" s="19">
        <f t="shared" si="11"/>
        <v>809.07</v>
      </c>
      <c r="M19" s="19">
        <f t="shared" si="11"/>
        <v>809.07</v>
      </c>
      <c r="N19" s="18">
        <f t="shared" si="7"/>
        <v>8899.77</v>
      </c>
      <c r="O19" s="29"/>
    </row>
    <row r="20" ht="15.75" customHeight="1">
      <c r="A20" s="22" t="s">
        <v>24</v>
      </c>
      <c r="B20" s="19">
        <v>7857.0</v>
      </c>
      <c r="C20" s="19">
        <v>7857.0</v>
      </c>
      <c r="D20" s="19">
        <v>7857.0</v>
      </c>
      <c r="E20" s="19">
        <v>7857.0</v>
      </c>
      <c r="F20" s="19">
        <v>7857.0</v>
      </c>
      <c r="G20" s="19">
        <v>7857.0</v>
      </c>
      <c r="H20" s="19">
        <v>7857.0</v>
      </c>
      <c r="I20" s="19">
        <v>7857.0</v>
      </c>
      <c r="J20" s="19">
        <v>7857.0</v>
      </c>
      <c r="K20" s="19">
        <v>7857.0</v>
      </c>
      <c r="L20" s="17">
        <f t="shared" ref="L20:M20" si="12">69207/12</f>
        <v>5767.25</v>
      </c>
      <c r="M20" s="17">
        <f t="shared" si="12"/>
        <v>5767.25</v>
      </c>
      <c r="N20" s="18">
        <f t="shared" si="7"/>
        <v>90104.5</v>
      </c>
      <c r="O20" s="29">
        <f t="shared" ref="O20:O29" si="13">N20/$N$7</f>
        <v>0.06278454227</v>
      </c>
    </row>
    <row r="21" ht="15.75" customHeight="1">
      <c r="A21" s="22" t="s">
        <v>25</v>
      </c>
      <c r="B21" s="17">
        <f>8000+221061.04+105791/12</f>
        <v>237876.9567</v>
      </c>
      <c r="C21" s="17">
        <f>211124+2000+8000+3071+105791/12</f>
        <v>233010.9167</v>
      </c>
      <c r="D21" s="17">
        <f>232145+8000+1600+105791/12</f>
        <v>250560.9167</v>
      </c>
      <c r="E21" s="17">
        <f>239820+8000+105791/12</f>
        <v>256635.9167</v>
      </c>
      <c r="F21" s="17">
        <f>231421.13+8000+4790+105791/12</f>
        <v>253027.0467</v>
      </c>
      <c r="G21" s="19">
        <f>239413+8000+105791/12</f>
        <v>256228.9167</v>
      </c>
      <c r="H21" s="19">
        <f>105791/12+8000+2000+240334.03</f>
        <v>259149.9467</v>
      </c>
      <c r="I21" s="17">
        <f>105791/12+8000+199586.03</f>
        <v>216401.9467</v>
      </c>
      <c r="J21" s="17">
        <f>105791/12+212033+8000+2000</f>
        <v>230848.9167</v>
      </c>
      <c r="K21" s="17">
        <f>105791/12+8000+2000+223872</f>
        <v>242687.9167</v>
      </c>
      <c r="L21" s="17">
        <f>105791/12+8000+207909+2000</f>
        <v>226724.9167</v>
      </c>
      <c r="M21" s="17">
        <f>105791/12+8000+2000+209600</f>
        <v>228415.9167</v>
      </c>
      <c r="N21" s="18">
        <f t="shared" si="7"/>
        <v>2891570.23</v>
      </c>
      <c r="O21" s="29">
        <f t="shared" si="13"/>
        <v>2.014837365</v>
      </c>
    </row>
    <row r="22" ht="15.75" customHeight="1">
      <c r="A22" s="14" t="s">
        <v>26</v>
      </c>
      <c r="B22" s="17">
        <f>1416/3+4720+2950</f>
        <v>8142</v>
      </c>
      <c r="C22" s="17">
        <f t="shared" ref="C22:D22" si="14">1416/3+5192+2950</f>
        <v>8614</v>
      </c>
      <c r="D22" s="17">
        <f t="shared" si="14"/>
        <v>8614</v>
      </c>
      <c r="E22" s="17">
        <f t="shared" ref="E22:H22" si="15">5192+2950</f>
        <v>8142</v>
      </c>
      <c r="F22" s="17">
        <f t="shared" si="15"/>
        <v>8142</v>
      </c>
      <c r="G22" s="17">
        <f t="shared" si="15"/>
        <v>8142</v>
      </c>
      <c r="H22" s="19">
        <f t="shared" si="15"/>
        <v>8142</v>
      </c>
      <c r="I22" s="17">
        <f t="shared" ref="I22:M22" si="16">4720+2950</f>
        <v>7670</v>
      </c>
      <c r="J22" s="17">
        <f t="shared" si="16"/>
        <v>7670</v>
      </c>
      <c r="K22" s="17">
        <f t="shared" si="16"/>
        <v>7670</v>
      </c>
      <c r="L22" s="17">
        <f t="shared" si="16"/>
        <v>7670</v>
      </c>
      <c r="M22" s="17">
        <f t="shared" si="16"/>
        <v>7670</v>
      </c>
      <c r="N22" s="18">
        <f t="shared" si="7"/>
        <v>96288</v>
      </c>
      <c r="O22" s="29">
        <f t="shared" si="13"/>
        <v>0.06709318631</v>
      </c>
    </row>
    <row r="23" ht="15.75" customHeight="1">
      <c r="A23" s="33" t="s">
        <v>27</v>
      </c>
      <c r="B23" s="17"/>
      <c r="C23" s="17"/>
      <c r="D23" s="17"/>
      <c r="E23" s="17"/>
      <c r="F23" s="17"/>
      <c r="G23" s="17"/>
      <c r="H23" s="17">
        <f t="shared" ref="H23:J23" si="17">2124/3</f>
        <v>708</v>
      </c>
      <c r="I23" s="17">
        <f t="shared" si="17"/>
        <v>708</v>
      </c>
      <c r="J23" s="17">
        <f t="shared" si="17"/>
        <v>708</v>
      </c>
      <c r="K23" s="17">
        <f t="shared" ref="K23:M23" si="18">3304/3</f>
        <v>1101.333333</v>
      </c>
      <c r="L23" s="17">
        <f t="shared" si="18"/>
        <v>1101.333333</v>
      </c>
      <c r="M23" s="17">
        <f t="shared" si="18"/>
        <v>1101.333333</v>
      </c>
      <c r="N23" s="18">
        <f t="shared" si="7"/>
        <v>5428</v>
      </c>
      <c r="O23" s="29">
        <f t="shared" si="13"/>
        <v>0.003782213934</v>
      </c>
    </row>
    <row r="24" ht="15.75" customHeight="1">
      <c r="A24" s="22" t="s">
        <v>28</v>
      </c>
      <c r="B24" s="31">
        <v>2050.0</v>
      </c>
      <c r="C24" s="31">
        <v>2086.0</v>
      </c>
      <c r="D24" s="31">
        <v>650.0</v>
      </c>
      <c r="E24" s="31">
        <v>0.0</v>
      </c>
      <c r="F24" s="19">
        <v>8800.0</v>
      </c>
      <c r="G24" s="19">
        <v>1403.0</v>
      </c>
      <c r="H24" s="19">
        <v>829.0</v>
      </c>
      <c r="I24" s="19">
        <v>0.0</v>
      </c>
      <c r="J24" s="19">
        <v>4130.0</v>
      </c>
      <c r="K24" s="19">
        <v>90.0</v>
      </c>
      <c r="L24" s="19">
        <v>200.0</v>
      </c>
      <c r="M24" s="19">
        <v>0.0</v>
      </c>
      <c r="N24" s="18">
        <f t="shared" si="7"/>
        <v>20238</v>
      </c>
      <c r="O24" s="29">
        <f t="shared" si="13"/>
        <v>0.01410177701</v>
      </c>
    </row>
    <row r="25" ht="15.75" customHeight="1">
      <c r="A25" s="22" t="s">
        <v>29</v>
      </c>
      <c r="B25" s="19">
        <f>2236.31</f>
        <v>2236.31</v>
      </c>
      <c r="C25" s="19">
        <v>10836.2</v>
      </c>
      <c r="D25" s="19">
        <v>6437.72</v>
      </c>
      <c r="E25" s="19">
        <v>3523.0</v>
      </c>
      <c r="F25" s="19">
        <v>9397.52</v>
      </c>
      <c r="G25" s="19">
        <v>12884.26</v>
      </c>
      <c r="H25" s="19">
        <v>4402.74</v>
      </c>
      <c r="I25" s="19">
        <v>8665.01</v>
      </c>
      <c r="J25" s="19">
        <v>5081.0</v>
      </c>
      <c r="K25" s="19">
        <v>6929.78</v>
      </c>
      <c r="L25" s="19">
        <v>8029.0</v>
      </c>
      <c r="M25" s="17">
        <f>6273.05</f>
        <v>6273.05</v>
      </c>
      <c r="N25" s="18">
        <f t="shared" si="7"/>
        <v>84695.59</v>
      </c>
      <c r="O25" s="29">
        <f t="shared" si="13"/>
        <v>0.05901563019</v>
      </c>
    </row>
    <row r="26" ht="15.75" customHeight="1">
      <c r="A26" s="22" t="s">
        <v>30</v>
      </c>
      <c r="B26" s="19">
        <v>21240.0</v>
      </c>
      <c r="C26" s="19">
        <v>26036.0</v>
      </c>
      <c r="D26" s="19">
        <v>29010.0</v>
      </c>
      <c r="E26" s="19">
        <v>28150.0</v>
      </c>
      <c r="F26" s="19">
        <v>30396.0</v>
      </c>
      <c r="G26" s="19">
        <v>30396.0</v>
      </c>
      <c r="H26" s="19">
        <v>30396.0</v>
      </c>
      <c r="I26" s="19">
        <v>23988.0</v>
      </c>
      <c r="J26" s="19">
        <v>22070.0</v>
      </c>
      <c r="K26" s="19">
        <v>21278.0</v>
      </c>
      <c r="L26" s="19">
        <v>22302.0</v>
      </c>
      <c r="M26" s="19">
        <v>21972.0</v>
      </c>
      <c r="N26" s="18">
        <f t="shared" si="7"/>
        <v>307234</v>
      </c>
      <c r="O26" s="29">
        <f t="shared" si="13"/>
        <v>0.2140797192</v>
      </c>
    </row>
    <row r="27" ht="15.75" customHeight="1">
      <c r="A27" s="22" t="s">
        <v>31</v>
      </c>
      <c r="B27" s="17">
        <f>HO!D30</f>
        <v>136809.9254</v>
      </c>
      <c r="C27" s="17">
        <f>HO!H30</f>
        <v>145861.4482</v>
      </c>
      <c r="D27" s="17">
        <f>HO!L30</f>
        <v>134448.4441</v>
      </c>
      <c r="E27" s="17">
        <f>HO!P30</f>
        <v>153841.2219</v>
      </c>
      <c r="F27" s="17">
        <f>HO!D43</f>
        <v>155509.9062</v>
      </c>
      <c r="G27" s="17">
        <f>HO!H43</f>
        <v>145471.8272</v>
      </c>
      <c r="H27" s="17">
        <f>HO!L43</f>
        <v>146952.4204</v>
      </c>
      <c r="I27" s="17">
        <f>HO!P43</f>
        <v>137937.7389</v>
      </c>
      <c r="J27" s="17">
        <f>HO!D56</f>
        <v>132277.9174</v>
      </c>
      <c r="K27" s="17">
        <f>HO!H56</f>
        <v>125319.2439</v>
      </c>
      <c r="L27" s="17">
        <f>HO!L56</f>
        <v>117930.8484</v>
      </c>
      <c r="M27" s="17">
        <f>HO!P56</f>
        <v>133228.511</v>
      </c>
      <c r="N27" s="18">
        <f t="shared" si="7"/>
        <v>1665589.453</v>
      </c>
      <c r="O27" s="29">
        <f t="shared" si="13"/>
        <v>1.160577678</v>
      </c>
    </row>
    <row r="28" ht="15.75" customHeight="1">
      <c r="A28" s="34" t="s">
        <v>32</v>
      </c>
      <c r="B28" s="35">
        <f t="shared" ref="B28:M28" si="19">+SUM(B14:B27)</f>
        <v>853971.352</v>
      </c>
      <c r="C28" s="35">
        <f t="shared" si="19"/>
        <v>904814.2548</v>
      </c>
      <c r="D28" s="35">
        <f t="shared" si="19"/>
        <v>937678.0508</v>
      </c>
      <c r="E28" s="35">
        <f t="shared" si="19"/>
        <v>967257.8686</v>
      </c>
      <c r="F28" s="36">
        <f t="shared" si="19"/>
        <v>1046524.423</v>
      </c>
      <c r="G28" s="35">
        <f t="shared" si="19"/>
        <v>950781.5838</v>
      </c>
      <c r="H28" s="35">
        <f t="shared" si="19"/>
        <v>932109.3471</v>
      </c>
      <c r="I28" s="35">
        <f t="shared" si="19"/>
        <v>874249.0155</v>
      </c>
      <c r="J28" s="35">
        <f t="shared" si="19"/>
        <v>809075.994</v>
      </c>
      <c r="K28" s="35">
        <f t="shared" si="19"/>
        <v>854113.0939</v>
      </c>
      <c r="L28" s="35">
        <f t="shared" si="19"/>
        <v>792605.9184</v>
      </c>
      <c r="M28" s="35">
        <f t="shared" si="19"/>
        <v>864342.2892</v>
      </c>
      <c r="N28" s="35">
        <f t="shared" si="7"/>
        <v>10787523.19</v>
      </c>
      <c r="O28" s="37">
        <f t="shared" si="13"/>
        <v>7.516713436</v>
      </c>
    </row>
    <row r="29" ht="15.75" customHeight="1">
      <c r="A29" s="38" t="s">
        <v>33</v>
      </c>
      <c r="B29" s="39">
        <f t="shared" ref="B29:M29" si="20">B13-B28</f>
        <v>-102666.532</v>
      </c>
      <c r="C29" s="39">
        <f t="shared" si="20"/>
        <v>-77684.38484</v>
      </c>
      <c r="D29" s="39">
        <f t="shared" si="20"/>
        <v>-158385.8308</v>
      </c>
      <c r="E29" s="39">
        <f t="shared" si="20"/>
        <v>-90717.14861</v>
      </c>
      <c r="F29" s="39">
        <f t="shared" si="20"/>
        <v>-186019.5129</v>
      </c>
      <c r="G29" s="39">
        <f t="shared" si="20"/>
        <v>-142885.2338</v>
      </c>
      <c r="H29" s="39">
        <f t="shared" si="20"/>
        <v>-168498.1421</v>
      </c>
      <c r="I29" s="39">
        <f t="shared" si="20"/>
        <v>-101444.5029</v>
      </c>
      <c r="J29" s="39">
        <f t="shared" si="20"/>
        <v>-61933.55404</v>
      </c>
      <c r="K29" s="39">
        <f t="shared" si="20"/>
        <v>-38550.28733</v>
      </c>
      <c r="L29" s="39">
        <f t="shared" si="20"/>
        <v>-32580.98523</v>
      </c>
      <c r="M29" s="39">
        <f t="shared" si="20"/>
        <v>-22989.61375</v>
      </c>
      <c r="N29" s="39">
        <f t="shared" si="7"/>
        <v>-1184355.728</v>
      </c>
      <c r="O29" s="40">
        <f t="shared" si="13"/>
        <v>-0.8252554788</v>
      </c>
    </row>
    <row r="30" ht="15.75" customHeight="1">
      <c r="A30" s="41" t="s">
        <v>34</v>
      </c>
      <c r="B30" s="42">
        <f t="shared" ref="B30:M30" si="21">(B14/B13)</f>
        <v>0.2972750261</v>
      </c>
      <c r="C30" s="42">
        <f t="shared" si="21"/>
        <v>0.2702170821</v>
      </c>
      <c r="D30" s="42">
        <f t="shared" si="21"/>
        <v>0.3186133438</v>
      </c>
      <c r="E30" s="42">
        <f t="shared" si="21"/>
        <v>0.2933242622</v>
      </c>
      <c r="F30" s="43">
        <f t="shared" si="21"/>
        <v>0.3783358772</v>
      </c>
      <c r="G30" s="42">
        <f t="shared" si="21"/>
        <v>0.2952773707</v>
      </c>
      <c r="H30" s="42">
        <f t="shared" si="21"/>
        <v>0.2979031325</v>
      </c>
      <c r="I30" s="42">
        <f t="shared" si="21"/>
        <v>0.296202657</v>
      </c>
      <c r="J30" s="42">
        <f t="shared" si="21"/>
        <v>0.3096406088</v>
      </c>
      <c r="K30" s="42">
        <f t="shared" si="21"/>
        <v>0.322816119</v>
      </c>
      <c r="L30" s="42">
        <f t="shared" si="21"/>
        <v>0.3092010403</v>
      </c>
      <c r="M30" s="42">
        <f t="shared" si="21"/>
        <v>0.3278154905</v>
      </c>
      <c r="N30" s="44"/>
      <c r="O30" s="44"/>
    </row>
    <row r="31" ht="15.75" customHeight="1"/>
    <row r="32" ht="15.75" customHeight="1">
      <c r="B32" s="45">
        <f t="shared" ref="B32:M32" si="22">B29+B27</f>
        <v>34143.39333</v>
      </c>
      <c r="C32" s="45">
        <f t="shared" si="22"/>
        <v>68177.06333</v>
      </c>
      <c r="D32" s="45">
        <f t="shared" si="22"/>
        <v>-23937.38667</v>
      </c>
      <c r="E32" s="45">
        <f t="shared" si="22"/>
        <v>63124.07333</v>
      </c>
      <c r="F32" s="45">
        <f t="shared" si="22"/>
        <v>-30509.60667</v>
      </c>
      <c r="G32" s="45">
        <f t="shared" si="22"/>
        <v>2586.593333</v>
      </c>
      <c r="H32" s="45">
        <f t="shared" si="22"/>
        <v>-21545.72167</v>
      </c>
      <c r="I32" s="45">
        <f t="shared" si="22"/>
        <v>36493.23593</v>
      </c>
      <c r="J32" s="45">
        <f t="shared" si="22"/>
        <v>70344.36333</v>
      </c>
      <c r="K32" s="45">
        <f t="shared" si="22"/>
        <v>86768.9566</v>
      </c>
      <c r="L32" s="45">
        <f t="shared" si="22"/>
        <v>85349.8632</v>
      </c>
      <c r="M32" s="45">
        <f t="shared" si="22"/>
        <v>110238.8972</v>
      </c>
    </row>
    <row r="33" ht="15.75" customHeight="1">
      <c r="B33" s="46">
        <f t="shared" ref="B33:M33" si="23">B32/B13</f>
        <v>0.04544546025</v>
      </c>
      <c r="C33" s="46">
        <f t="shared" si="23"/>
        <v>0.08242606851</v>
      </c>
      <c r="D33" s="46">
        <f t="shared" si="23"/>
        <v>-0.03071683003</v>
      </c>
      <c r="E33" s="46">
        <f t="shared" si="23"/>
        <v>0.07201499245</v>
      </c>
      <c r="F33" s="46">
        <f t="shared" si="23"/>
        <v>-0.03545547075</v>
      </c>
      <c r="G33" s="46">
        <f t="shared" si="23"/>
        <v>0.003201640078</v>
      </c>
      <c r="H33" s="46">
        <f t="shared" si="23"/>
        <v>-0.0282155651</v>
      </c>
      <c r="I33" s="46">
        <f t="shared" si="23"/>
        <v>0.04722182045</v>
      </c>
      <c r="J33" s="46">
        <f t="shared" si="23"/>
        <v>0.09415120808</v>
      </c>
      <c r="K33" s="46">
        <f t="shared" si="23"/>
        <v>0.1063915077</v>
      </c>
      <c r="L33" s="46">
        <f t="shared" si="23"/>
        <v>0.1122987674</v>
      </c>
      <c r="M33" s="46">
        <f t="shared" si="23"/>
        <v>0.1310257879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0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16">
        <v>69947.38</v>
      </c>
      <c r="C3" s="17">
        <f t="shared" ref="C3:L3" si="1">B7</f>
        <v>59258</v>
      </c>
      <c r="D3" s="17">
        <f t="shared" si="1"/>
        <v>69444.99</v>
      </c>
      <c r="E3" s="17">
        <f t="shared" si="1"/>
        <v>60044</v>
      </c>
      <c r="F3" s="17">
        <f t="shared" si="1"/>
        <v>45426.98</v>
      </c>
      <c r="G3" s="17">
        <f t="shared" si="1"/>
        <v>53808.21</v>
      </c>
      <c r="H3" s="17">
        <f t="shared" si="1"/>
        <v>58929</v>
      </c>
      <c r="I3" s="17">
        <f t="shared" si="1"/>
        <v>48334.34</v>
      </c>
      <c r="J3" s="17">
        <f t="shared" si="1"/>
        <v>50585.84</v>
      </c>
      <c r="K3" s="17">
        <f t="shared" si="1"/>
        <v>56220.7</v>
      </c>
      <c r="L3" s="17">
        <f t="shared" si="1"/>
        <v>53529.27</v>
      </c>
      <c r="M3" s="19">
        <v>45608.0</v>
      </c>
      <c r="N3" s="18">
        <f>+SUM(J3:L3)</f>
        <v>160335.81</v>
      </c>
      <c r="O3" s="20"/>
    </row>
    <row r="4" ht="15.75" customHeight="1">
      <c r="A4" s="14" t="s">
        <v>9</v>
      </c>
      <c r="B4" s="19">
        <v>320692.0</v>
      </c>
      <c r="C4" s="19">
        <v>313947.0</v>
      </c>
      <c r="D4" s="19">
        <v>297249.26</v>
      </c>
      <c r="E4" s="19">
        <v>314795.51</v>
      </c>
      <c r="F4" s="19">
        <v>271499.59</v>
      </c>
      <c r="G4" s="19">
        <v>248652.14</v>
      </c>
      <c r="H4" s="19">
        <v>204359.52</v>
      </c>
      <c r="I4" s="17">
        <f>223183.03</f>
        <v>223183.03</v>
      </c>
      <c r="J4" s="19">
        <v>209421.0</v>
      </c>
      <c r="K4" s="19">
        <v>247161.0</v>
      </c>
      <c r="L4" s="19">
        <v>267297.0</v>
      </c>
      <c r="M4" s="19">
        <v>353180.0</v>
      </c>
      <c r="N4" s="18">
        <f>sum(B4:M4)</f>
        <v>3271437.05</v>
      </c>
      <c r="O4" s="20"/>
    </row>
    <row r="5" ht="15.75" customHeight="1">
      <c r="A5" s="14" t="s">
        <v>10</v>
      </c>
      <c r="B5" s="19">
        <v>0.0</v>
      </c>
      <c r="C5" s="19">
        <v>188.2</v>
      </c>
      <c r="D5" s="19">
        <v>869.27</v>
      </c>
      <c r="E5" s="19">
        <v>0.0</v>
      </c>
      <c r="F5" s="19">
        <v>0.0</v>
      </c>
      <c r="G5" s="19">
        <v>0.0</v>
      </c>
      <c r="H5" s="19">
        <v>0.0</v>
      </c>
      <c r="I5" s="19">
        <v>3012.0</v>
      </c>
      <c r="J5" s="19">
        <v>2081.0</v>
      </c>
      <c r="K5" s="19">
        <v>313.08</v>
      </c>
      <c r="L5" s="19">
        <v>0.0</v>
      </c>
      <c r="M5" s="19">
        <v>2549.0</v>
      </c>
      <c r="N5" s="18">
        <f t="shared" ref="N5:N6" si="2">+SUM(J5:L5)</f>
        <v>2394.08</v>
      </c>
      <c r="O5" s="20"/>
    </row>
    <row r="6" ht="15.75" customHeight="1">
      <c r="A6" s="14" t="s">
        <v>11</v>
      </c>
      <c r="B6" s="19">
        <v>13084.0</v>
      </c>
      <c r="C6" s="19">
        <v>12747.4</v>
      </c>
      <c r="D6" s="19">
        <v>10061.5</v>
      </c>
      <c r="E6" s="19">
        <v>12870.0</v>
      </c>
      <c r="F6" s="19">
        <v>11107.82</v>
      </c>
      <c r="G6" s="19">
        <v>10476.72</v>
      </c>
      <c r="H6" s="19">
        <v>11336.65</v>
      </c>
      <c r="I6" s="19">
        <v>12109.0</v>
      </c>
      <c r="J6" s="19">
        <v>9660.0</v>
      </c>
      <c r="K6" s="19">
        <v>7806.86</v>
      </c>
      <c r="L6" s="19">
        <v>10990.87</v>
      </c>
      <c r="M6" s="19">
        <v>13146.0</v>
      </c>
      <c r="N6" s="18">
        <f t="shared" si="2"/>
        <v>28457.73</v>
      </c>
      <c r="O6" s="20"/>
    </row>
    <row r="7" ht="15.75" customHeight="1">
      <c r="A7" s="14" t="s">
        <v>12</v>
      </c>
      <c r="B7" s="19">
        <v>59258.0</v>
      </c>
      <c r="C7" s="19">
        <v>69444.99</v>
      </c>
      <c r="D7" s="19">
        <v>60044.0</v>
      </c>
      <c r="E7" s="19">
        <v>45426.98</v>
      </c>
      <c r="F7" s="19">
        <v>53808.21</v>
      </c>
      <c r="G7" s="19">
        <v>58929.0</v>
      </c>
      <c r="H7" s="19">
        <v>48334.34</v>
      </c>
      <c r="I7" s="19">
        <v>50585.84</v>
      </c>
      <c r="J7" s="19">
        <v>56220.7</v>
      </c>
      <c r="K7" s="19">
        <v>53529.27</v>
      </c>
      <c r="L7" s="19">
        <v>42647.35</v>
      </c>
      <c r="M7" s="19">
        <v>53662.56</v>
      </c>
      <c r="N7" s="18">
        <f>sum(B7:M7)</f>
        <v>651891.24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>
        <f>1108957.67*1.05+21479.66*1.05</f>
        <v>1186959.197</v>
      </c>
      <c r="C9" s="17">
        <f>1087356.68*1.05+27414.98*1.05</f>
        <v>1170510.243</v>
      </c>
      <c r="D9" s="17">
        <f>1146158*1.05+28806*1.05</f>
        <v>1233712.2</v>
      </c>
      <c r="E9" s="17">
        <f>1413614.41*1.05</f>
        <v>1484295.131</v>
      </c>
      <c r="F9" s="17">
        <f>1178231.92*1.05</f>
        <v>1237143.516</v>
      </c>
      <c r="G9" s="17">
        <f>1144949.94*1.05</f>
        <v>1202197.437</v>
      </c>
      <c r="H9" s="17">
        <f>987131.77*1.05+23319*1.05</f>
        <v>1060973.309</v>
      </c>
      <c r="I9" s="17">
        <f>1025553.59*1.05+21467.61*1.05</f>
        <v>1099372.26</v>
      </c>
      <c r="J9" s="17">
        <f>908955*1.05+20023.42*1.05</f>
        <v>975427.341</v>
      </c>
      <c r="K9" s="19">
        <f>1168323.69*1.05+25445.84*1.05</f>
        <v>1253458.007</v>
      </c>
      <c r="L9" s="17">
        <f>1264919.22*1.05+31881.8*1.05</f>
        <v>1361641.071</v>
      </c>
      <c r="M9" s="17">
        <f>1597663.94*1.05+50210.8*1.05</f>
        <v>1730268.477</v>
      </c>
      <c r="N9" s="18">
        <f t="shared" ref="N9:N12" si="3">+SUM(B9:M9)</f>
        <v>14995958.19</v>
      </c>
      <c r="O9" s="20"/>
    </row>
    <row r="10" ht="15.75" customHeight="1">
      <c r="A10" s="22" t="s">
        <v>14</v>
      </c>
      <c r="B10" s="19">
        <v>0.0</v>
      </c>
      <c r="C10" s="19">
        <v>0.0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>
        <f t="shared" si="3"/>
        <v>0</v>
      </c>
      <c r="O10" s="20"/>
    </row>
    <row r="11" ht="15.75" customHeight="1">
      <c r="A11" s="22" t="s">
        <v>15</v>
      </c>
      <c r="B11" s="17">
        <f t="shared" ref="B11:M11" si="4">(B9+B10)/1.05*0.05</f>
        <v>56521.8665</v>
      </c>
      <c r="C11" s="17">
        <f t="shared" si="4"/>
        <v>55738.583</v>
      </c>
      <c r="D11" s="17">
        <f t="shared" si="4"/>
        <v>58748.2</v>
      </c>
      <c r="E11" s="17">
        <f t="shared" si="4"/>
        <v>70680.7205</v>
      </c>
      <c r="F11" s="17">
        <f t="shared" si="4"/>
        <v>58911.596</v>
      </c>
      <c r="G11" s="17">
        <f t="shared" si="4"/>
        <v>57247.497</v>
      </c>
      <c r="H11" s="17">
        <f t="shared" si="4"/>
        <v>50522.5385</v>
      </c>
      <c r="I11" s="23">
        <f t="shared" si="4"/>
        <v>52351.06</v>
      </c>
      <c r="J11" s="23">
        <f t="shared" si="4"/>
        <v>46448.921</v>
      </c>
      <c r="K11" s="23">
        <f t="shared" si="4"/>
        <v>59688.4765</v>
      </c>
      <c r="L11" s="23">
        <f t="shared" si="4"/>
        <v>64840.051</v>
      </c>
      <c r="M11" s="23">
        <f t="shared" si="4"/>
        <v>82393.737</v>
      </c>
      <c r="N11" s="18">
        <f t="shared" si="3"/>
        <v>714093.247</v>
      </c>
      <c r="O11" s="20"/>
    </row>
    <row r="12" ht="15.75" customHeight="1">
      <c r="A12" s="22" t="s">
        <v>16</v>
      </c>
      <c r="B12" s="17">
        <f>12313+2216+41.6+7.5+48974</f>
        <v>63552.1</v>
      </c>
      <c r="C12" s="17">
        <f>63157+15+11370.98+10193.15+1647.24+1834.75+296.5+5.58+1</f>
        <v>88521.2</v>
      </c>
      <c r="D12" s="17">
        <f>66458+11962+15915.46+9158+2864+1648+73.93+13.32</f>
        <v>108092.71</v>
      </c>
      <c r="E12" s="17">
        <f>38209+6877+72514+13052.68+1789+322</f>
        <v>132763.68</v>
      </c>
      <c r="F12" s="17">
        <f>28959.75+59581.3+10724+5212.74+925.89+166.66</f>
        <v>105570.34</v>
      </c>
      <c r="G12" s="17">
        <f>57044.96+21668.61+10268.04+3900.4+903.54+162.43</f>
        <v>93947.98</v>
      </c>
      <c r="H12" s="17">
        <f>53733.54*1.18+16043.69*1.18+537.71*1.18+1161.28*1.18</f>
        <v>84341.9396</v>
      </c>
      <c r="I12" s="17">
        <f>15286.3*1.18+49400.78*1.18+391.18*1.18+5712.64*1.18+118.23*1.18</f>
        <v>83672.7734</v>
      </c>
      <c r="J12" s="17">
        <f>46336+167+8340.57+19888.98+3578.07</f>
        <v>78310.62</v>
      </c>
      <c r="K12" s="17">
        <f>59179.83+10652.37+26992.14*1.18+1015.75*1.18</f>
        <v>102881.5102</v>
      </c>
      <c r="L12" s="17">
        <f>22775.77*1.18+73674.45*1.18+1083.67*1.18</f>
        <v>115089.9902</v>
      </c>
      <c r="M12" s="17">
        <f>116064.71*1.18+43739.79*1.18+808.8*1.18</f>
        <v>189523.694</v>
      </c>
      <c r="N12" s="18">
        <f t="shared" si="3"/>
        <v>1246268.537</v>
      </c>
      <c r="O12" s="20"/>
    </row>
    <row r="13" ht="15.75" customHeight="1">
      <c r="A13" s="24" t="s">
        <v>17</v>
      </c>
      <c r="B13" s="25">
        <f t="shared" ref="B13:M13" si="5">B9+B10-B11-B12</f>
        <v>1066885.23</v>
      </c>
      <c r="C13" s="25">
        <f t="shared" si="5"/>
        <v>1026250.46</v>
      </c>
      <c r="D13" s="25">
        <f t="shared" si="5"/>
        <v>1066871.29</v>
      </c>
      <c r="E13" s="25">
        <f t="shared" si="5"/>
        <v>1280850.73</v>
      </c>
      <c r="F13" s="26">
        <f t="shared" si="5"/>
        <v>1072661.58</v>
      </c>
      <c r="G13" s="26">
        <f t="shared" si="5"/>
        <v>1051001.96</v>
      </c>
      <c r="H13" s="25">
        <f t="shared" si="5"/>
        <v>926108.8304</v>
      </c>
      <c r="I13" s="25">
        <f t="shared" si="5"/>
        <v>963348.4266</v>
      </c>
      <c r="J13" s="25">
        <f t="shared" si="5"/>
        <v>850667.8</v>
      </c>
      <c r="K13" s="25">
        <f t="shared" si="5"/>
        <v>1090888.02</v>
      </c>
      <c r="L13" s="25">
        <f t="shared" si="5"/>
        <v>1181711.03</v>
      </c>
      <c r="M13" s="25">
        <f t="shared" si="5"/>
        <v>1458351.046</v>
      </c>
      <c r="N13" s="25">
        <f t="shared" ref="N13:N29" si="7">sum(B13:M13)</f>
        <v>13035596.4</v>
      </c>
      <c r="O13" s="27">
        <f t="shared" ref="O13:O18" si="8">N13/$N$7</f>
        <v>19.99658164</v>
      </c>
    </row>
    <row r="14" ht="15.75" customHeight="1">
      <c r="A14" s="22" t="s">
        <v>18</v>
      </c>
      <c r="B14" s="28">
        <f t="shared" ref="B14:M14" si="6">+B3+B4-B5-B7</f>
        <v>331381.38</v>
      </c>
      <c r="C14" s="28">
        <f t="shared" si="6"/>
        <v>303571.81</v>
      </c>
      <c r="D14" s="28">
        <f t="shared" si="6"/>
        <v>305780.98</v>
      </c>
      <c r="E14" s="28">
        <f t="shared" si="6"/>
        <v>329412.53</v>
      </c>
      <c r="F14" s="28">
        <f t="shared" si="6"/>
        <v>263118.36</v>
      </c>
      <c r="G14" s="28">
        <f t="shared" si="6"/>
        <v>243531.35</v>
      </c>
      <c r="H14" s="28">
        <f t="shared" si="6"/>
        <v>214954.18</v>
      </c>
      <c r="I14" s="28">
        <f t="shared" si="6"/>
        <v>217919.53</v>
      </c>
      <c r="J14" s="28">
        <f t="shared" si="6"/>
        <v>201705.14</v>
      </c>
      <c r="K14" s="28">
        <f t="shared" si="6"/>
        <v>249539.35</v>
      </c>
      <c r="L14" s="28">
        <f t="shared" si="6"/>
        <v>278178.92</v>
      </c>
      <c r="M14" s="28">
        <f t="shared" si="6"/>
        <v>342576.44</v>
      </c>
      <c r="N14" s="18">
        <f t="shared" si="7"/>
        <v>3281669.97</v>
      </c>
      <c r="O14" s="29">
        <f t="shared" si="8"/>
        <v>5.034075884</v>
      </c>
    </row>
    <row r="15" ht="15.75" customHeight="1">
      <c r="A15" s="22" t="s">
        <v>19</v>
      </c>
      <c r="B15" s="19">
        <v>43747.0</v>
      </c>
      <c r="C15" s="19">
        <v>34837.8</v>
      </c>
      <c r="D15" s="19">
        <v>51583.7</v>
      </c>
      <c r="E15" s="19">
        <v>58116.98</v>
      </c>
      <c r="F15" s="19">
        <v>52151.54</v>
      </c>
      <c r="G15" s="19">
        <v>51591.0</v>
      </c>
      <c r="H15" s="19">
        <v>53451.0</v>
      </c>
      <c r="I15" s="19">
        <v>39131.0</v>
      </c>
      <c r="J15" s="19">
        <v>33071.0</v>
      </c>
      <c r="K15" s="19">
        <v>35312.0</v>
      </c>
      <c r="L15" s="19">
        <f>40776.78</f>
        <v>40776.78</v>
      </c>
      <c r="M15" s="17">
        <f>41665.7</f>
        <v>41665.7</v>
      </c>
      <c r="N15" s="18">
        <f t="shared" si="7"/>
        <v>535435.5</v>
      </c>
      <c r="O15" s="29">
        <f t="shared" si="8"/>
        <v>0.8213571025</v>
      </c>
    </row>
    <row r="16" ht="15.75" customHeight="1">
      <c r="A16" s="22" t="s">
        <v>20</v>
      </c>
      <c r="B16" s="17">
        <f t="shared" ref="B16:C16" si="9">1060</f>
        <v>1060</v>
      </c>
      <c r="C16" s="17">
        <f t="shared" si="9"/>
        <v>1060</v>
      </c>
      <c r="D16" s="19">
        <v>1060.0</v>
      </c>
      <c r="E16" s="19">
        <v>1060.0</v>
      </c>
      <c r="F16" s="19">
        <v>2003.0</v>
      </c>
      <c r="G16" s="17">
        <f>943+199</f>
        <v>1142</v>
      </c>
      <c r="H16" s="17">
        <f>943+548</f>
        <v>1491</v>
      </c>
      <c r="I16" s="17">
        <f>199+943</f>
        <v>1142</v>
      </c>
      <c r="J16" s="17">
        <f>942+548</f>
        <v>1490</v>
      </c>
      <c r="K16" s="17">
        <f>2238/3+548</f>
        <v>1294</v>
      </c>
      <c r="L16" s="17">
        <f t="shared" ref="L16:M16" si="10">2238/3+942</f>
        <v>1688</v>
      </c>
      <c r="M16" s="17">
        <f t="shared" si="10"/>
        <v>1688</v>
      </c>
      <c r="N16" s="18">
        <f t="shared" si="7"/>
        <v>16178</v>
      </c>
      <c r="O16" s="29">
        <f t="shared" si="8"/>
        <v>0.02481702316</v>
      </c>
    </row>
    <row r="17" ht="15.75" customHeight="1">
      <c r="A17" s="22" t="s">
        <v>21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>
        <f t="shared" si="7"/>
        <v>0</v>
      </c>
      <c r="O17" s="29">
        <f t="shared" si="8"/>
        <v>0</v>
      </c>
    </row>
    <row r="18" ht="15.75" customHeight="1">
      <c r="A18" s="22" t="s">
        <v>22</v>
      </c>
      <c r="B18" s="17">
        <f t="shared" ref="B18:M18" si="11">139240</f>
        <v>139240</v>
      </c>
      <c r="C18" s="17">
        <f t="shared" si="11"/>
        <v>139240</v>
      </c>
      <c r="D18" s="17">
        <f t="shared" si="11"/>
        <v>139240</v>
      </c>
      <c r="E18" s="17">
        <f t="shared" si="11"/>
        <v>139240</v>
      </c>
      <c r="F18" s="17">
        <f t="shared" si="11"/>
        <v>139240</v>
      </c>
      <c r="G18" s="17">
        <f t="shared" si="11"/>
        <v>139240</v>
      </c>
      <c r="H18" s="17">
        <f t="shared" si="11"/>
        <v>139240</v>
      </c>
      <c r="I18" s="17">
        <f t="shared" si="11"/>
        <v>139240</v>
      </c>
      <c r="J18" s="17">
        <f t="shared" si="11"/>
        <v>139240</v>
      </c>
      <c r="K18" s="17">
        <f t="shared" si="11"/>
        <v>139240</v>
      </c>
      <c r="L18" s="17">
        <f t="shared" si="11"/>
        <v>139240</v>
      </c>
      <c r="M18" s="17">
        <f t="shared" si="11"/>
        <v>139240</v>
      </c>
      <c r="N18" s="18">
        <f t="shared" si="7"/>
        <v>1670880</v>
      </c>
      <c r="O18" s="29">
        <f t="shared" si="8"/>
        <v>2.563126941</v>
      </c>
    </row>
    <row r="19" ht="15.75" customHeight="1">
      <c r="A19" s="30" t="s">
        <v>23</v>
      </c>
      <c r="B19" s="31">
        <v>0.0</v>
      </c>
      <c r="C19" s="32">
        <f t="shared" ref="C19:M19" si="12">12662/12</f>
        <v>1055.166667</v>
      </c>
      <c r="D19" s="32">
        <f t="shared" si="12"/>
        <v>1055.166667</v>
      </c>
      <c r="E19" s="32">
        <f t="shared" si="12"/>
        <v>1055.166667</v>
      </c>
      <c r="F19" s="32">
        <f t="shared" si="12"/>
        <v>1055.166667</v>
      </c>
      <c r="G19" s="32">
        <f t="shared" si="12"/>
        <v>1055.166667</v>
      </c>
      <c r="H19" s="32">
        <f t="shared" si="12"/>
        <v>1055.166667</v>
      </c>
      <c r="I19" s="32">
        <f t="shared" si="12"/>
        <v>1055.166667</v>
      </c>
      <c r="J19" s="32">
        <f t="shared" si="12"/>
        <v>1055.166667</v>
      </c>
      <c r="K19" s="32">
        <f t="shared" si="12"/>
        <v>1055.166667</v>
      </c>
      <c r="L19" s="32">
        <f t="shared" si="12"/>
        <v>1055.166667</v>
      </c>
      <c r="M19" s="32">
        <f t="shared" si="12"/>
        <v>1055.166667</v>
      </c>
      <c r="N19" s="18">
        <f t="shared" si="7"/>
        <v>11606.83333</v>
      </c>
      <c r="O19" s="29"/>
    </row>
    <row r="20" ht="15.75" customHeight="1">
      <c r="A20" s="22" t="s">
        <v>24</v>
      </c>
      <c r="B20" s="19">
        <f t="shared" ref="B20:M20" si="13">57171/12</f>
        <v>4764.25</v>
      </c>
      <c r="C20" s="19">
        <f t="shared" si="13"/>
        <v>4764.25</v>
      </c>
      <c r="D20" s="19">
        <f t="shared" si="13"/>
        <v>4764.25</v>
      </c>
      <c r="E20" s="19">
        <f t="shared" si="13"/>
        <v>4764.25</v>
      </c>
      <c r="F20" s="19">
        <f t="shared" si="13"/>
        <v>4764.25</v>
      </c>
      <c r="G20" s="19">
        <f t="shared" si="13"/>
        <v>4764.25</v>
      </c>
      <c r="H20" s="19">
        <f t="shared" si="13"/>
        <v>4764.25</v>
      </c>
      <c r="I20" s="19">
        <f t="shared" si="13"/>
        <v>4764.25</v>
      </c>
      <c r="J20" s="19">
        <f t="shared" si="13"/>
        <v>4764.25</v>
      </c>
      <c r="K20" s="19">
        <f t="shared" si="13"/>
        <v>4764.25</v>
      </c>
      <c r="L20" s="19">
        <f t="shared" si="13"/>
        <v>4764.25</v>
      </c>
      <c r="M20" s="19">
        <f t="shared" si="13"/>
        <v>4764.25</v>
      </c>
      <c r="N20" s="18">
        <f t="shared" si="7"/>
        <v>57171</v>
      </c>
      <c r="O20" s="29">
        <f t="shared" ref="O20:O29" si="14">N20/$N$7</f>
        <v>0.08770021208</v>
      </c>
    </row>
    <row r="21" ht="15.75" customHeight="1">
      <c r="A21" s="22" t="s">
        <v>25</v>
      </c>
      <c r="B21" s="17">
        <f>+210960.686+8230+74614/12</f>
        <v>225408.5193</v>
      </c>
      <c r="C21" s="19">
        <f>217635+8230+74614/12</f>
        <v>232082.8333</v>
      </c>
      <c r="D21" s="17">
        <f>235127.51+8230+74614/12</f>
        <v>249575.3433</v>
      </c>
      <c r="E21" s="17">
        <f>225230+8230+74614/12</f>
        <v>239677.8333</v>
      </c>
      <c r="F21" s="17">
        <f>226129+8230+74614/12</f>
        <v>240576.8333</v>
      </c>
      <c r="G21" s="17">
        <f>215848+8230+74614/12</f>
        <v>230295.8333</v>
      </c>
      <c r="H21" s="17">
        <f>74614/12+229414+8230</f>
        <v>243861.8333</v>
      </c>
      <c r="I21" s="17">
        <f>74614/12+8230+223343.02</f>
        <v>237790.8533</v>
      </c>
      <c r="J21" s="17">
        <f>74614/12+220314+8230</f>
        <v>234761.8333</v>
      </c>
      <c r="K21" s="17">
        <f>74614/12+8230+252334</f>
        <v>266781.8333</v>
      </c>
      <c r="L21" s="17">
        <f>74614/12+251813+9250</f>
        <v>267280.8333</v>
      </c>
      <c r="M21" s="17">
        <f>74614/12+9250+217639</f>
        <v>233106.8333</v>
      </c>
      <c r="N21" s="18">
        <f t="shared" si="7"/>
        <v>2901201.216</v>
      </c>
      <c r="O21" s="29">
        <f t="shared" si="14"/>
        <v>4.450437493</v>
      </c>
    </row>
    <row r="22" ht="15.75" customHeight="1">
      <c r="A22" s="14" t="s">
        <v>26</v>
      </c>
      <c r="B22" s="19">
        <f>2950+4720</f>
        <v>7670</v>
      </c>
      <c r="C22" s="17">
        <f>4720+2950</f>
        <v>7670</v>
      </c>
      <c r="D22" s="17">
        <f t="shared" ref="D22:H22" si="15">5192+2950</f>
        <v>8142</v>
      </c>
      <c r="E22" s="17">
        <f t="shared" si="15"/>
        <v>8142</v>
      </c>
      <c r="F22" s="17">
        <f t="shared" si="15"/>
        <v>8142</v>
      </c>
      <c r="G22" s="17">
        <f t="shared" si="15"/>
        <v>8142</v>
      </c>
      <c r="H22" s="17">
        <f t="shared" si="15"/>
        <v>8142</v>
      </c>
      <c r="I22" s="17">
        <f>4760+2950</f>
        <v>7710</v>
      </c>
      <c r="J22" s="17">
        <f t="shared" ref="J22:M22" si="16">4720+2950</f>
        <v>7670</v>
      </c>
      <c r="K22" s="17">
        <f t="shared" si="16"/>
        <v>7670</v>
      </c>
      <c r="L22" s="17">
        <f t="shared" si="16"/>
        <v>7670</v>
      </c>
      <c r="M22" s="17">
        <f t="shared" si="16"/>
        <v>7670</v>
      </c>
      <c r="N22" s="18">
        <f t="shared" si="7"/>
        <v>94440</v>
      </c>
      <c r="O22" s="29">
        <f t="shared" si="14"/>
        <v>0.1448707916</v>
      </c>
    </row>
    <row r="23" ht="15.75" customHeight="1">
      <c r="A23" s="33" t="s">
        <v>27</v>
      </c>
      <c r="B23" s="23">
        <f t="shared" ref="B23:J23" si="17">2124/3</f>
        <v>708</v>
      </c>
      <c r="C23" s="23">
        <f t="shared" si="17"/>
        <v>708</v>
      </c>
      <c r="D23" s="23">
        <f t="shared" si="17"/>
        <v>708</v>
      </c>
      <c r="E23" s="23">
        <f t="shared" si="17"/>
        <v>708</v>
      </c>
      <c r="F23" s="23">
        <f t="shared" si="17"/>
        <v>708</v>
      </c>
      <c r="G23" s="23">
        <f t="shared" si="17"/>
        <v>708</v>
      </c>
      <c r="H23" s="23">
        <f t="shared" si="17"/>
        <v>708</v>
      </c>
      <c r="I23" s="23">
        <f t="shared" si="17"/>
        <v>708</v>
      </c>
      <c r="J23" s="23">
        <f t="shared" si="17"/>
        <v>708</v>
      </c>
      <c r="K23" s="17">
        <f t="shared" ref="K23:M23" si="18">3304/3</f>
        <v>1101.333333</v>
      </c>
      <c r="L23" s="17">
        <f t="shared" si="18"/>
        <v>1101.333333</v>
      </c>
      <c r="M23" s="17">
        <f t="shared" si="18"/>
        <v>1101.333333</v>
      </c>
      <c r="N23" s="18">
        <f t="shared" si="7"/>
        <v>9676</v>
      </c>
      <c r="O23" s="29">
        <f t="shared" si="14"/>
        <v>0.01484296675</v>
      </c>
    </row>
    <row r="24" ht="15.75" customHeight="1">
      <c r="A24" s="22" t="s">
        <v>28</v>
      </c>
      <c r="B24" s="31">
        <v>1140.0</v>
      </c>
      <c r="C24" s="31">
        <v>200.0</v>
      </c>
      <c r="D24" s="31">
        <v>200.0</v>
      </c>
      <c r="E24" s="31">
        <v>0.0</v>
      </c>
      <c r="F24" s="17">
        <f>5260</f>
        <v>5260</v>
      </c>
      <c r="G24" s="19">
        <v>2723.0</v>
      </c>
      <c r="H24" s="19">
        <v>11534.0</v>
      </c>
      <c r="I24" s="19">
        <v>8260.0</v>
      </c>
      <c r="J24" s="19">
        <v>0.0</v>
      </c>
      <c r="K24" s="19">
        <v>0.0</v>
      </c>
      <c r="L24" s="19">
        <v>4130.0</v>
      </c>
      <c r="M24" s="19">
        <v>0.0</v>
      </c>
      <c r="N24" s="18">
        <f t="shared" si="7"/>
        <v>33447</v>
      </c>
      <c r="O24" s="29">
        <f t="shared" si="14"/>
        <v>0.05130763837</v>
      </c>
    </row>
    <row r="25" ht="15.75" customHeight="1">
      <c r="A25" s="22" t="s">
        <v>29</v>
      </c>
      <c r="B25" s="19">
        <v>6279.72</v>
      </c>
      <c r="C25" s="19">
        <v>5899.06</v>
      </c>
      <c r="D25" s="19">
        <v>20694.0</v>
      </c>
      <c r="E25" s="19">
        <v>5205.55</v>
      </c>
      <c r="F25" s="19">
        <v>11043.0</v>
      </c>
      <c r="G25" s="19">
        <v>9094.71</v>
      </c>
      <c r="H25" s="19">
        <v>10776.74</v>
      </c>
      <c r="I25" s="19">
        <v>5693.53</v>
      </c>
      <c r="J25" s="19">
        <v>6759.53</v>
      </c>
      <c r="K25" s="19">
        <v>7595.71</v>
      </c>
      <c r="L25" s="19">
        <v>31397.0</v>
      </c>
      <c r="M25" s="19">
        <v>10202.69</v>
      </c>
      <c r="N25" s="18">
        <f t="shared" si="7"/>
        <v>130641.24</v>
      </c>
      <c r="O25" s="29">
        <f t="shared" si="14"/>
        <v>0.2004034293</v>
      </c>
    </row>
    <row r="26" ht="15.75" customHeight="1">
      <c r="A26" s="22" t="s">
        <v>30</v>
      </c>
      <c r="B26" s="19">
        <v>40031.5</v>
      </c>
      <c r="C26" s="19">
        <v>40031.5</v>
      </c>
      <c r="D26" s="19">
        <v>40031.5</v>
      </c>
      <c r="E26" s="19">
        <v>40031.5</v>
      </c>
      <c r="F26" s="19">
        <v>40031.5</v>
      </c>
      <c r="G26" s="19">
        <v>40031.5</v>
      </c>
      <c r="H26" s="19">
        <v>40031.5</v>
      </c>
      <c r="I26" s="19">
        <v>40031.5</v>
      </c>
      <c r="J26" s="19">
        <v>40031.5</v>
      </c>
      <c r="K26" s="19">
        <v>40031.5</v>
      </c>
      <c r="L26" s="19">
        <v>40031.5</v>
      </c>
      <c r="M26" s="19">
        <v>40031.5</v>
      </c>
      <c r="N26" s="18">
        <f t="shared" si="7"/>
        <v>480378</v>
      </c>
      <c r="O26" s="29">
        <f t="shared" si="14"/>
        <v>0.7368989956</v>
      </c>
    </row>
    <row r="27" ht="15.75" customHeight="1">
      <c r="A27" s="22" t="s">
        <v>31</v>
      </c>
      <c r="B27" s="17">
        <f>HO!D32</f>
        <v>194275.9913</v>
      </c>
      <c r="C27" s="17">
        <f>HO!H32</f>
        <v>180975.665</v>
      </c>
      <c r="D27" s="17">
        <f>HO!L32</f>
        <v>184063.4121</v>
      </c>
      <c r="E27" s="17">
        <f>HO!P32</f>
        <v>224801.4689</v>
      </c>
      <c r="F27" s="17">
        <f>HO!D45</f>
        <v>193850.7262</v>
      </c>
      <c r="G27" s="17">
        <f>HO!H45</f>
        <v>189246.0283</v>
      </c>
      <c r="H27" s="17">
        <f>HO!L45</f>
        <v>178224.1189</v>
      </c>
      <c r="I27" s="17">
        <f>HO!P45</f>
        <v>171947.8879</v>
      </c>
      <c r="J27" s="17">
        <f>HO!D58</f>
        <v>150606.5764</v>
      </c>
      <c r="K27" s="17">
        <f>HO!H58</f>
        <v>167625.67</v>
      </c>
      <c r="L27" s="17">
        <f>HO!L58</f>
        <v>183362.6481</v>
      </c>
      <c r="M27" s="17">
        <f>HO!P58</f>
        <v>230930.4338</v>
      </c>
      <c r="N27" s="18">
        <f t="shared" si="7"/>
        <v>2249910.627</v>
      </c>
      <c r="O27" s="29">
        <f t="shared" si="14"/>
        <v>3.451358891</v>
      </c>
    </row>
    <row r="28" ht="15.75" customHeight="1">
      <c r="A28" s="34" t="s">
        <v>32</v>
      </c>
      <c r="B28" s="35">
        <f t="shared" ref="B28:M28" si="19">+SUM(B14:B27)</f>
        <v>995706.3607</v>
      </c>
      <c r="C28" s="35">
        <f t="shared" si="19"/>
        <v>952096.085</v>
      </c>
      <c r="D28" s="35">
        <f t="shared" si="19"/>
        <v>1006898.352</v>
      </c>
      <c r="E28" s="35">
        <f t="shared" si="19"/>
        <v>1052215.279</v>
      </c>
      <c r="F28" s="36">
        <f t="shared" si="19"/>
        <v>961944.3762</v>
      </c>
      <c r="G28" s="35">
        <f t="shared" si="19"/>
        <v>921564.8383</v>
      </c>
      <c r="H28" s="35">
        <f t="shared" si="19"/>
        <v>908233.7889</v>
      </c>
      <c r="I28" s="35">
        <f t="shared" si="19"/>
        <v>875393.7179</v>
      </c>
      <c r="J28" s="35">
        <f t="shared" si="19"/>
        <v>821862.9964</v>
      </c>
      <c r="K28" s="35">
        <f t="shared" si="19"/>
        <v>922010.8133</v>
      </c>
      <c r="L28" s="35">
        <f t="shared" si="19"/>
        <v>1000676.431</v>
      </c>
      <c r="M28" s="35">
        <f t="shared" si="19"/>
        <v>1054032.347</v>
      </c>
      <c r="N28" s="35">
        <f t="shared" si="7"/>
        <v>11472635.39</v>
      </c>
      <c r="O28" s="37">
        <f t="shared" si="14"/>
        <v>17.59900223</v>
      </c>
    </row>
    <row r="29" ht="15.75" customHeight="1">
      <c r="A29" s="38" t="s">
        <v>33</v>
      </c>
      <c r="B29" s="39">
        <f t="shared" ref="B29:M29" si="20">B13-B28</f>
        <v>71178.86932</v>
      </c>
      <c r="C29" s="39">
        <f t="shared" si="20"/>
        <v>74154.37497</v>
      </c>
      <c r="D29" s="39">
        <f t="shared" si="20"/>
        <v>59972.93793</v>
      </c>
      <c r="E29" s="39">
        <f t="shared" si="20"/>
        <v>228635.4511</v>
      </c>
      <c r="F29" s="39">
        <f t="shared" si="20"/>
        <v>110717.2038</v>
      </c>
      <c r="G29" s="39">
        <f t="shared" si="20"/>
        <v>129437.1217</v>
      </c>
      <c r="H29" s="39">
        <f t="shared" si="20"/>
        <v>17875.04149</v>
      </c>
      <c r="I29" s="39">
        <f t="shared" si="20"/>
        <v>87954.70871</v>
      </c>
      <c r="J29" s="39">
        <f t="shared" si="20"/>
        <v>28804.80361</v>
      </c>
      <c r="K29" s="39">
        <f t="shared" si="20"/>
        <v>168877.2065</v>
      </c>
      <c r="L29" s="39">
        <f t="shared" si="20"/>
        <v>181034.5984</v>
      </c>
      <c r="M29" s="39">
        <f t="shared" si="20"/>
        <v>404318.6989</v>
      </c>
      <c r="N29" s="39">
        <f t="shared" si="7"/>
        <v>1562961.016</v>
      </c>
      <c r="O29" s="40">
        <f t="shared" si="14"/>
        <v>2.397579413</v>
      </c>
    </row>
    <row r="30" ht="15.75" customHeight="1">
      <c r="A30" s="41" t="s">
        <v>34</v>
      </c>
      <c r="B30" s="42">
        <f t="shared" ref="B30:M30" si="21">(B14/B13)</f>
        <v>0.3106063995</v>
      </c>
      <c r="C30" s="42">
        <f t="shared" si="21"/>
        <v>0.2958067468</v>
      </c>
      <c r="D30" s="42">
        <f t="shared" si="21"/>
        <v>0.2866146862</v>
      </c>
      <c r="E30" s="42">
        <f t="shared" si="21"/>
        <v>0.2571826071</v>
      </c>
      <c r="F30" s="43">
        <f t="shared" si="21"/>
        <v>0.2452948487</v>
      </c>
      <c r="G30" s="42">
        <f t="shared" si="21"/>
        <v>0.231713507</v>
      </c>
      <c r="H30" s="42">
        <f t="shared" si="21"/>
        <v>0.2321046652</v>
      </c>
      <c r="I30" s="42">
        <f t="shared" si="21"/>
        <v>0.2262105008</v>
      </c>
      <c r="J30" s="42">
        <f t="shared" si="21"/>
        <v>0.2371138769</v>
      </c>
      <c r="K30" s="42">
        <f t="shared" si="21"/>
        <v>0.2287488225</v>
      </c>
      <c r="L30" s="42">
        <f t="shared" si="21"/>
        <v>0.2354035064</v>
      </c>
      <c r="M30" s="42">
        <f t="shared" si="21"/>
        <v>0.2349067057</v>
      </c>
      <c r="N30" s="44"/>
      <c r="O30" s="44"/>
    </row>
    <row r="31" ht="15.75" customHeight="1"/>
    <row r="32" ht="15.75" customHeight="1">
      <c r="B32" s="47">
        <f t="shared" ref="B32:M32" si="22">B29+B27</f>
        <v>265454.8607</v>
      </c>
      <c r="C32" s="47">
        <f t="shared" si="22"/>
        <v>255130.04</v>
      </c>
      <c r="D32" s="47">
        <f t="shared" si="22"/>
        <v>244036.35</v>
      </c>
      <c r="E32" s="47">
        <f t="shared" si="22"/>
        <v>453436.92</v>
      </c>
      <c r="F32" s="47">
        <f t="shared" si="22"/>
        <v>304567.93</v>
      </c>
      <c r="G32" s="47">
        <f t="shared" si="22"/>
        <v>318683.15</v>
      </c>
      <c r="H32" s="47">
        <f t="shared" si="22"/>
        <v>196099.1604</v>
      </c>
      <c r="I32" s="47">
        <f t="shared" si="22"/>
        <v>259902.5966</v>
      </c>
      <c r="J32" s="47">
        <f t="shared" si="22"/>
        <v>179411.38</v>
      </c>
      <c r="K32" s="47">
        <f t="shared" si="22"/>
        <v>336502.8765</v>
      </c>
      <c r="L32" s="47">
        <f t="shared" si="22"/>
        <v>364397.2465</v>
      </c>
      <c r="M32" s="47">
        <f t="shared" si="22"/>
        <v>635249.1327</v>
      </c>
    </row>
    <row r="33" ht="15.75" customHeight="1">
      <c r="B33" s="46">
        <f t="shared" ref="B33:M33" si="23">B32/B13</f>
        <v>0.2488129493</v>
      </c>
      <c r="C33" s="46">
        <f t="shared" si="23"/>
        <v>0.2486040688</v>
      </c>
      <c r="D33" s="46">
        <f t="shared" si="23"/>
        <v>0.2287401979</v>
      </c>
      <c r="E33" s="46">
        <f t="shared" si="23"/>
        <v>0.3540123056</v>
      </c>
      <c r="F33" s="46">
        <f t="shared" si="23"/>
        <v>0.2839366448</v>
      </c>
      <c r="G33" s="46">
        <f t="shared" si="23"/>
        <v>0.3032184165</v>
      </c>
      <c r="H33" s="46">
        <f t="shared" si="23"/>
        <v>0.2117452657</v>
      </c>
      <c r="I33" s="46">
        <f t="shared" si="23"/>
        <v>0.269790856</v>
      </c>
      <c r="J33" s="46">
        <f t="shared" si="23"/>
        <v>0.2109065137</v>
      </c>
      <c r="K33" s="46">
        <f t="shared" si="23"/>
        <v>0.3084669282</v>
      </c>
      <c r="L33" s="46">
        <f t="shared" si="23"/>
        <v>0.3083640901</v>
      </c>
      <c r="M33" s="46">
        <f t="shared" si="23"/>
        <v>0.4355941146</v>
      </c>
    </row>
    <row r="34" ht="15.75" customHeight="1">
      <c r="G34" s="4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35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16">
        <v>125397.0</v>
      </c>
      <c r="C3" s="17">
        <f>153084.38</f>
        <v>153084.38</v>
      </c>
      <c r="D3" s="17">
        <f t="shared" ref="D3:M3" si="1">C7</f>
        <v>120005.31</v>
      </c>
      <c r="E3" s="17">
        <f t="shared" si="1"/>
        <v>128804.55</v>
      </c>
      <c r="F3" s="17">
        <f t="shared" si="1"/>
        <v>139768.21</v>
      </c>
      <c r="G3" s="17">
        <f t="shared" si="1"/>
        <v>133202.64</v>
      </c>
      <c r="H3" s="17">
        <f t="shared" si="1"/>
        <v>125007</v>
      </c>
      <c r="I3" s="17">
        <f t="shared" si="1"/>
        <v>121734</v>
      </c>
      <c r="J3" s="17">
        <f t="shared" si="1"/>
        <v>122019.97</v>
      </c>
      <c r="K3" s="17">
        <f t="shared" si="1"/>
        <v>128793</v>
      </c>
      <c r="L3" s="17">
        <f t="shared" si="1"/>
        <v>89388.52</v>
      </c>
      <c r="M3" s="17">
        <f t="shared" si="1"/>
        <v>76833.44</v>
      </c>
      <c r="N3" s="18">
        <f>+SUM(J3:L3)</f>
        <v>340201.49</v>
      </c>
      <c r="O3" s="20"/>
    </row>
    <row r="4" ht="15.75" customHeight="1">
      <c r="A4" s="14" t="s">
        <v>9</v>
      </c>
      <c r="B4" s="50">
        <v>256616.68</v>
      </c>
      <c r="C4" s="19">
        <v>273611.29</v>
      </c>
      <c r="D4" s="19">
        <v>276539.31</v>
      </c>
      <c r="E4" s="19">
        <v>290367.37</v>
      </c>
      <c r="F4" s="19">
        <v>266167.0</v>
      </c>
      <c r="G4" s="19">
        <v>222383.61</v>
      </c>
      <c r="H4" s="19">
        <v>222787.0</v>
      </c>
      <c r="I4" s="19">
        <v>234815.53</v>
      </c>
      <c r="J4" s="19">
        <v>243097.0</v>
      </c>
      <c r="K4" s="19">
        <v>267681.4</v>
      </c>
      <c r="L4" s="19">
        <v>256276.51</v>
      </c>
      <c r="M4" s="19">
        <v>300024.0</v>
      </c>
      <c r="N4" s="18">
        <f>sum(B4:M4)</f>
        <v>3110366.7</v>
      </c>
      <c r="O4" s="20"/>
    </row>
    <row r="5" ht="15.75" customHeight="1">
      <c r="A5" s="14" t="s">
        <v>10</v>
      </c>
      <c r="B5" s="50">
        <v>0.0</v>
      </c>
      <c r="C5" s="19">
        <v>11365.4</v>
      </c>
      <c r="D5" s="19">
        <v>6528.0</v>
      </c>
      <c r="E5" s="19">
        <v>0.0</v>
      </c>
      <c r="F5" s="19">
        <v>0.0</v>
      </c>
      <c r="G5" s="19">
        <v>0.0</v>
      </c>
      <c r="H5" s="19">
        <v>0.0</v>
      </c>
      <c r="I5" s="19">
        <v>21784.15</v>
      </c>
      <c r="J5" s="19">
        <v>0.0</v>
      </c>
      <c r="K5" s="19">
        <v>0.0</v>
      </c>
      <c r="L5" s="19">
        <v>43712.0</v>
      </c>
      <c r="M5" s="19">
        <v>0.0</v>
      </c>
      <c r="N5" s="18">
        <f t="shared" ref="N5:N6" si="2">+SUM(J5:L5)</f>
        <v>43712</v>
      </c>
      <c r="O5" s="20"/>
    </row>
    <row r="6" ht="15.75" customHeight="1">
      <c r="A6" s="14" t="s">
        <v>11</v>
      </c>
      <c r="B6" s="50">
        <v>32987.0</v>
      </c>
      <c r="C6" s="19">
        <v>35506.54</v>
      </c>
      <c r="D6" s="19">
        <v>35222.0</v>
      </c>
      <c r="E6" s="19">
        <v>13771.31</v>
      </c>
      <c r="F6" s="19">
        <v>16588.0</v>
      </c>
      <c r="G6" s="19">
        <v>14620.0</v>
      </c>
      <c r="H6" s="19">
        <v>16183.0</v>
      </c>
      <c r="I6" s="19">
        <v>14582.21</v>
      </c>
      <c r="J6" s="19">
        <v>15320.76</v>
      </c>
      <c r="K6" s="19">
        <v>14101.0</v>
      </c>
      <c r="L6" s="19">
        <v>11649.52</v>
      </c>
      <c r="M6" s="19">
        <v>30140.0</v>
      </c>
      <c r="N6" s="18">
        <f t="shared" si="2"/>
        <v>41071.28</v>
      </c>
      <c r="O6" s="20"/>
    </row>
    <row r="7" ht="15.75" customHeight="1">
      <c r="A7" s="14" t="s">
        <v>12</v>
      </c>
      <c r="B7" s="50">
        <v>144247.0</v>
      </c>
      <c r="C7" s="19">
        <v>120005.31</v>
      </c>
      <c r="D7" s="19">
        <v>128804.55</v>
      </c>
      <c r="E7" s="19">
        <v>139768.21</v>
      </c>
      <c r="F7" s="19">
        <v>133202.64</v>
      </c>
      <c r="G7" s="19">
        <v>125007.0</v>
      </c>
      <c r="H7" s="19">
        <v>121734.0</v>
      </c>
      <c r="I7" s="19">
        <v>122019.97</v>
      </c>
      <c r="J7" s="19">
        <v>128793.0</v>
      </c>
      <c r="K7" s="19">
        <v>89388.52</v>
      </c>
      <c r="L7" s="19">
        <v>76833.44</v>
      </c>
      <c r="M7" s="19">
        <v>58922.74</v>
      </c>
      <c r="N7" s="18">
        <f>sum(B7:M7)</f>
        <v>1388726.38</v>
      </c>
      <c r="O7" s="20"/>
    </row>
    <row r="8" ht="15.75" customHeight="1">
      <c r="A8" s="11"/>
      <c r="B8" s="5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23">
        <f>913194.25*1.05+27880.38*1.05</f>
        <v>988128.3615</v>
      </c>
      <c r="C9" s="17">
        <f>1011098.42*1.05+28836.6*1.05</f>
        <v>1091931.771</v>
      </c>
      <c r="D9" s="17">
        <f>942666.19*1.05+30089*1.05</f>
        <v>1021392.95</v>
      </c>
      <c r="E9" s="17">
        <f>988755.81*1.05</f>
        <v>1038193.601</v>
      </c>
      <c r="F9" s="17">
        <f>940546.16*1.05</f>
        <v>987573.468</v>
      </c>
      <c r="G9" s="17">
        <f>852450.12*1.05</f>
        <v>895072.626</v>
      </c>
      <c r="H9" s="17">
        <f>828935.24*1.05+26443.42*1.05</f>
        <v>898147.593</v>
      </c>
      <c r="I9" s="17">
        <f>727678.73*1.05+21378.92*1.05</f>
        <v>786510.5325</v>
      </c>
      <c r="J9" s="17">
        <f>768946.68*1.05+24050*1.05+50*1.05</f>
        <v>832699.014</v>
      </c>
      <c r="K9" s="19">
        <f>996179*1.05+28993.81*1.05</f>
        <v>1076431.451</v>
      </c>
      <c r="L9" s="17">
        <f>822981.49*1.05+31019.91</f>
        <v>895150.4745</v>
      </c>
      <c r="M9" s="17">
        <f>1075363.04*1.05+41265.5*1.05</f>
        <v>1172459.967</v>
      </c>
      <c r="N9" s="18">
        <f t="shared" ref="N9:N12" si="3">+SUM(B9:M9)</f>
        <v>11683691.81</v>
      </c>
      <c r="O9" s="20"/>
    </row>
    <row r="10" ht="15.75" customHeight="1">
      <c r="A10" s="22" t="s">
        <v>14</v>
      </c>
      <c r="B10" s="50">
        <v>0.0</v>
      </c>
      <c r="C10" s="50">
        <v>0.0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>
        <f t="shared" si="3"/>
        <v>0</v>
      </c>
      <c r="O10" s="20"/>
    </row>
    <row r="11" ht="15.75" customHeight="1">
      <c r="A11" s="22" t="s">
        <v>15</v>
      </c>
      <c r="B11" s="23">
        <f t="shared" ref="B11:M11" si="4">(B9+B10)/1.05*0.05</f>
        <v>47053.7315</v>
      </c>
      <c r="C11" s="23">
        <f t="shared" si="4"/>
        <v>51996.751</v>
      </c>
      <c r="D11" s="23">
        <f t="shared" si="4"/>
        <v>48637.7595</v>
      </c>
      <c r="E11" s="23">
        <f t="shared" si="4"/>
        <v>49437.7905</v>
      </c>
      <c r="F11" s="23">
        <f t="shared" si="4"/>
        <v>47027.308</v>
      </c>
      <c r="G11" s="23">
        <f t="shared" si="4"/>
        <v>42622.506</v>
      </c>
      <c r="H11" s="23">
        <f t="shared" si="4"/>
        <v>42768.933</v>
      </c>
      <c r="I11" s="23">
        <f t="shared" si="4"/>
        <v>37452.8825</v>
      </c>
      <c r="J11" s="23">
        <f t="shared" si="4"/>
        <v>39652.334</v>
      </c>
      <c r="K11" s="23">
        <f t="shared" si="4"/>
        <v>51258.6405</v>
      </c>
      <c r="L11" s="23">
        <f t="shared" si="4"/>
        <v>42626.21307</v>
      </c>
      <c r="M11" s="23">
        <f t="shared" si="4"/>
        <v>55831.427</v>
      </c>
      <c r="N11" s="18">
        <f t="shared" si="3"/>
        <v>556366.2766</v>
      </c>
      <c r="O11" s="20"/>
    </row>
    <row r="12" ht="15.75" customHeight="1">
      <c r="A12" s="22" t="s">
        <v>16</v>
      </c>
      <c r="B12" s="23">
        <f>28018.47+5043+294.75+53.06+1465+64032+476.19</f>
        <v>99382.47</v>
      </c>
      <c r="C12" s="17">
        <f>66640.47+784.25+12316.44+24904.67+6251.7+4482.86+1125.31+274.42+23.7+25.7</f>
        <v>116829.52</v>
      </c>
      <c r="D12" s="17">
        <f>+424.74+69269.44+76.45+12468.5+23684.37+12888.39+4263+2319.91+301.92+54.34</f>
        <v>125751.06</v>
      </c>
      <c r="E12" s="17">
        <f>43779.76+7880.41+62574.82+19523.47+1356.9+244.24</f>
        <v>135359.6</v>
      </c>
      <c r="F12" s="17">
        <f>34497.83+64600.47+11628.08+6209.6+1365.87+245.86</f>
        <v>118547.71</v>
      </c>
      <c r="G12" s="17">
        <f>61164.56+24091.4+11009.63+4330.87+1435.06+258.3</f>
        <v>102289.82</v>
      </c>
      <c r="H12" s="17">
        <f>60956.81*1.18+28473.47*1.18</f>
        <v>105527.7304</v>
      </c>
      <c r="I12" s="17">
        <f>15091.3*1.18+50058*1.18+266.8*1.18+7810.36*1.18+405.15*1.18</f>
        <v>86885.2998</v>
      </c>
      <c r="J12" s="17">
        <f>56428.02+10157.05+21128.59+3803</f>
        <v>91516.66</v>
      </c>
      <c r="K12" s="17">
        <f>68055.34+12249.97+27564.94*1.18+1853.44*1.18</f>
        <v>115018.9984</v>
      </c>
      <c r="L12" s="17">
        <f>21072.59*1.18+72312.54*1.18+1420.39*1.18</f>
        <v>111870.5136</v>
      </c>
      <c r="M12" s="17">
        <f>96070.27*1.18+32569.02*1.18+1251.55*1.18</f>
        <v>153271.1912</v>
      </c>
      <c r="N12" s="18">
        <f t="shared" si="3"/>
        <v>1362250.573</v>
      </c>
      <c r="O12" s="20"/>
    </row>
    <row r="13" ht="15.75" customHeight="1">
      <c r="A13" s="24" t="s">
        <v>17</v>
      </c>
      <c r="B13" s="52">
        <f t="shared" ref="B13:M13" si="5">B9+B10-B11-B12</f>
        <v>841692.16</v>
      </c>
      <c r="C13" s="25">
        <f t="shared" si="5"/>
        <v>923105.5</v>
      </c>
      <c r="D13" s="25">
        <f t="shared" si="5"/>
        <v>847004.13</v>
      </c>
      <c r="E13" s="25">
        <f t="shared" si="5"/>
        <v>853396.21</v>
      </c>
      <c r="F13" s="26">
        <f t="shared" si="5"/>
        <v>821998.45</v>
      </c>
      <c r="G13" s="26">
        <f t="shared" si="5"/>
        <v>750160.3</v>
      </c>
      <c r="H13" s="25">
        <f t="shared" si="5"/>
        <v>749850.9296</v>
      </c>
      <c r="I13" s="25">
        <f t="shared" si="5"/>
        <v>662172.3502</v>
      </c>
      <c r="J13" s="25">
        <f t="shared" si="5"/>
        <v>701530.02</v>
      </c>
      <c r="K13" s="25">
        <f t="shared" si="5"/>
        <v>910153.8116</v>
      </c>
      <c r="L13" s="25">
        <f t="shared" si="5"/>
        <v>740653.7478</v>
      </c>
      <c r="M13" s="25">
        <f t="shared" si="5"/>
        <v>963357.3488</v>
      </c>
      <c r="N13" s="25">
        <f t="shared" ref="N13:N29" si="7">sum(B13:M13)</f>
        <v>9765074.958</v>
      </c>
      <c r="O13" s="27">
        <f t="shared" ref="O13:O18" si="8">N13/$N$7</f>
        <v>7.031676721</v>
      </c>
    </row>
    <row r="14" ht="15.75" customHeight="1">
      <c r="A14" s="22" t="s">
        <v>18</v>
      </c>
      <c r="B14" s="54">
        <f t="shared" ref="B14:M14" si="6">+B3+B4-B5-B7</f>
        <v>237766.68</v>
      </c>
      <c r="C14" s="54">
        <f t="shared" si="6"/>
        <v>295324.96</v>
      </c>
      <c r="D14" s="28">
        <f t="shared" si="6"/>
        <v>261212.07</v>
      </c>
      <c r="E14" s="28">
        <f t="shared" si="6"/>
        <v>279403.71</v>
      </c>
      <c r="F14" s="28">
        <f t="shared" si="6"/>
        <v>272732.57</v>
      </c>
      <c r="G14" s="28">
        <f t="shared" si="6"/>
        <v>230579.25</v>
      </c>
      <c r="H14" s="28">
        <f t="shared" si="6"/>
        <v>226060</v>
      </c>
      <c r="I14" s="28">
        <f t="shared" si="6"/>
        <v>212745.41</v>
      </c>
      <c r="J14" s="28">
        <f t="shared" si="6"/>
        <v>236323.97</v>
      </c>
      <c r="K14" s="28">
        <f t="shared" si="6"/>
        <v>307085.88</v>
      </c>
      <c r="L14" s="28">
        <f t="shared" si="6"/>
        <v>225119.59</v>
      </c>
      <c r="M14" s="28">
        <f t="shared" si="6"/>
        <v>317934.7</v>
      </c>
      <c r="N14" s="18">
        <f t="shared" si="7"/>
        <v>3102288.79</v>
      </c>
      <c r="O14" s="29">
        <f t="shared" si="8"/>
        <v>2.23390931</v>
      </c>
    </row>
    <row r="15" ht="15.75" customHeight="1">
      <c r="A15" s="22" t="s">
        <v>19</v>
      </c>
      <c r="B15" s="54">
        <f>16520+7265+53506</f>
        <v>77291</v>
      </c>
      <c r="C15" s="54">
        <f>53506+16520</f>
        <v>70026</v>
      </c>
      <c r="D15" s="28">
        <f>68364+16520+14990</f>
        <v>99874</v>
      </c>
      <c r="E15" s="17">
        <f>80172+16520+27700</f>
        <v>124392</v>
      </c>
      <c r="F15" s="17">
        <f>72417+16520+18100</f>
        <v>107037</v>
      </c>
      <c r="G15" s="17">
        <f>70198+16520+9300+3000</f>
        <v>99018</v>
      </c>
      <c r="H15" s="17">
        <f>69238+16520+10700</f>
        <v>96458</v>
      </c>
      <c r="I15" s="17">
        <f>66317+16520</f>
        <v>82837</v>
      </c>
      <c r="J15" s="17">
        <f>48477+26320</f>
        <v>74797</v>
      </c>
      <c r="K15" s="17">
        <f>47366+16520+6000</f>
        <v>69886</v>
      </c>
      <c r="L15" s="17">
        <f>47631+16520+5200</f>
        <v>69351</v>
      </c>
      <c r="M15" s="17">
        <f>45689+16520+5200</f>
        <v>67409</v>
      </c>
      <c r="N15" s="18">
        <f t="shared" si="7"/>
        <v>1038376</v>
      </c>
      <c r="O15" s="29">
        <f t="shared" si="8"/>
        <v>0.7477182078</v>
      </c>
    </row>
    <row r="16" ht="15.75" customHeight="1">
      <c r="A16" s="22" t="s">
        <v>20</v>
      </c>
      <c r="B16" s="54">
        <f t="shared" ref="B16:C16" si="9">200+1296</f>
        <v>1496</v>
      </c>
      <c r="C16" s="54">
        <f t="shared" si="9"/>
        <v>1496</v>
      </c>
      <c r="D16" s="28">
        <f>1414</f>
        <v>1414</v>
      </c>
      <c r="E16" s="57">
        <v>1414.0</v>
      </c>
      <c r="F16" s="19">
        <f>202+2709</f>
        <v>2911</v>
      </c>
      <c r="G16" s="17">
        <f>1295</f>
        <v>1295</v>
      </c>
      <c r="H16" s="17">
        <f t="shared" ref="H16:J16" si="10">200+1295</f>
        <v>1495</v>
      </c>
      <c r="I16" s="17">
        <f t="shared" si="10"/>
        <v>1495</v>
      </c>
      <c r="J16" s="17">
        <f t="shared" si="10"/>
        <v>1495</v>
      </c>
      <c r="K16" s="19">
        <f t="shared" ref="K16:M16" si="11">1296+201</f>
        <v>1497</v>
      </c>
      <c r="L16" s="19">
        <f t="shared" si="11"/>
        <v>1497</v>
      </c>
      <c r="M16" s="19">
        <f t="shared" si="11"/>
        <v>1497</v>
      </c>
      <c r="N16" s="18">
        <f t="shared" si="7"/>
        <v>19002</v>
      </c>
      <c r="O16" s="29">
        <f t="shared" si="8"/>
        <v>0.013683041</v>
      </c>
    </row>
    <row r="17" ht="15.75" customHeight="1">
      <c r="A17" s="22" t="s">
        <v>21</v>
      </c>
      <c r="B17" s="54"/>
      <c r="C17" s="54"/>
      <c r="D17" s="28"/>
      <c r="E17" s="17"/>
      <c r="F17" s="17"/>
      <c r="G17" s="17"/>
      <c r="H17" s="17"/>
      <c r="I17" s="17"/>
      <c r="J17" s="17"/>
      <c r="K17" s="17"/>
      <c r="L17" s="17"/>
      <c r="M17" s="17"/>
      <c r="N17" s="18">
        <f t="shared" si="7"/>
        <v>0</v>
      </c>
      <c r="O17" s="29">
        <f t="shared" si="8"/>
        <v>0</v>
      </c>
    </row>
    <row r="18" ht="15.75" customHeight="1">
      <c r="A18" s="22" t="s">
        <v>22</v>
      </c>
      <c r="B18" s="54">
        <f>82500+82500</f>
        <v>165000</v>
      </c>
      <c r="C18" s="54">
        <f t="shared" ref="C18:J18" si="12">97350+97350</f>
        <v>194700</v>
      </c>
      <c r="D18" s="28">
        <f t="shared" si="12"/>
        <v>194700</v>
      </c>
      <c r="E18" s="17">
        <f t="shared" si="12"/>
        <v>194700</v>
      </c>
      <c r="F18" s="17">
        <f t="shared" si="12"/>
        <v>194700</v>
      </c>
      <c r="G18" s="17">
        <f t="shared" si="12"/>
        <v>194700</v>
      </c>
      <c r="H18" s="17">
        <f t="shared" si="12"/>
        <v>194700</v>
      </c>
      <c r="I18" s="17">
        <f t="shared" si="12"/>
        <v>194700</v>
      </c>
      <c r="J18" s="17">
        <f t="shared" si="12"/>
        <v>194700</v>
      </c>
      <c r="K18" s="17">
        <f>53100+53100</f>
        <v>106200</v>
      </c>
      <c r="L18" s="17">
        <f>115700</f>
        <v>115700</v>
      </c>
      <c r="M18" s="17">
        <f>53100+53100</f>
        <v>106200</v>
      </c>
      <c r="N18" s="18">
        <f t="shared" si="7"/>
        <v>2050700</v>
      </c>
      <c r="O18" s="29">
        <f t="shared" si="8"/>
        <v>1.476676781</v>
      </c>
    </row>
    <row r="19" ht="15.75" customHeight="1">
      <c r="A19" s="30" t="s">
        <v>23</v>
      </c>
      <c r="B19" s="54">
        <v>0.0</v>
      </c>
      <c r="C19" s="54">
        <f t="shared" ref="C19:M19" si="13">11106.97/12</f>
        <v>925.5808333</v>
      </c>
      <c r="D19" s="28">
        <f t="shared" si="13"/>
        <v>925.5808333</v>
      </c>
      <c r="E19" s="32">
        <f t="shared" si="13"/>
        <v>925.5808333</v>
      </c>
      <c r="F19" s="32">
        <f t="shared" si="13"/>
        <v>925.5808333</v>
      </c>
      <c r="G19" s="32">
        <f t="shared" si="13"/>
        <v>925.5808333</v>
      </c>
      <c r="H19" s="32">
        <f t="shared" si="13"/>
        <v>925.5808333</v>
      </c>
      <c r="I19" s="32">
        <f t="shared" si="13"/>
        <v>925.5808333</v>
      </c>
      <c r="J19" s="32">
        <f t="shared" si="13"/>
        <v>925.5808333</v>
      </c>
      <c r="K19" s="32">
        <f t="shared" si="13"/>
        <v>925.5808333</v>
      </c>
      <c r="L19" s="32">
        <f t="shared" si="13"/>
        <v>925.5808333</v>
      </c>
      <c r="M19" s="32">
        <f t="shared" si="13"/>
        <v>925.5808333</v>
      </c>
      <c r="N19" s="18">
        <f t="shared" si="7"/>
        <v>10181.38917</v>
      </c>
      <c r="O19" s="29"/>
    </row>
    <row r="20" ht="15.75" customHeight="1">
      <c r="A20" s="22" t="s">
        <v>24</v>
      </c>
      <c r="B20" s="54">
        <v>5514.0</v>
      </c>
      <c r="C20" s="54">
        <v>5514.0</v>
      </c>
      <c r="D20" s="28">
        <v>5514.0</v>
      </c>
      <c r="E20" s="28">
        <v>5514.0</v>
      </c>
      <c r="F20" s="28">
        <v>5514.0</v>
      </c>
      <c r="G20" s="28">
        <v>5514.0</v>
      </c>
      <c r="H20" s="28">
        <v>5514.0</v>
      </c>
      <c r="I20" s="28">
        <v>5514.0</v>
      </c>
      <c r="J20" s="28">
        <v>5514.0</v>
      </c>
      <c r="K20" s="28">
        <v>5514.0</v>
      </c>
      <c r="L20" s="17">
        <f t="shared" ref="L20:M20" si="14">69207/12</f>
        <v>5767.25</v>
      </c>
      <c r="M20" s="17">
        <f t="shared" si="14"/>
        <v>5767.25</v>
      </c>
      <c r="N20" s="18">
        <f t="shared" si="7"/>
        <v>66674.5</v>
      </c>
      <c r="O20" s="29">
        <f t="shared" ref="O20:O29" si="15">N20/$N$7</f>
        <v>0.04801125762</v>
      </c>
    </row>
    <row r="21" ht="15.75" customHeight="1">
      <c r="A21" s="22" t="s">
        <v>25</v>
      </c>
      <c r="B21" s="54">
        <f>14500+1330+237280+19200+87867/12</f>
        <v>279632.25</v>
      </c>
      <c r="C21" s="54">
        <f>240450.18+14500+87867/12</f>
        <v>262272.43</v>
      </c>
      <c r="D21" s="28">
        <f>262976+14500+87867/12</f>
        <v>284798.25</v>
      </c>
      <c r="E21" s="17">
        <f>227531+14500+87867/12</f>
        <v>249353.25</v>
      </c>
      <c r="F21" s="17">
        <f>237030+14500+1000+87867/12</f>
        <v>259852.25</v>
      </c>
      <c r="G21" s="17">
        <f>233830+14500+87867/12</f>
        <v>255652.25</v>
      </c>
      <c r="H21" s="17">
        <f>87867/12+221765+14500</f>
        <v>243587.25</v>
      </c>
      <c r="I21" s="17">
        <f>87867/12+14500+217742.99</f>
        <v>239565.24</v>
      </c>
      <c r="J21" s="17">
        <f>87867/12+215598+14500</f>
        <v>237420.25</v>
      </c>
      <c r="K21" s="17">
        <f>87867/12+14500+212047</f>
        <v>233869.25</v>
      </c>
      <c r="L21" s="17">
        <f>87867/12+168973+14500</f>
        <v>190795.25</v>
      </c>
      <c r="M21" s="17">
        <f>87867/12+14500+197158</f>
        <v>218980.25</v>
      </c>
      <c r="N21" s="18">
        <f t="shared" si="7"/>
        <v>2955778.17</v>
      </c>
      <c r="O21" s="29">
        <f t="shared" si="15"/>
        <v>2.12840932</v>
      </c>
    </row>
    <row r="22" ht="15.75" customHeight="1">
      <c r="A22" s="14" t="s">
        <v>26</v>
      </c>
      <c r="B22" s="54">
        <f>2950+4720</f>
        <v>7670</v>
      </c>
      <c r="C22" s="54">
        <f t="shared" ref="C22:H22" si="16">5192+2950</f>
        <v>8142</v>
      </c>
      <c r="D22" s="28">
        <f t="shared" si="16"/>
        <v>8142</v>
      </c>
      <c r="E22" s="17">
        <f t="shared" si="16"/>
        <v>8142</v>
      </c>
      <c r="F22" s="17">
        <f t="shared" si="16"/>
        <v>8142</v>
      </c>
      <c r="G22" s="17">
        <f t="shared" si="16"/>
        <v>8142</v>
      </c>
      <c r="H22" s="17">
        <f t="shared" si="16"/>
        <v>8142</v>
      </c>
      <c r="I22" s="17">
        <f>4760+2950</f>
        <v>7710</v>
      </c>
      <c r="J22" s="17">
        <f t="shared" ref="J22:L22" si="17">4720+2950</f>
        <v>7670</v>
      </c>
      <c r="K22" s="17">
        <f t="shared" si="17"/>
        <v>7670</v>
      </c>
      <c r="L22" s="17">
        <f t="shared" si="17"/>
        <v>7670</v>
      </c>
      <c r="M22" s="17">
        <f>2950+4720</f>
        <v>7670</v>
      </c>
      <c r="N22" s="18">
        <f t="shared" si="7"/>
        <v>94912</v>
      </c>
      <c r="O22" s="29">
        <f t="shared" si="15"/>
        <v>0.06834463676</v>
      </c>
    </row>
    <row r="23" ht="15.75" customHeight="1">
      <c r="A23" s="33" t="s">
        <v>27</v>
      </c>
      <c r="B23" s="54">
        <f t="shared" ref="B23:J23" si="18">2124/3</f>
        <v>708</v>
      </c>
      <c r="C23" s="54">
        <f t="shared" si="18"/>
        <v>708</v>
      </c>
      <c r="D23" s="28">
        <f t="shared" si="18"/>
        <v>708</v>
      </c>
      <c r="E23" s="28">
        <f t="shared" si="18"/>
        <v>708</v>
      </c>
      <c r="F23" s="28">
        <f t="shared" si="18"/>
        <v>708</v>
      </c>
      <c r="G23" s="28">
        <f t="shared" si="18"/>
        <v>708</v>
      </c>
      <c r="H23" s="28">
        <f t="shared" si="18"/>
        <v>708</v>
      </c>
      <c r="I23" s="28">
        <f t="shared" si="18"/>
        <v>708</v>
      </c>
      <c r="J23" s="28">
        <f t="shared" si="18"/>
        <v>708</v>
      </c>
      <c r="K23" s="17">
        <f t="shared" ref="K23:M23" si="19">3304/3</f>
        <v>1101.333333</v>
      </c>
      <c r="L23" s="17">
        <f t="shared" si="19"/>
        <v>1101.333333</v>
      </c>
      <c r="M23" s="17">
        <f t="shared" si="19"/>
        <v>1101.333333</v>
      </c>
      <c r="N23" s="18">
        <f t="shared" si="7"/>
        <v>9676</v>
      </c>
      <c r="O23" s="29">
        <f t="shared" si="15"/>
        <v>0.006967535246</v>
      </c>
    </row>
    <row r="24" ht="15.75" customHeight="1">
      <c r="A24" s="22" t="s">
        <v>28</v>
      </c>
      <c r="B24" s="54">
        <v>3950.0</v>
      </c>
      <c r="C24" s="54">
        <v>1004.0</v>
      </c>
      <c r="D24" s="28">
        <v>11205.0</v>
      </c>
      <c r="E24" s="31">
        <v>0.0</v>
      </c>
      <c r="F24" s="19">
        <v>15099.0</v>
      </c>
      <c r="G24" s="19">
        <v>10406.0</v>
      </c>
      <c r="H24" s="19">
        <v>9344.0</v>
      </c>
      <c r="I24" s="19">
        <v>4130.0</v>
      </c>
      <c r="J24" s="19">
        <v>0.0</v>
      </c>
      <c r="K24" s="19">
        <v>4000.0</v>
      </c>
      <c r="L24" s="19">
        <v>4271.0</v>
      </c>
      <c r="M24" s="19">
        <v>0.0</v>
      </c>
      <c r="N24" s="18">
        <f t="shared" si="7"/>
        <v>63409</v>
      </c>
      <c r="O24" s="29">
        <f t="shared" si="15"/>
        <v>0.04565982249</v>
      </c>
    </row>
    <row r="25" ht="15.75" customHeight="1">
      <c r="A25" s="22" t="s">
        <v>29</v>
      </c>
      <c r="B25" s="54">
        <v>5194.98</v>
      </c>
      <c r="C25" s="54">
        <v>13237.29</v>
      </c>
      <c r="D25" s="28">
        <v>6747.0</v>
      </c>
      <c r="E25" s="19">
        <v>1051.0</v>
      </c>
      <c r="F25" s="17">
        <f>23691.79</f>
        <v>23691.79</v>
      </c>
      <c r="G25" s="19">
        <v>14722.0</v>
      </c>
      <c r="H25" s="19">
        <v>8566.51</v>
      </c>
      <c r="I25" s="19">
        <v>4216.84</v>
      </c>
      <c r="J25" s="19">
        <v>8408.88</v>
      </c>
      <c r="K25" s="19">
        <v>7756.0</v>
      </c>
      <c r="L25" s="19">
        <v>32086.71</v>
      </c>
      <c r="M25" s="19">
        <v>16132.59</v>
      </c>
      <c r="N25" s="18">
        <f t="shared" si="7"/>
        <v>141811.59</v>
      </c>
      <c r="O25" s="29">
        <f t="shared" si="15"/>
        <v>0.1021162931</v>
      </c>
    </row>
    <row r="26" ht="15.75" customHeight="1">
      <c r="A26" s="22" t="s">
        <v>30</v>
      </c>
      <c r="B26" s="15">
        <v>0.0</v>
      </c>
      <c r="C26" s="15">
        <v>0.0</v>
      </c>
      <c r="D26" s="15">
        <v>0.0</v>
      </c>
      <c r="E26" s="15">
        <v>0.0</v>
      </c>
      <c r="F26" s="17"/>
      <c r="G26" s="17"/>
      <c r="H26" s="17"/>
      <c r="I26" s="17"/>
      <c r="J26" s="17"/>
      <c r="K26" s="17"/>
      <c r="L26" s="17"/>
      <c r="M26" s="17"/>
      <c r="N26" s="18">
        <f t="shared" si="7"/>
        <v>0</v>
      </c>
      <c r="O26" s="29">
        <f t="shared" si="15"/>
        <v>0</v>
      </c>
    </row>
    <row r="27" ht="15.75" customHeight="1">
      <c r="A27" s="22" t="s">
        <v>31</v>
      </c>
      <c r="B27" s="54">
        <f>HO!D31</f>
        <v>153269.1373</v>
      </c>
      <c r="C27" s="54">
        <f>HO!H31</f>
        <v>162786.4135</v>
      </c>
      <c r="D27" s="28">
        <f>HO!L31</f>
        <v>146130.533</v>
      </c>
      <c r="E27" s="28">
        <f>HO!P31</f>
        <v>149779.1406</v>
      </c>
      <c r="F27" s="17">
        <f>HO!D44</f>
        <v>148551.043</v>
      </c>
      <c r="G27" s="17">
        <f>HO!H44</f>
        <v>135075.7303</v>
      </c>
      <c r="H27" s="17">
        <f>HO!L44</f>
        <v>144304.3375</v>
      </c>
      <c r="I27" s="17">
        <f>HO!P44</f>
        <v>118191.024</v>
      </c>
      <c r="J27" s="17">
        <f>HO!D57</f>
        <v>124202.4613</v>
      </c>
      <c r="K27" s="17">
        <f>HO!H57</f>
        <v>139854.0819</v>
      </c>
      <c r="L27" s="17">
        <f>HO!L57</f>
        <v>114925.0782</v>
      </c>
      <c r="M27" s="17">
        <f>HO!P57</f>
        <v>152547.9966</v>
      </c>
      <c r="N27" s="18">
        <f t="shared" si="7"/>
        <v>1689616.977</v>
      </c>
      <c r="O27" s="29">
        <f t="shared" si="15"/>
        <v>1.216666581</v>
      </c>
    </row>
    <row r="28" ht="15.75" customHeight="1">
      <c r="A28" s="34" t="s">
        <v>32</v>
      </c>
      <c r="B28" s="61">
        <f t="shared" ref="B28:M28" si="20">+SUM(B14:B27)</f>
        <v>937492.0473</v>
      </c>
      <c r="C28" s="35">
        <f t="shared" si="20"/>
        <v>1016136.674</v>
      </c>
      <c r="D28" s="35">
        <f t="shared" si="20"/>
        <v>1021370.434</v>
      </c>
      <c r="E28" s="35">
        <f t="shared" si="20"/>
        <v>1015382.681</v>
      </c>
      <c r="F28" s="36">
        <f t="shared" si="20"/>
        <v>1039864.234</v>
      </c>
      <c r="G28" s="35">
        <f t="shared" si="20"/>
        <v>956737.8112</v>
      </c>
      <c r="H28" s="35">
        <f t="shared" si="20"/>
        <v>939804.6783</v>
      </c>
      <c r="I28" s="35">
        <f t="shared" si="20"/>
        <v>872738.0949</v>
      </c>
      <c r="J28" s="35">
        <f t="shared" si="20"/>
        <v>892165.1422</v>
      </c>
      <c r="K28" s="35">
        <f t="shared" si="20"/>
        <v>885359.126</v>
      </c>
      <c r="L28" s="35">
        <f t="shared" si="20"/>
        <v>769209.7924</v>
      </c>
      <c r="M28" s="35">
        <f t="shared" si="20"/>
        <v>896165.7008</v>
      </c>
      <c r="N28" s="35">
        <f t="shared" si="7"/>
        <v>11242426.42</v>
      </c>
      <c r="O28" s="37">
        <f t="shared" si="15"/>
        <v>8.095494244</v>
      </c>
    </row>
    <row r="29" ht="15.75" customHeight="1">
      <c r="A29" s="38" t="s">
        <v>33</v>
      </c>
      <c r="B29" s="39">
        <f t="shared" ref="B29:M29" si="21">B13-B28</f>
        <v>-95799.88729</v>
      </c>
      <c r="C29" s="39">
        <f t="shared" si="21"/>
        <v>-93031.17435</v>
      </c>
      <c r="D29" s="39">
        <f t="shared" si="21"/>
        <v>-174366.3038</v>
      </c>
      <c r="E29" s="39">
        <f t="shared" si="21"/>
        <v>-161986.4714</v>
      </c>
      <c r="F29" s="39">
        <f t="shared" si="21"/>
        <v>-217865.7838</v>
      </c>
      <c r="G29" s="39">
        <f t="shared" si="21"/>
        <v>-206577.5112</v>
      </c>
      <c r="H29" s="39">
        <f t="shared" si="21"/>
        <v>-189953.7487</v>
      </c>
      <c r="I29" s="39">
        <f t="shared" si="21"/>
        <v>-210565.7447</v>
      </c>
      <c r="J29" s="39">
        <f t="shared" si="21"/>
        <v>-190635.1222</v>
      </c>
      <c r="K29" s="39">
        <f t="shared" si="21"/>
        <v>24794.68556</v>
      </c>
      <c r="L29" s="39">
        <f t="shared" si="21"/>
        <v>-28556.04453</v>
      </c>
      <c r="M29" s="39">
        <f t="shared" si="21"/>
        <v>67191.64799</v>
      </c>
      <c r="N29" s="39">
        <f t="shared" si="7"/>
        <v>-1477351.458</v>
      </c>
      <c r="O29" s="40">
        <f t="shared" si="15"/>
        <v>-1.063817524</v>
      </c>
    </row>
    <row r="30" ht="15.75" customHeight="1">
      <c r="A30" s="41" t="s">
        <v>34</v>
      </c>
      <c r="B30" s="42">
        <f t="shared" ref="B30:M30" si="22">(B14/B13)</f>
        <v>0.2824865091</v>
      </c>
      <c r="C30" s="42">
        <f t="shared" si="22"/>
        <v>0.319925469</v>
      </c>
      <c r="D30" s="42">
        <f t="shared" si="22"/>
        <v>0.3083952731</v>
      </c>
      <c r="E30" s="42">
        <f t="shared" si="22"/>
        <v>0.3274020985</v>
      </c>
      <c r="F30" s="43">
        <f t="shared" si="22"/>
        <v>0.3317920733</v>
      </c>
      <c r="G30" s="42">
        <f t="shared" si="22"/>
        <v>0.3073733041</v>
      </c>
      <c r="H30" s="42">
        <f t="shared" si="22"/>
        <v>0.3014732543</v>
      </c>
      <c r="I30" s="42">
        <f t="shared" si="22"/>
        <v>0.3212840432</v>
      </c>
      <c r="J30" s="42">
        <f t="shared" si="22"/>
        <v>0.3368693616</v>
      </c>
      <c r="K30" s="42">
        <f t="shared" si="22"/>
        <v>0.3373999824</v>
      </c>
      <c r="L30" s="42">
        <f t="shared" si="22"/>
        <v>0.3039471422</v>
      </c>
      <c r="M30" s="42">
        <f t="shared" si="22"/>
        <v>0.3300277933</v>
      </c>
      <c r="N30" s="44"/>
      <c r="O30" s="44"/>
    </row>
    <row r="31" ht="15.75" customHeight="1"/>
    <row r="32" ht="15.75" customHeight="1">
      <c r="B32" s="62">
        <f t="shared" ref="B32:M32" si="23">B29+B27</f>
        <v>57469.25</v>
      </c>
      <c r="C32" s="62">
        <f t="shared" si="23"/>
        <v>69755.23917</v>
      </c>
      <c r="D32" s="62">
        <f t="shared" si="23"/>
        <v>-28235.77083</v>
      </c>
      <c r="E32" s="62">
        <f t="shared" si="23"/>
        <v>-12207.33083</v>
      </c>
      <c r="F32" s="62">
        <f t="shared" si="23"/>
        <v>-69314.74083</v>
      </c>
      <c r="G32" s="62">
        <f t="shared" si="23"/>
        <v>-71501.78083</v>
      </c>
      <c r="H32" s="62">
        <f t="shared" si="23"/>
        <v>-45649.41123</v>
      </c>
      <c r="I32" s="62">
        <f t="shared" si="23"/>
        <v>-92374.72063</v>
      </c>
      <c r="J32" s="62">
        <f t="shared" si="23"/>
        <v>-66432.66083</v>
      </c>
      <c r="K32" s="62">
        <f t="shared" si="23"/>
        <v>164648.7674</v>
      </c>
      <c r="L32" s="62">
        <f t="shared" si="23"/>
        <v>86369.03366</v>
      </c>
      <c r="M32" s="62">
        <f t="shared" si="23"/>
        <v>219739.6446</v>
      </c>
    </row>
    <row r="33" ht="15.75" customHeight="1">
      <c r="B33" s="46">
        <f t="shared" ref="B33:M33" si="24">B32/B13</f>
        <v>0.06827822894</v>
      </c>
      <c r="C33" s="46">
        <f t="shared" si="24"/>
        <v>0.07556583637</v>
      </c>
      <c r="D33" s="46">
        <f t="shared" si="24"/>
        <v>-0.03333604859</v>
      </c>
      <c r="E33" s="46">
        <f t="shared" si="24"/>
        <v>-0.01430441182</v>
      </c>
      <c r="F33" s="46">
        <f t="shared" si="24"/>
        <v>-0.08432466124</v>
      </c>
      <c r="G33" s="46">
        <f t="shared" si="24"/>
        <v>-0.09531533571</v>
      </c>
      <c r="H33" s="46">
        <f t="shared" si="24"/>
        <v>-0.06087798178</v>
      </c>
      <c r="I33" s="46">
        <f t="shared" si="24"/>
        <v>-0.1395025338</v>
      </c>
      <c r="J33" s="46">
        <f t="shared" si="24"/>
        <v>-0.0946968183</v>
      </c>
      <c r="K33" s="46">
        <f t="shared" si="24"/>
        <v>0.1809021347</v>
      </c>
      <c r="L33" s="46">
        <f t="shared" si="24"/>
        <v>0.1166118904</v>
      </c>
      <c r="M33" s="46">
        <f t="shared" si="24"/>
        <v>0.228097751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37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28">
        <f>116825.73</f>
        <v>116825.73</v>
      </c>
      <c r="C3" s="17">
        <f t="shared" ref="C3:M3" si="1">B7</f>
        <v>107230</v>
      </c>
      <c r="D3" s="17">
        <f t="shared" si="1"/>
        <v>109842.78</v>
      </c>
      <c r="E3" s="17">
        <f t="shared" si="1"/>
        <v>72014</v>
      </c>
      <c r="F3" s="17">
        <f t="shared" si="1"/>
        <v>59525</v>
      </c>
      <c r="G3" s="17">
        <f t="shared" si="1"/>
        <v>52696</v>
      </c>
      <c r="H3" s="17">
        <f t="shared" si="1"/>
        <v>68179.71</v>
      </c>
      <c r="I3" s="17">
        <f t="shared" si="1"/>
        <v>63056</v>
      </c>
      <c r="J3" s="17">
        <f t="shared" si="1"/>
        <v>68716.95</v>
      </c>
      <c r="K3" s="17">
        <f t="shared" si="1"/>
        <v>76057</v>
      </c>
      <c r="L3" s="17">
        <f t="shared" si="1"/>
        <v>59976.62</v>
      </c>
      <c r="M3" s="17">
        <f t="shared" si="1"/>
        <v>69332.2</v>
      </c>
      <c r="N3" s="18">
        <f>+SUM(J3:L3)</f>
        <v>204750.57</v>
      </c>
      <c r="O3" s="20"/>
    </row>
    <row r="4" ht="15.75" customHeight="1">
      <c r="A4" s="14" t="s">
        <v>9</v>
      </c>
      <c r="B4" s="19">
        <v>377262.34</v>
      </c>
      <c r="C4" s="19">
        <v>431890.82</v>
      </c>
      <c r="D4" s="19">
        <v>451452.93</v>
      </c>
      <c r="E4" s="19">
        <v>500983.54</v>
      </c>
      <c r="F4" s="19">
        <v>489196.06</v>
      </c>
      <c r="G4" s="19">
        <v>469298.77</v>
      </c>
      <c r="H4" s="19">
        <v>446758.22</v>
      </c>
      <c r="I4" s="19">
        <v>422824.08</v>
      </c>
      <c r="J4" s="19">
        <v>452952.0</v>
      </c>
      <c r="K4" s="19">
        <v>442554.6</v>
      </c>
      <c r="L4" s="19">
        <v>428650.0</v>
      </c>
      <c r="M4" s="19">
        <v>472671.97</v>
      </c>
      <c r="N4" s="18">
        <f>sum(B4:M4)</f>
        <v>5386495.33</v>
      </c>
      <c r="O4" s="20"/>
    </row>
    <row r="5" ht="15.75" customHeight="1">
      <c r="A5" s="14" t="s">
        <v>10</v>
      </c>
      <c r="B5" s="19">
        <v>0.0</v>
      </c>
      <c r="C5" s="19">
        <v>2893.57</v>
      </c>
      <c r="D5" s="19">
        <v>1252.0</v>
      </c>
      <c r="E5" s="19">
        <v>556.0</v>
      </c>
      <c r="F5" s="19">
        <v>0.0</v>
      </c>
      <c r="G5" s="19">
        <v>0.0</v>
      </c>
      <c r="H5" s="19">
        <v>0.0</v>
      </c>
      <c r="I5" s="19">
        <v>540.27</v>
      </c>
      <c r="J5" s="19">
        <v>0.0</v>
      </c>
      <c r="K5" s="19">
        <v>0.0</v>
      </c>
      <c r="L5" s="19">
        <v>0.0</v>
      </c>
      <c r="M5" s="19">
        <v>565.98</v>
      </c>
      <c r="N5" s="18">
        <f t="shared" ref="N5:N6" si="2">+SUM(J5:L5)</f>
        <v>0</v>
      </c>
      <c r="O5" s="20"/>
    </row>
    <row r="6" ht="15.75" customHeight="1">
      <c r="A6" s="14" t="s">
        <v>11</v>
      </c>
      <c r="B6" s="19">
        <v>22016.0</v>
      </c>
      <c r="C6" s="19">
        <v>24394.33</v>
      </c>
      <c r="D6" s="19">
        <v>23635.0</v>
      </c>
      <c r="E6" s="19">
        <v>21895.0</v>
      </c>
      <c r="F6" s="19">
        <v>19185.0</v>
      </c>
      <c r="G6" s="19">
        <v>17545.17</v>
      </c>
      <c r="H6" s="19">
        <v>20717.0</v>
      </c>
      <c r="I6" s="19">
        <v>18406.0</v>
      </c>
      <c r="J6" s="19">
        <v>16389.96</v>
      </c>
      <c r="K6" s="19">
        <v>17632.92</v>
      </c>
      <c r="L6" s="19">
        <v>13833.74</v>
      </c>
      <c r="M6" s="19">
        <v>17137.3</v>
      </c>
      <c r="N6" s="18">
        <f t="shared" si="2"/>
        <v>47856.62</v>
      </c>
      <c r="O6" s="20"/>
    </row>
    <row r="7" ht="15.75" customHeight="1">
      <c r="A7" s="14" t="s">
        <v>12</v>
      </c>
      <c r="B7" s="19">
        <v>107230.0</v>
      </c>
      <c r="C7" s="19">
        <v>109842.78</v>
      </c>
      <c r="D7" s="19">
        <v>72014.0</v>
      </c>
      <c r="E7" s="19">
        <v>59525.0</v>
      </c>
      <c r="F7" s="19">
        <v>52696.0</v>
      </c>
      <c r="G7" s="19">
        <v>68179.71</v>
      </c>
      <c r="H7" s="19">
        <v>63056.0</v>
      </c>
      <c r="I7" s="19">
        <v>68716.95</v>
      </c>
      <c r="J7" s="19">
        <v>76057.0</v>
      </c>
      <c r="K7" s="19">
        <v>59976.62</v>
      </c>
      <c r="L7" s="19">
        <v>69332.2</v>
      </c>
      <c r="M7" s="19">
        <v>69049.0</v>
      </c>
      <c r="N7" s="18">
        <f>sum(B7:M7)</f>
        <v>875675.26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>
        <f>1532644.49*1.05+28257.35*1.05</f>
        <v>1638946.932</v>
      </c>
      <c r="C9" s="17">
        <f>1753623.27*1.05+34898.54*1.05</f>
        <v>1877947.901</v>
      </c>
      <c r="D9" s="17">
        <f>1909680.29*1.05+33128*1.05</f>
        <v>2039948.705</v>
      </c>
      <c r="E9" s="17">
        <f>1987853.41*1.05</f>
        <v>2087246.081</v>
      </c>
      <c r="F9" s="17">
        <f>2011838.45*1.05</f>
        <v>2112430.373</v>
      </c>
      <c r="G9" s="17">
        <f>1884689.11*1.05</f>
        <v>1978923.566</v>
      </c>
      <c r="H9" s="17">
        <f>1802131.33*1.05+10*1.05+31992.95*1.05</f>
        <v>1925840.994</v>
      </c>
      <c r="I9" s="17">
        <f>1687150.93*1.05+24986.36*1.05</f>
        <v>1797744.155</v>
      </c>
      <c r="J9" s="17">
        <f>1760062.48*1.05+23348.94*1.05</f>
        <v>1872581.991</v>
      </c>
      <c r="K9" s="19">
        <f>1842625.38*1.05+24464.61*1.05</f>
        <v>1960444.49</v>
      </c>
      <c r="L9" s="17">
        <f>1648189.76*1.05+25591.13*1.05</f>
        <v>1757469.935</v>
      </c>
      <c r="M9" s="17">
        <f>1947081.18*1.05+41555.24*1.05</f>
        <v>2088068.241</v>
      </c>
      <c r="N9" s="18">
        <f t="shared" ref="N9:N12" si="3">+SUM(B9:M9)</f>
        <v>23137593.36</v>
      </c>
      <c r="O9" s="20"/>
    </row>
    <row r="10" ht="15.75" customHeight="1">
      <c r="A10" s="22" t="s">
        <v>14</v>
      </c>
      <c r="B10" s="19">
        <v>0.0</v>
      </c>
      <c r="C10" s="19">
        <v>0.0</v>
      </c>
      <c r="D10" s="19">
        <v>0.0</v>
      </c>
      <c r="E10" s="17"/>
      <c r="F10" s="17"/>
      <c r="G10" s="17"/>
      <c r="H10" s="17"/>
      <c r="I10" s="17"/>
      <c r="J10" s="17"/>
      <c r="K10" s="17"/>
      <c r="L10" s="17"/>
      <c r="M10" s="17"/>
      <c r="N10" s="18">
        <f t="shared" si="3"/>
        <v>0</v>
      </c>
      <c r="O10" s="20"/>
    </row>
    <row r="11" ht="15.75" customHeight="1">
      <c r="A11" s="22" t="s">
        <v>15</v>
      </c>
      <c r="B11" s="17">
        <f t="shared" ref="B11:M11" si="4">(B9+B10)/1.05*0.05</f>
        <v>78045.092</v>
      </c>
      <c r="C11" s="17">
        <f t="shared" si="4"/>
        <v>89426.0905</v>
      </c>
      <c r="D11" s="17">
        <f t="shared" si="4"/>
        <v>97140.4145</v>
      </c>
      <c r="E11" s="17">
        <f t="shared" si="4"/>
        <v>99392.6705</v>
      </c>
      <c r="F11" s="17">
        <f t="shared" si="4"/>
        <v>100591.9225</v>
      </c>
      <c r="G11" s="17">
        <f t="shared" si="4"/>
        <v>94234.4555</v>
      </c>
      <c r="H11" s="17">
        <f t="shared" si="4"/>
        <v>91706.714</v>
      </c>
      <c r="I11" s="17">
        <f t="shared" si="4"/>
        <v>85606.8645</v>
      </c>
      <c r="J11" s="17">
        <f t="shared" si="4"/>
        <v>89170.571</v>
      </c>
      <c r="K11" s="17">
        <f t="shared" si="4"/>
        <v>93354.4995</v>
      </c>
      <c r="L11" s="17">
        <f t="shared" si="4"/>
        <v>83689.0445</v>
      </c>
      <c r="M11" s="17">
        <f t="shared" si="4"/>
        <v>99431.821</v>
      </c>
      <c r="N11" s="18">
        <f t="shared" si="3"/>
        <v>1101790.16</v>
      </c>
      <c r="O11" s="20"/>
    </row>
    <row r="12" ht="15.75" customHeight="1">
      <c r="A12" s="22" t="s">
        <v>16</v>
      </c>
      <c r="B12" s="17">
        <f>37213+6698+452.88+81.52+65191.95+816.48</f>
        <v>110453.83</v>
      </c>
      <c r="C12" s="17">
        <f>80164.6+900.93+14591.8+5210.94+5736.19+937.97+370.98+454.16+66.78+81.74</f>
        <v>108516.09</v>
      </c>
      <c r="D12" s="17">
        <f>1067.52+76618.24+192.15+13791.28+19789.95+14008+3562.21+2521.59+787.39+141.72</f>
        <v>132480.05</v>
      </c>
      <c r="E12" s="17">
        <f>53635.84+9654+79593+14326.81+5006+901</f>
        <v>163116.65</v>
      </c>
      <c r="F12" s="17">
        <f>50144.81+73117.4+13161.14+9026.09+4110.76+739.94</f>
        <v>150300.14</v>
      </c>
      <c r="G12" s="19">
        <f>76313.18+38658.88+13736.37+6958.64+4808.54+865.53</f>
        <v>141341.14</v>
      </c>
      <c r="H12" s="17">
        <f>74842.89*1.18+36469.91*1.18+3810.63*1.18</f>
        <v>135845.6474</v>
      </c>
      <c r="I12" s="17">
        <f>25505.31*1.18+58653.03*1.18+2253.03*1.18+10468.73*1.18+1255.92*1.18</f>
        <v>115800.5036</v>
      </c>
      <c r="J12" s="17">
        <f>55761.22+10037.02+33893.47+5994.76</f>
        <v>105686.47</v>
      </c>
      <c r="K12" s="17">
        <f>59395.2+10691.14+32921.9*1.18+3631.47*1.18</f>
        <v>113219.3166</v>
      </c>
      <c r="L12" s="17">
        <f>25309.77*1.18+63140.88*1.18+3472.24*1.18</f>
        <v>108469.0102</v>
      </c>
      <c r="M12" s="17">
        <f>98058.13*1.18+38298.02*1.18+2959.93*1.18</f>
        <v>164392.9744</v>
      </c>
      <c r="N12" s="18">
        <f t="shared" si="3"/>
        <v>1549621.822</v>
      </c>
      <c r="O12" s="20"/>
    </row>
    <row r="13" ht="15.75" customHeight="1">
      <c r="A13" s="24" t="s">
        <v>17</v>
      </c>
      <c r="B13" s="25">
        <f t="shared" ref="B13:M13" si="5">B9+B10-B11-B12</f>
        <v>1450448.01</v>
      </c>
      <c r="C13" s="25">
        <f t="shared" si="5"/>
        <v>1680005.72</v>
      </c>
      <c r="D13" s="25">
        <f t="shared" si="5"/>
        <v>1810328.24</v>
      </c>
      <c r="E13" s="25">
        <f t="shared" si="5"/>
        <v>1824736.76</v>
      </c>
      <c r="F13" s="26">
        <f t="shared" si="5"/>
        <v>1861538.31</v>
      </c>
      <c r="G13" s="26">
        <f t="shared" si="5"/>
        <v>1743347.97</v>
      </c>
      <c r="H13" s="25">
        <f t="shared" si="5"/>
        <v>1698288.633</v>
      </c>
      <c r="I13" s="25">
        <f t="shared" si="5"/>
        <v>1596336.786</v>
      </c>
      <c r="J13" s="25">
        <f t="shared" si="5"/>
        <v>1677724.95</v>
      </c>
      <c r="K13" s="25">
        <f t="shared" si="5"/>
        <v>1753870.673</v>
      </c>
      <c r="L13" s="25">
        <f t="shared" si="5"/>
        <v>1565311.88</v>
      </c>
      <c r="M13" s="25">
        <f t="shared" si="5"/>
        <v>1824243.446</v>
      </c>
      <c r="N13" s="25">
        <f t="shared" ref="N13:N29" si="7">sum(B13:M13)</f>
        <v>20486181.38</v>
      </c>
      <c r="O13" s="27">
        <f>N13/$N$7</f>
        <v>23.39472441</v>
      </c>
    </row>
    <row r="14" ht="15.75" customHeight="1">
      <c r="A14" s="22" t="s">
        <v>18</v>
      </c>
      <c r="B14" s="28">
        <f t="shared" ref="B14:M14" si="6">+B3+B4-B5-B7</f>
        <v>386858.07</v>
      </c>
      <c r="C14" s="28">
        <f t="shared" si="6"/>
        <v>426384.47</v>
      </c>
      <c r="D14" s="28">
        <f t="shared" si="6"/>
        <v>488029.71</v>
      </c>
      <c r="E14" s="28">
        <f t="shared" si="6"/>
        <v>512916.54</v>
      </c>
      <c r="F14" s="28">
        <f t="shared" si="6"/>
        <v>496025.06</v>
      </c>
      <c r="G14" s="28">
        <f t="shared" si="6"/>
        <v>453815.06</v>
      </c>
      <c r="H14" s="28">
        <f t="shared" si="6"/>
        <v>451881.93</v>
      </c>
      <c r="I14" s="28">
        <f t="shared" si="6"/>
        <v>416622.86</v>
      </c>
      <c r="J14" s="28">
        <f t="shared" si="6"/>
        <v>445611.95</v>
      </c>
      <c r="K14" s="28">
        <f t="shared" si="6"/>
        <v>458634.98</v>
      </c>
      <c r="L14" s="28">
        <f t="shared" si="6"/>
        <v>419294.42</v>
      </c>
      <c r="M14" s="28">
        <f t="shared" si="6"/>
        <v>472389.19</v>
      </c>
      <c r="N14" s="18">
        <f t="shared" si="7"/>
        <v>5428464.24</v>
      </c>
      <c r="O14" s="29">
        <f t="shared" ref="O14:O29" si="9">N14/$N$13</f>
        <v>0.2649817523</v>
      </c>
    </row>
    <row r="15" ht="15.75" customHeight="1">
      <c r="A15" s="22" t="s">
        <v>19</v>
      </c>
      <c r="B15" s="28">
        <f t="shared" ref="B15:C15" si="8">65295+23600+3000</f>
        <v>91895</v>
      </c>
      <c r="C15" s="28">
        <f t="shared" si="8"/>
        <v>91895</v>
      </c>
      <c r="D15" s="28">
        <f>74807+23600+3000</f>
        <v>101407</v>
      </c>
      <c r="E15" s="28">
        <f>81815+23600+10900</f>
        <v>116315</v>
      </c>
      <c r="F15" s="28">
        <f>73605+14700+23600</f>
        <v>111905</v>
      </c>
      <c r="G15" s="28">
        <f>72758+23600+5100</f>
        <v>101458</v>
      </c>
      <c r="H15" s="28">
        <f>75351+55479+23600+5100+2500</f>
        <v>162030</v>
      </c>
      <c r="I15" s="28">
        <f>68974+23600</f>
        <v>92574</v>
      </c>
      <c r="J15" s="28">
        <f>86829+27800</f>
        <v>114629</v>
      </c>
      <c r="K15" s="28">
        <f>66676+23600+6300</f>
        <v>96576</v>
      </c>
      <c r="L15" s="28">
        <f>65311+23600</f>
        <v>88911</v>
      </c>
      <c r="M15" s="28">
        <f>69977+23600</f>
        <v>93577</v>
      </c>
      <c r="N15" s="18">
        <f t="shared" si="7"/>
        <v>1263172</v>
      </c>
      <c r="O15" s="29">
        <f t="shared" si="9"/>
        <v>0.06165970987</v>
      </c>
    </row>
    <row r="16" ht="15.75" customHeight="1">
      <c r="A16" s="22" t="s">
        <v>20</v>
      </c>
      <c r="B16" s="28">
        <f>202+1413</f>
        <v>1615</v>
      </c>
      <c r="C16" s="28">
        <f>222</f>
        <v>222</v>
      </c>
      <c r="D16" s="28">
        <f>1414</f>
        <v>1414</v>
      </c>
      <c r="E16" s="28">
        <v>1414.0</v>
      </c>
      <c r="F16" s="28">
        <f>403+1414</f>
        <v>1817</v>
      </c>
      <c r="G16" s="28">
        <f t="shared" ref="G16:H16" si="10">1414+202</f>
        <v>1616</v>
      </c>
      <c r="H16" s="28">
        <f t="shared" si="10"/>
        <v>1616</v>
      </c>
      <c r="I16" s="57">
        <v>1616.0</v>
      </c>
      <c r="J16" s="28">
        <f>489+1414</f>
        <v>1903</v>
      </c>
      <c r="K16" s="28">
        <f>1414+221</f>
        <v>1635</v>
      </c>
      <c r="L16" s="28">
        <f>4246/3+221</f>
        <v>1636.333333</v>
      </c>
      <c r="M16" s="28">
        <f>4246/3+222</f>
        <v>1637.333333</v>
      </c>
      <c r="N16" s="18">
        <f t="shared" si="7"/>
        <v>18141.66667</v>
      </c>
      <c r="O16" s="29">
        <f t="shared" si="9"/>
        <v>0.0008855562846</v>
      </c>
    </row>
    <row r="17" ht="15.75" customHeight="1">
      <c r="A17" s="22" t="s">
        <v>21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18">
        <f t="shared" si="7"/>
        <v>0</v>
      </c>
      <c r="O17" s="29">
        <f t="shared" si="9"/>
        <v>0</v>
      </c>
    </row>
    <row r="18" ht="15.75" customHeight="1">
      <c r="A18" s="22" t="s">
        <v>22</v>
      </c>
      <c r="B18" s="28">
        <f>105000+105000</f>
        <v>210000</v>
      </c>
      <c r="C18" s="28">
        <f t="shared" ref="C18:M18" si="11">123900+123900</f>
        <v>247800</v>
      </c>
      <c r="D18" s="28">
        <f t="shared" si="11"/>
        <v>247800</v>
      </c>
      <c r="E18" s="28">
        <f t="shared" si="11"/>
        <v>247800</v>
      </c>
      <c r="F18" s="28">
        <f t="shared" si="11"/>
        <v>247800</v>
      </c>
      <c r="G18" s="28">
        <f t="shared" si="11"/>
        <v>247800</v>
      </c>
      <c r="H18" s="28">
        <f t="shared" si="11"/>
        <v>247800</v>
      </c>
      <c r="I18" s="28">
        <f t="shared" si="11"/>
        <v>247800</v>
      </c>
      <c r="J18" s="28">
        <f t="shared" si="11"/>
        <v>247800</v>
      </c>
      <c r="K18" s="28">
        <f t="shared" si="11"/>
        <v>247800</v>
      </c>
      <c r="L18" s="28">
        <f t="shared" si="11"/>
        <v>247800</v>
      </c>
      <c r="M18" s="28">
        <f t="shared" si="11"/>
        <v>247800</v>
      </c>
      <c r="N18" s="18">
        <f t="shared" si="7"/>
        <v>2935800</v>
      </c>
      <c r="O18" s="29">
        <f t="shared" si="9"/>
        <v>0.1433063559</v>
      </c>
    </row>
    <row r="19" ht="15.75" customHeight="1">
      <c r="A19" s="30" t="s">
        <v>23</v>
      </c>
      <c r="B19" s="28">
        <v>0.0</v>
      </c>
      <c r="C19" s="28">
        <f t="shared" ref="C19:M19" si="12">16727/12</f>
        <v>1393.916667</v>
      </c>
      <c r="D19" s="28">
        <f t="shared" si="12"/>
        <v>1393.916667</v>
      </c>
      <c r="E19" s="28">
        <f t="shared" si="12"/>
        <v>1393.916667</v>
      </c>
      <c r="F19" s="28">
        <f t="shared" si="12"/>
        <v>1393.916667</v>
      </c>
      <c r="G19" s="28">
        <f t="shared" si="12"/>
        <v>1393.916667</v>
      </c>
      <c r="H19" s="28">
        <f t="shared" si="12"/>
        <v>1393.916667</v>
      </c>
      <c r="I19" s="28">
        <f t="shared" si="12"/>
        <v>1393.916667</v>
      </c>
      <c r="J19" s="28">
        <f t="shared" si="12"/>
        <v>1393.916667</v>
      </c>
      <c r="K19" s="28">
        <f t="shared" si="12"/>
        <v>1393.916667</v>
      </c>
      <c r="L19" s="28">
        <f t="shared" si="12"/>
        <v>1393.916667</v>
      </c>
      <c r="M19" s="28">
        <f t="shared" si="12"/>
        <v>1393.916667</v>
      </c>
      <c r="N19" s="18">
        <f t="shared" si="7"/>
        <v>15333.08333</v>
      </c>
      <c r="O19" s="29">
        <f t="shared" si="9"/>
        <v>0.0007484598057</v>
      </c>
    </row>
    <row r="20" ht="15.75" customHeight="1">
      <c r="A20" s="22" t="s">
        <v>24</v>
      </c>
      <c r="B20" s="28">
        <f t="shared" ref="B20:L20" si="13">12630</f>
        <v>12630</v>
      </c>
      <c r="C20" s="28">
        <f t="shared" si="13"/>
        <v>12630</v>
      </c>
      <c r="D20" s="28">
        <f t="shared" si="13"/>
        <v>12630</v>
      </c>
      <c r="E20" s="28">
        <f t="shared" si="13"/>
        <v>12630</v>
      </c>
      <c r="F20" s="28">
        <f t="shared" si="13"/>
        <v>12630</v>
      </c>
      <c r="G20" s="28">
        <f t="shared" si="13"/>
        <v>12630</v>
      </c>
      <c r="H20" s="28">
        <f t="shared" si="13"/>
        <v>12630</v>
      </c>
      <c r="I20" s="28">
        <f t="shared" si="13"/>
        <v>12630</v>
      </c>
      <c r="J20" s="28">
        <f t="shared" si="13"/>
        <v>12630</v>
      </c>
      <c r="K20" s="28">
        <f t="shared" si="13"/>
        <v>12630</v>
      </c>
      <c r="L20" s="28">
        <f t="shared" si="13"/>
        <v>12630</v>
      </c>
      <c r="M20" s="15">
        <v>12630.0</v>
      </c>
      <c r="N20" s="18">
        <f t="shared" si="7"/>
        <v>151560</v>
      </c>
      <c r="O20" s="29">
        <f t="shared" si="9"/>
        <v>0.007398157675</v>
      </c>
    </row>
    <row r="21" ht="15.75" customHeight="1">
      <c r="A21" s="22" t="s">
        <v>25</v>
      </c>
      <c r="B21" s="28">
        <f>1500+321929.58+12630+173179/12</f>
        <v>350491.1633</v>
      </c>
      <c r="C21" s="28">
        <f>328085+12630+173179/12</f>
        <v>355146.5833</v>
      </c>
      <c r="D21" s="28">
        <f>333508.36+12630+173179/12</f>
        <v>360569.9433</v>
      </c>
      <c r="E21" s="28">
        <f>336832+12630+173179/12</f>
        <v>363893.5833</v>
      </c>
      <c r="F21" s="28">
        <f>347536.59+12630+173179/12</f>
        <v>374598.1733</v>
      </c>
      <c r="G21" s="28">
        <f>349257.02+12630+173179/12</f>
        <v>376318.6033</v>
      </c>
      <c r="H21" s="28">
        <f>173179/12+330208+12630</f>
        <v>357269.5833</v>
      </c>
      <c r="I21" s="28">
        <f>173179/12+12630+307161.72</f>
        <v>334223.3033</v>
      </c>
      <c r="J21" s="28">
        <f>173179/12+326046+12630</f>
        <v>353107.5833</v>
      </c>
      <c r="K21" s="28">
        <f>173179/12+12630+303483</f>
        <v>330544.5833</v>
      </c>
      <c r="L21" s="28">
        <f>173179/12+288843+12630</f>
        <v>315904.5833</v>
      </c>
      <c r="M21" s="28">
        <f>173179/12+12630+278960</f>
        <v>306021.5833</v>
      </c>
      <c r="N21" s="18">
        <f t="shared" si="7"/>
        <v>4178089.27</v>
      </c>
      <c r="O21" s="29">
        <f t="shared" si="9"/>
        <v>0.2039467089</v>
      </c>
    </row>
    <row r="22" ht="15.75" customHeight="1">
      <c r="A22" s="14" t="s">
        <v>26</v>
      </c>
      <c r="B22" s="28">
        <f t="shared" ref="B22:C22" si="14">75225/12+4720+2950</f>
        <v>13938.75</v>
      </c>
      <c r="C22" s="28">
        <f t="shared" si="14"/>
        <v>13938.75</v>
      </c>
      <c r="D22" s="28">
        <f t="shared" ref="D22:H22" si="15">75225/12+5192+2950</f>
        <v>14410.75</v>
      </c>
      <c r="E22" s="28">
        <f t="shared" si="15"/>
        <v>14410.75</v>
      </c>
      <c r="F22" s="28">
        <f t="shared" si="15"/>
        <v>14410.75</v>
      </c>
      <c r="G22" s="28">
        <f t="shared" si="15"/>
        <v>14410.75</v>
      </c>
      <c r="H22" s="28">
        <f t="shared" si="15"/>
        <v>14410.75</v>
      </c>
      <c r="I22" s="28">
        <f>75225/12+4760+2950</f>
        <v>13978.75</v>
      </c>
      <c r="J22" s="28">
        <f t="shared" ref="J22:L22" si="16">75225/12+4720+2950</f>
        <v>13938.75</v>
      </c>
      <c r="K22" s="28">
        <f t="shared" si="16"/>
        <v>13938.75</v>
      </c>
      <c r="L22" s="28">
        <f t="shared" si="16"/>
        <v>13938.75</v>
      </c>
      <c r="M22" s="28">
        <f>75225/12+2950+4720</f>
        <v>13938.75</v>
      </c>
      <c r="N22" s="18">
        <f t="shared" si="7"/>
        <v>169665</v>
      </c>
      <c r="O22" s="29">
        <f t="shared" si="9"/>
        <v>0.008281924136</v>
      </c>
    </row>
    <row r="23" ht="15.75" customHeight="1">
      <c r="A23" s="33" t="s">
        <v>27</v>
      </c>
      <c r="B23" s="28">
        <f t="shared" ref="B23:J23" si="17">2124/3</f>
        <v>708</v>
      </c>
      <c r="C23" s="28">
        <f t="shared" si="17"/>
        <v>708</v>
      </c>
      <c r="D23" s="28">
        <f t="shared" si="17"/>
        <v>708</v>
      </c>
      <c r="E23" s="28">
        <f t="shared" si="17"/>
        <v>708</v>
      </c>
      <c r="F23" s="28">
        <f t="shared" si="17"/>
        <v>708</v>
      </c>
      <c r="G23" s="28">
        <f t="shared" si="17"/>
        <v>708</v>
      </c>
      <c r="H23" s="28">
        <f t="shared" si="17"/>
        <v>708</v>
      </c>
      <c r="I23" s="28">
        <f t="shared" si="17"/>
        <v>708</v>
      </c>
      <c r="J23" s="28">
        <f t="shared" si="17"/>
        <v>708</v>
      </c>
      <c r="K23" s="28">
        <f t="shared" ref="K23:M23" si="18">3304/3</f>
        <v>1101.333333</v>
      </c>
      <c r="L23" s="28">
        <f t="shared" si="18"/>
        <v>1101.333333</v>
      </c>
      <c r="M23" s="28">
        <f t="shared" si="18"/>
        <v>1101.333333</v>
      </c>
      <c r="N23" s="18">
        <f t="shared" si="7"/>
        <v>9676</v>
      </c>
      <c r="O23" s="29">
        <f t="shared" si="9"/>
        <v>0.00047231838</v>
      </c>
    </row>
    <row r="24" ht="15.75" customHeight="1">
      <c r="A24" s="22" t="s">
        <v>28</v>
      </c>
      <c r="B24" s="28">
        <v>480.0</v>
      </c>
      <c r="C24" s="28">
        <v>550.0</v>
      </c>
      <c r="D24" s="28">
        <v>0.0</v>
      </c>
      <c r="E24" s="28">
        <v>34351.0</v>
      </c>
      <c r="F24" s="28">
        <v>5357.0</v>
      </c>
      <c r="G24" s="28">
        <v>4709.0</v>
      </c>
      <c r="H24" s="28">
        <v>6868.0</v>
      </c>
      <c r="I24" s="15">
        <v>5959.0</v>
      </c>
      <c r="J24" s="15">
        <v>4130.0</v>
      </c>
      <c r="K24" s="15">
        <v>6999.0</v>
      </c>
      <c r="L24" s="15">
        <v>348.0</v>
      </c>
      <c r="M24" s="15">
        <v>57740.0</v>
      </c>
      <c r="N24" s="18">
        <f t="shared" si="7"/>
        <v>127491</v>
      </c>
      <c r="O24" s="29">
        <f t="shared" si="9"/>
        <v>0.006223268146</v>
      </c>
    </row>
    <row r="25" ht="15.75" customHeight="1">
      <c r="A25" s="22" t="s">
        <v>29</v>
      </c>
      <c r="B25" s="28">
        <v>5696.35</v>
      </c>
      <c r="C25" s="28">
        <v>6165.8</v>
      </c>
      <c r="D25" s="28">
        <v>12870.0</v>
      </c>
      <c r="E25" s="28">
        <v>11702.0</v>
      </c>
      <c r="F25" s="28">
        <v>48488.39</v>
      </c>
      <c r="G25" s="28">
        <v>20073.7</v>
      </c>
      <c r="H25" s="28">
        <v>27256.64</v>
      </c>
      <c r="I25" s="15">
        <v>22254.54</v>
      </c>
      <c r="J25" s="15">
        <v>16487.72</v>
      </c>
      <c r="K25" s="15">
        <v>22045.0</v>
      </c>
      <c r="L25" s="15">
        <v>20182.0</v>
      </c>
      <c r="M25" s="15">
        <v>22642.87</v>
      </c>
      <c r="N25" s="18">
        <f t="shared" si="7"/>
        <v>235865.01</v>
      </c>
      <c r="O25" s="29">
        <f t="shared" si="9"/>
        <v>0.01151337117</v>
      </c>
    </row>
    <row r="26" ht="15.75" customHeight="1">
      <c r="A26" s="22" t="s">
        <v>30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18">
        <f t="shared" si="7"/>
        <v>0</v>
      </c>
      <c r="O26" s="29">
        <f t="shared" si="9"/>
        <v>0</v>
      </c>
    </row>
    <row r="27" ht="15.75" customHeight="1">
      <c r="A27" s="22" t="s">
        <v>31</v>
      </c>
      <c r="B27" s="28">
        <f>HO!D33</f>
        <v>264121.4042</v>
      </c>
      <c r="C27" s="28">
        <f>HO!H33</f>
        <v>296263.1095</v>
      </c>
      <c r="D27" s="28">
        <f>HO!L33</f>
        <v>312329.3278</v>
      </c>
      <c r="E27" s="28">
        <f>HO!P33</f>
        <v>320258.6331</v>
      </c>
      <c r="F27" s="28">
        <f>HO!D46</f>
        <v>336416.0328</v>
      </c>
      <c r="G27" s="28">
        <f>HO!H46</f>
        <v>313911.5737</v>
      </c>
      <c r="H27" s="28">
        <f>HO!L46</f>
        <v>326825.5147</v>
      </c>
      <c r="I27" s="28">
        <f>HO!P46</f>
        <v>284929.8667</v>
      </c>
      <c r="J27" s="28">
        <f>HO!D59</f>
        <v>297033.0026</v>
      </c>
      <c r="K27" s="28">
        <f>HO!H59</f>
        <v>269499.4732</v>
      </c>
      <c r="L27" s="28">
        <f>HO!L59</f>
        <v>242884.8712</v>
      </c>
      <c r="M27" s="28">
        <f>HO!P59</f>
        <v>288869.6322</v>
      </c>
      <c r="N27" s="18">
        <f t="shared" si="7"/>
        <v>3553342.442</v>
      </c>
      <c r="O27" s="29">
        <f t="shared" si="9"/>
        <v>0.1734506971</v>
      </c>
    </row>
    <row r="28" ht="15.75" customHeight="1">
      <c r="A28" s="34" t="s">
        <v>32</v>
      </c>
      <c r="B28" s="35">
        <f t="shared" ref="B28:M28" si="19">+SUM(B14:B27)</f>
        <v>1338433.738</v>
      </c>
      <c r="C28" s="35">
        <f t="shared" si="19"/>
        <v>1453097.63</v>
      </c>
      <c r="D28" s="35">
        <f t="shared" si="19"/>
        <v>1553562.648</v>
      </c>
      <c r="E28" s="35">
        <f t="shared" si="19"/>
        <v>1637793.423</v>
      </c>
      <c r="F28" s="36">
        <f t="shared" si="19"/>
        <v>1651549.323</v>
      </c>
      <c r="G28" s="35">
        <f t="shared" si="19"/>
        <v>1548844.604</v>
      </c>
      <c r="H28" s="35">
        <f t="shared" si="19"/>
        <v>1610690.335</v>
      </c>
      <c r="I28" s="35">
        <f t="shared" si="19"/>
        <v>1434690.237</v>
      </c>
      <c r="J28" s="35">
        <f t="shared" si="19"/>
        <v>1509372.923</v>
      </c>
      <c r="K28" s="35">
        <f t="shared" si="19"/>
        <v>1462798.037</v>
      </c>
      <c r="L28" s="35">
        <f t="shared" si="19"/>
        <v>1366025.208</v>
      </c>
      <c r="M28" s="35">
        <f t="shared" si="19"/>
        <v>1519741.609</v>
      </c>
      <c r="N28" s="35">
        <f t="shared" si="7"/>
        <v>18086599.71</v>
      </c>
      <c r="O28" s="37">
        <f t="shared" si="9"/>
        <v>0.8828682798</v>
      </c>
    </row>
    <row r="29" ht="15.75" customHeight="1">
      <c r="A29" s="38" t="s">
        <v>33</v>
      </c>
      <c r="B29" s="39">
        <f t="shared" ref="B29:M29" si="20">B13-B28</f>
        <v>112014.2725</v>
      </c>
      <c r="C29" s="39">
        <f t="shared" si="20"/>
        <v>226908.0905</v>
      </c>
      <c r="D29" s="39">
        <f t="shared" si="20"/>
        <v>256765.5922</v>
      </c>
      <c r="E29" s="39">
        <f t="shared" si="20"/>
        <v>186943.3369</v>
      </c>
      <c r="F29" s="39">
        <f t="shared" si="20"/>
        <v>209988.9872</v>
      </c>
      <c r="G29" s="39">
        <f t="shared" si="20"/>
        <v>194503.3663</v>
      </c>
      <c r="H29" s="39">
        <f t="shared" si="20"/>
        <v>87598.29787</v>
      </c>
      <c r="I29" s="39">
        <f t="shared" si="20"/>
        <v>161646.5497</v>
      </c>
      <c r="J29" s="39">
        <f t="shared" si="20"/>
        <v>168352.0274</v>
      </c>
      <c r="K29" s="39">
        <f t="shared" si="20"/>
        <v>291072.6369</v>
      </c>
      <c r="L29" s="39">
        <f t="shared" si="20"/>
        <v>199286.6719</v>
      </c>
      <c r="M29" s="39">
        <f t="shared" si="20"/>
        <v>304501.8368</v>
      </c>
      <c r="N29" s="39">
        <f t="shared" si="7"/>
        <v>2399581.666</v>
      </c>
      <c r="O29" s="40">
        <f t="shared" si="9"/>
        <v>0.1171317202</v>
      </c>
    </row>
    <row r="30" ht="15.75" customHeight="1">
      <c r="A30" s="41" t="s">
        <v>34</v>
      </c>
      <c r="B30" s="42">
        <f t="shared" ref="B30:M30" si="21">(B14/B13)</f>
        <v>0.266716261</v>
      </c>
      <c r="C30" s="42">
        <f t="shared" si="21"/>
        <v>0.2537994156</v>
      </c>
      <c r="D30" s="42">
        <f t="shared" si="21"/>
        <v>0.2695807861</v>
      </c>
      <c r="E30" s="42">
        <f t="shared" si="21"/>
        <v>0.2810907037</v>
      </c>
      <c r="F30" s="43">
        <f t="shared" si="21"/>
        <v>0.2664597647</v>
      </c>
      <c r="G30" s="42">
        <f t="shared" si="21"/>
        <v>0.2603123804</v>
      </c>
      <c r="H30" s="42">
        <f t="shared" si="21"/>
        <v>0.26608076</v>
      </c>
      <c r="I30" s="42">
        <f t="shared" si="21"/>
        <v>0.260986819</v>
      </c>
      <c r="J30" s="42">
        <f t="shared" si="21"/>
        <v>0.2656048895</v>
      </c>
      <c r="K30" s="42">
        <f t="shared" si="21"/>
        <v>0.261498745</v>
      </c>
      <c r="L30" s="42">
        <f t="shared" si="21"/>
        <v>0.2678663756</v>
      </c>
      <c r="M30" s="42">
        <f t="shared" si="21"/>
        <v>0.2589507399</v>
      </c>
      <c r="N30" s="44"/>
      <c r="O30" s="44"/>
    </row>
    <row r="31" ht="15.75" customHeight="1"/>
    <row r="32" ht="15.75" customHeight="1">
      <c r="B32" s="47">
        <f t="shared" ref="B32:M32" si="22">B29+B27</f>
        <v>376135.6767</v>
      </c>
      <c r="C32" s="47">
        <f t="shared" si="22"/>
        <v>523171.2</v>
      </c>
      <c r="D32" s="47">
        <f t="shared" si="22"/>
        <v>569094.92</v>
      </c>
      <c r="E32" s="47">
        <f t="shared" si="22"/>
        <v>507201.97</v>
      </c>
      <c r="F32" s="47">
        <f t="shared" si="22"/>
        <v>546405.02</v>
      </c>
      <c r="G32" s="47">
        <f t="shared" si="22"/>
        <v>508414.94</v>
      </c>
      <c r="H32" s="47">
        <f t="shared" si="22"/>
        <v>414423.8126</v>
      </c>
      <c r="I32" s="47">
        <f t="shared" si="22"/>
        <v>446576.4164</v>
      </c>
      <c r="J32" s="47">
        <f t="shared" si="22"/>
        <v>465385.03</v>
      </c>
      <c r="K32" s="47">
        <f t="shared" si="22"/>
        <v>560572.1101</v>
      </c>
      <c r="L32" s="47">
        <f t="shared" si="22"/>
        <v>442171.5431</v>
      </c>
      <c r="M32" s="47">
        <f t="shared" si="22"/>
        <v>593371.4689</v>
      </c>
    </row>
    <row r="33" ht="15.75" customHeight="1">
      <c r="B33" s="46">
        <f t="shared" ref="B33:M33" si="23">B32/B13</f>
        <v>0.259323791</v>
      </c>
      <c r="C33" s="46">
        <f t="shared" si="23"/>
        <v>0.3114103683</v>
      </c>
      <c r="D33" s="46">
        <f t="shared" si="23"/>
        <v>0.3143600743</v>
      </c>
      <c r="E33" s="46">
        <f t="shared" si="23"/>
        <v>0.2779589808</v>
      </c>
      <c r="F33" s="46">
        <f t="shared" si="23"/>
        <v>0.2935233817</v>
      </c>
      <c r="G33" s="46">
        <f t="shared" si="23"/>
        <v>0.2916313603</v>
      </c>
      <c r="H33" s="46">
        <f t="shared" si="23"/>
        <v>0.2440243694</v>
      </c>
      <c r="I33" s="46">
        <f t="shared" si="23"/>
        <v>0.279750752</v>
      </c>
      <c r="J33" s="46">
        <f t="shared" si="23"/>
        <v>0.2773905401</v>
      </c>
      <c r="K33" s="46">
        <f t="shared" si="23"/>
        <v>0.3196199803</v>
      </c>
      <c r="L33" s="46">
        <f t="shared" si="23"/>
        <v>0.2824814332</v>
      </c>
      <c r="M33" s="46">
        <f t="shared" si="23"/>
        <v>0.3252698922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36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16"/>
      <c r="C3" s="23"/>
      <c r="D3" s="23"/>
      <c r="E3" s="17"/>
      <c r="F3" s="17"/>
      <c r="G3" s="17"/>
      <c r="H3" s="17"/>
      <c r="I3" s="17"/>
      <c r="J3" s="19">
        <v>0.0</v>
      </c>
      <c r="K3" s="17">
        <f t="shared" ref="K3:M3" si="1">J7</f>
        <v>55143</v>
      </c>
      <c r="L3" s="17">
        <f t="shared" si="1"/>
        <v>46769</v>
      </c>
      <c r="M3" s="17">
        <f t="shared" si="1"/>
        <v>54676.86</v>
      </c>
      <c r="N3" s="18">
        <f>+SUM(J3:L3)</f>
        <v>101912</v>
      </c>
      <c r="O3" s="20"/>
    </row>
    <row r="4" ht="15.75" customHeight="1">
      <c r="A4" s="14" t="s">
        <v>9</v>
      </c>
      <c r="B4" s="50"/>
      <c r="C4" s="50"/>
      <c r="D4" s="50"/>
      <c r="E4" s="19"/>
      <c r="F4" s="19"/>
      <c r="G4" s="19"/>
      <c r="H4" s="19"/>
      <c r="I4" s="19"/>
      <c r="J4" s="19">
        <v>162031.0</v>
      </c>
      <c r="K4" s="19">
        <v>163779.66</v>
      </c>
      <c r="L4" s="19">
        <v>159214.08</v>
      </c>
      <c r="M4" s="19">
        <v>212981.84</v>
      </c>
      <c r="N4" s="18">
        <f>sum(B4:M4)</f>
        <v>698006.58</v>
      </c>
      <c r="O4" s="20"/>
    </row>
    <row r="5" ht="15.75" customHeight="1">
      <c r="A5" s="14" t="s">
        <v>10</v>
      </c>
      <c r="B5" s="50"/>
      <c r="C5" s="50"/>
      <c r="D5" s="50"/>
      <c r="E5" s="19"/>
      <c r="F5" s="19"/>
      <c r="G5" s="19"/>
      <c r="H5" s="19"/>
      <c r="I5" s="19"/>
      <c r="J5" s="19">
        <v>0.0</v>
      </c>
      <c r="K5" s="19">
        <v>149.27</v>
      </c>
      <c r="L5" s="19">
        <v>0.0</v>
      </c>
      <c r="M5" s="19">
        <v>0.0</v>
      </c>
      <c r="N5" s="18">
        <f t="shared" ref="N5:N6" si="2">+SUM(J5:L5)</f>
        <v>149.27</v>
      </c>
      <c r="O5" s="20"/>
    </row>
    <row r="6" ht="15.75" customHeight="1">
      <c r="A6" s="14" t="s">
        <v>11</v>
      </c>
      <c r="B6" s="50"/>
      <c r="C6" s="50"/>
      <c r="D6" s="50"/>
      <c r="E6" s="19"/>
      <c r="F6" s="19"/>
      <c r="G6" s="19"/>
      <c r="H6" s="19"/>
      <c r="I6" s="19"/>
      <c r="J6" s="19">
        <v>12958.0</v>
      </c>
      <c r="K6" s="19">
        <v>6745.0</v>
      </c>
      <c r="L6" s="19">
        <v>5639.5</v>
      </c>
      <c r="M6" s="19">
        <v>4696.0</v>
      </c>
      <c r="N6" s="18">
        <f t="shared" si="2"/>
        <v>25342.5</v>
      </c>
      <c r="O6" s="20"/>
    </row>
    <row r="7" ht="15.75" customHeight="1">
      <c r="A7" s="14" t="s">
        <v>12</v>
      </c>
      <c r="B7" s="50"/>
      <c r="C7" s="50"/>
      <c r="D7" s="50"/>
      <c r="E7" s="19"/>
      <c r="F7" s="19"/>
      <c r="G7" s="19"/>
      <c r="H7" s="19"/>
      <c r="I7" s="19"/>
      <c r="J7" s="19">
        <v>55143.0</v>
      </c>
      <c r="K7" s="19">
        <v>46769.0</v>
      </c>
      <c r="L7" s="19">
        <v>54676.86</v>
      </c>
      <c r="M7" s="19">
        <v>44644.25</v>
      </c>
      <c r="N7" s="18">
        <f>sum(B7:M7)</f>
        <v>201233.11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/>
      <c r="C9" s="17"/>
      <c r="D9" s="17"/>
      <c r="E9" s="17"/>
      <c r="F9" s="17"/>
      <c r="G9" s="17"/>
      <c r="H9" s="17"/>
      <c r="I9" s="17"/>
      <c r="J9" s="17">
        <f>260754*1.05+648.81*1.05</f>
        <v>274472.9505</v>
      </c>
      <c r="K9" s="19">
        <f>643649.7*1.05+11841.79*1.05+30*1.05</f>
        <v>688297.5645</v>
      </c>
      <c r="L9" s="17">
        <f>622269.5*1.05+15204.17*1.05</f>
        <v>669347.3535</v>
      </c>
      <c r="M9" s="17">
        <f>790545.24*1.05+24441.96*1.05</f>
        <v>855736.56</v>
      </c>
      <c r="N9" s="18">
        <f t="shared" ref="N9:N12" si="3">+SUM(B9:M9)</f>
        <v>2487854.429</v>
      </c>
      <c r="O9" s="20"/>
    </row>
    <row r="10" ht="15.75" customHeight="1">
      <c r="A10" s="22" t="s">
        <v>14</v>
      </c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>
        <f t="shared" si="3"/>
        <v>0</v>
      </c>
      <c r="O10" s="20"/>
    </row>
    <row r="11" ht="15.75" customHeight="1">
      <c r="A11" s="22" t="s">
        <v>15</v>
      </c>
      <c r="B11" s="17"/>
      <c r="C11" s="17"/>
      <c r="D11" s="17"/>
      <c r="E11" s="17"/>
      <c r="F11" s="17"/>
      <c r="G11" s="17"/>
      <c r="H11" s="17"/>
      <c r="I11" s="17"/>
      <c r="J11" s="17">
        <f t="shared" ref="J11:M11" si="4">(J9+J10)/1.05*0.05</f>
        <v>13070.1405</v>
      </c>
      <c r="K11" s="17">
        <f t="shared" si="4"/>
        <v>32776.0745</v>
      </c>
      <c r="L11" s="17">
        <f t="shared" si="4"/>
        <v>31873.6835</v>
      </c>
      <c r="M11" s="17">
        <f t="shared" si="4"/>
        <v>40749.36</v>
      </c>
      <c r="N11" s="18">
        <f t="shared" si="3"/>
        <v>118469.2585</v>
      </c>
      <c r="O11" s="20"/>
    </row>
    <row r="12" ht="15.75" customHeight="1">
      <c r="A12" s="22" t="s">
        <v>16</v>
      </c>
      <c r="B12" s="19"/>
      <c r="C12" s="17"/>
      <c r="D12" s="17"/>
      <c r="E12" s="17"/>
      <c r="F12" s="17"/>
      <c r="G12" s="17"/>
      <c r="H12" s="17"/>
      <c r="I12" s="17"/>
      <c r="J12" s="17">
        <f>2245.81+404.25+3155.89+568.05</f>
        <v>6374</v>
      </c>
      <c r="K12" s="17">
        <f>27034+4866.26+6491.95*1.18+47.79*1.18</f>
        <v>39617.1532</v>
      </c>
      <c r="L12" s="17">
        <f>10258.51*1.18+34826.35*1.05+240.75*1.18</f>
        <v>48956.7943</v>
      </c>
      <c r="M12" s="17">
        <f>55963.65*1.18+20819.37*1.18+254.65*1.18</f>
        <v>90904.4506</v>
      </c>
      <c r="N12" s="18">
        <f t="shared" si="3"/>
        <v>185852.3981</v>
      </c>
      <c r="O12" s="20"/>
    </row>
    <row r="13" ht="15.75" customHeight="1">
      <c r="A13" s="24" t="s">
        <v>17</v>
      </c>
      <c r="B13" s="25">
        <f t="shared" ref="B13:M13" si="5">B9+B10-B11-B12</f>
        <v>0</v>
      </c>
      <c r="C13" s="25">
        <f t="shared" si="5"/>
        <v>0</v>
      </c>
      <c r="D13" s="25">
        <f t="shared" si="5"/>
        <v>0</v>
      </c>
      <c r="E13" s="25">
        <f t="shared" si="5"/>
        <v>0</v>
      </c>
      <c r="F13" s="26">
        <f t="shared" si="5"/>
        <v>0</v>
      </c>
      <c r="G13" s="26">
        <f t="shared" si="5"/>
        <v>0</v>
      </c>
      <c r="H13" s="25">
        <f t="shared" si="5"/>
        <v>0</v>
      </c>
      <c r="I13" s="25">
        <f t="shared" si="5"/>
        <v>0</v>
      </c>
      <c r="J13" s="25">
        <f t="shared" si="5"/>
        <v>255028.81</v>
      </c>
      <c r="K13" s="25">
        <f t="shared" si="5"/>
        <v>615904.3368</v>
      </c>
      <c r="L13" s="25">
        <f t="shared" si="5"/>
        <v>588516.8757</v>
      </c>
      <c r="M13" s="25">
        <f t="shared" si="5"/>
        <v>724082.7494</v>
      </c>
      <c r="N13" s="25">
        <f t="shared" ref="N13:N29" si="7">sum(B13:M13)</f>
        <v>2183532.772</v>
      </c>
      <c r="O13" s="27">
        <f>N13/$N$7</f>
        <v>10.85076294</v>
      </c>
    </row>
    <row r="14" ht="15.75" customHeight="1">
      <c r="A14" s="22" t="s">
        <v>18</v>
      </c>
      <c r="B14" s="28"/>
      <c r="C14" s="28"/>
      <c r="D14" s="28"/>
      <c r="E14" s="28"/>
      <c r="F14" s="28"/>
      <c r="G14" s="28"/>
      <c r="H14" s="28"/>
      <c r="I14" s="28"/>
      <c r="J14" s="53">
        <f t="shared" ref="J14:M14" si="6">+J3+J4-J5-J7</f>
        <v>106888</v>
      </c>
      <c r="K14" s="28">
        <f t="shared" si="6"/>
        <v>172004.39</v>
      </c>
      <c r="L14" s="28">
        <f t="shared" si="6"/>
        <v>151306.22</v>
      </c>
      <c r="M14" s="28">
        <f t="shared" si="6"/>
        <v>223014.45</v>
      </c>
      <c r="N14" s="18">
        <f t="shared" si="7"/>
        <v>653213.06</v>
      </c>
      <c r="O14" s="29">
        <f t="shared" ref="O14:O29" si="8">N14/$N$13</f>
        <v>0.2991542277</v>
      </c>
    </row>
    <row r="15" ht="15.75" customHeight="1">
      <c r="A15" s="22" t="s">
        <v>19</v>
      </c>
      <c r="B15" s="19"/>
      <c r="C15" s="19"/>
      <c r="D15" s="17"/>
      <c r="E15" s="19"/>
      <c r="F15" s="17"/>
      <c r="G15" s="17"/>
      <c r="H15" s="19"/>
      <c r="I15" s="19"/>
      <c r="J15" s="17">
        <f>3501+5699+12180</f>
        <v>21380</v>
      </c>
      <c r="K15" s="19">
        <f>5199+24361+59917-10000</f>
        <v>79477</v>
      </c>
      <c r="L15" s="55">
        <f>30000+23600+3100</f>
        <v>56700</v>
      </c>
      <c r="M15" s="17">
        <f>44165+23600</f>
        <v>67765</v>
      </c>
      <c r="N15" s="18">
        <f t="shared" si="7"/>
        <v>225322</v>
      </c>
      <c r="O15" s="29">
        <f t="shared" si="8"/>
        <v>0.1031914899</v>
      </c>
    </row>
    <row r="16" ht="15.75" customHeight="1">
      <c r="A16" s="22" t="s">
        <v>20</v>
      </c>
      <c r="B16" s="17"/>
      <c r="C16" s="19"/>
      <c r="D16" s="17"/>
      <c r="E16" s="17"/>
      <c r="F16" s="19"/>
      <c r="G16" s="17"/>
      <c r="H16" s="17"/>
      <c r="I16" s="19"/>
      <c r="J16" s="19">
        <v>0.0</v>
      </c>
      <c r="K16" s="19">
        <v>0.0</v>
      </c>
      <c r="L16" s="19">
        <v>548.0</v>
      </c>
      <c r="M16" s="21">
        <v>550.0</v>
      </c>
      <c r="N16" s="18">
        <f t="shared" si="7"/>
        <v>1098</v>
      </c>
      <c r="O16" s="29">
        <f t="shared" si="8"/>
        <v>0.0005028548296</v>
      </c>
    </row>
    <row r="17" ht="15.75" customHeight="1">
      <c r="A17" s="22" t="s">
        <v>21</v>
      </c>
      <c r="B17" s="50"/>
      <c r="C17" s="19"/>
      <c r="D17" s="19"/>
      <c r="E17" s="19"/>
      <c r="F17" s="19"/>
      <c r="G17" s="17"/>
      <c r="H17" s="19"/>
      <c r="I17" s="19"/>
      <c r="J17" s="19">
        <v>0.0</v>
      </c>
      <c r="K17" s="19">
        <v>0.0</v>
      </c>
      <c r="L17" s="19">
        <v>0.0</v>
      </c>
      <c r="M17" s="19">
        <v>0.0</v>
      </c>
      <c r="N17" s="18">
        <f t="shared" si="7"/>
        <v>0</v>
      </c>
      <c r="O17" s="29">
        <f t="shared" si="8"/>
        <v>0</v>
      </c>
    </row>
    <row r="18" ht="15.75" customHeight="1">
      <c r="A18" s="22" t="s">
        <v>22</v>
      </c>
      <c r="B18" s="17"/>
      <c r="C18" s="17"/>
      <c r="D18" s="17"/>
      <c r="E18" s="17"/>
      <c r="F18" s="17"/>
      <c r="G18" s="17"/>
      <c r="H18" s="17"/>
      <c r="I18" s="17"/>
      <c r="J18" s="17">
        <f>31612+31612</f>
        <v>63224</v>
      </c>
      <c r="K18" s="17">
        <f t="shared" ref="K18:M18" si="9">70000+70000</f>
        <v>140000</v>
      </c>
      <c r="L18" s="17">
        <f t="shared" si="9"/>
        <v>140000</v>
      </c>
      <c r="M18" s="17">
        <f t="shared" si="9"/>
        <v>140000</v>
      </c>
      <c r="N18" s="18">
        <f t="shared" si="7"/>
        <v>483224</v>
      </c>
      <c r="O18" s="29">
        <f t="shared" si="8"/>
        <v>0.2213037543</v>
      </c>
    </row>
    <row r="19" ht="15.75" customHeight="1">
      <c r="A19" s="30" t="s">
        <v>23</v>
      </c>
      <c r="B19" s="19"/>
      <c r="C19" s="19"/>
      <c r="D19" s="19"/>
      <c r="E19" s="19"/>
      <c r="F19" s="19"/>
      <c r="G19" s="19"/>
      <c r="H19" s="19"/>
      <c r="I19" s="19"/>
      <c r="J19" s="19">
        <f t="shared" ref="J19:M19" si="10">4767/12</f>
        <v>397.25</v>
      </c>
      <c r="K19" s="19">
        <f t="shared" si="10"/>
        <v>397.25</v>
      </c>
      <c r="L19" s="19">
        <f t="shared" si="10"/>
        <v>397.25</v>
      </c>
      <c r="M19" s="19">
        <f t="shared" si="10"/>
        <v>397.25</v>
      </c>
      <c r="N19" s="18">
        <f t="shared" si="7"/>
        <v>1589</v>
      </c>
      <c r="O19" s="29">
        <f t="shared" si="8"/>
        <v>0.0007277197853</v>
      </c>
    </row>
    <row r="20" ht="15.75" customHeight="1">
      <c r="A20" s="22" t="s">
        <v>24</v>
      </c>
      <c r="B20" s="56"/>
      <c r="C20" s="56"/>
      <c r="D20" s="56"/>
      <c r="E20" s="56"/>
      <c r="F20" s="56"/>
      <c r="G20" s="56"/>
      <c r="H20" s="56"/>
      <c r="I20" s="56"/>
      <c r="J20" s="17">
        <f t="shared" ref="J20:M20" si="11">94282/12</f>
        <v>7856.833333</v>
      </c>
      <c r="K20" s="17">
        <f t="shared" si="11"/>
        <v>7856.833333</v>
      </c>
      <c r="L20" s="17">
        <f t="shared" si="11"/>
        <v>7856.833333</v>
      </c>
      <c r="M20" s="17">
        <f t="shared" si="11"/>
        <v>7856.833333</v>
      </c>
      <c r="N20" s="18">
        <f t="shared" si="7"/>
        <v>31427.33333</v>
      </c>
      <c r="O20" s="29">
        <f t="shared" si="8"/>
        <v>0.01439288374</v>
      </c>
    </row>
    <row r="21" ht="15.75" customHeight="1">
      <c r="A21" s="22" t="s">
        <v>25</v>
      </c>
      <c r="B21" s="17"/>
      <c r="C21" s="17"/>
      <c r="D21" s="17"/>
      <c r="E21" s="17"/>
      <c r="F21" s="17"/>
      <c r="G21" s="17"/>
      <c r="H21" s="17"/>
      <c r="I21" s="17"/>
      <c r="J21" s="17">
        <f>11000+64944+20544+1461</f>
        <v>97949</v>
      </c>
      <c r="K21" s="17">
        <f>11000+233817</f>
        <v>244817</v>
      </c>
      <c r="L21" s="17">
        <f>222722+11000+1000</f>
        <v>234722</v>
      </c>
      <c r="M21" s="17">
        <f>11000+253403</f>
        <v>264403</v>
      </c>
      <c r="N21" s="18">
        <f t="shared" si="7"/>
        <v>841891</v>
      </c>
      <c r="O21" s="29">
        <f t="shared" si="8"/>
        <v>0.3855637116</v>
      </c>
    </row>
    <row r="22" ht="15.75" customHeight="1">
      <c r="A22" s="14" t="s">
        <v>26</v>
      </c>
      <c r="B22" s="17"/>
      <c r="C22" s="17"/>
      <c r="D22" s="17"/>
      <c r="E22" s="19"/>
      <c r="F22" s="19"/>
      <c r="G22" s="19"/>
      <c r="H22" s="17"/>
      <c r="I22" s="17"/>
      <c r="J22" s="19">
        <v>0.0</v>
      </c>
      <c r="K22" s="19">
        <v>4720.0</v>
      </c>
      <c r="L22" s="17">
        <f t="shared" ref="L22:M22" si="12">4720</f>
        <v>4720</v>
      </c>
      <c r="M22" s="17">
        <f t="shared" si="12"/>
        <v>4720</v>
      </c>
      <c r="N22" s="18">
        <f t="shared" si="7"/>
        <v>14160</v>
      </c>
      <c r="O22" s="29">
        <f t="shared" si="8"/>
        <v>0.006484903814</v>
      </c>
    </row>
    <row r="23" ht="15.75" customHeight="1">
      <c r="A23" s="33" t="s">
        <v>27</v>
      </c>
      <c r="B23" s="19"/>
      <c r="C23" s="19"/>
      <c r="D23" s="19"/>
      <c r="E23" s="19"/>
      <c r="F23" s="19"/>
      <c r="G23" s="19"/>
      <c r="H23" s="19"/>
      <c r="I23" s="19"/>
      <c r="J23" s="19">
        <v>0.0</v>
      </c>
      <c r="K23" s="17">
        <f t="shared" ref="K23:M23" si="13">3304/3</f>
        <v>1101.333333</v>
      </c>
      <c r="L23" s="17">
        <f t="shared" si="13"/>
        <v>1101.333333</v>
      </c>
      <c r="M23" s="17">
        <f t="shared" si="13"/>
        <v>1101.333333</v>
      </c>
      <c r="N23" s="18">
        <f t="shared" si="7"/>
        <v>3304</v>
      </c>
      <c r="O23" s="29">
        <f t="shared" si="8"/>
        <v>0.001513144223</v>
      </c>
    </row>
    <row r="24" ht="15.75" customHeight="1">
      <c r="A24" s="22" t="s">
        <v>28</v>
      </c>
      <c r="B24" s="31"/>
      <c r="C24" s="31"/>
      <c r="D24" s="31"/>
      <c r="E24" s="31"/>
      <c r="F24" s="19"/>
      <c r="G24" s="19"/>
      <c r="H24" s="19"/>
      <c r="I24" s="19"/>
      <c r="J24" s="19">
        <v>0.0</v>
      </c>
      <c r="K24" s="19">
        <v>0.0</v>
      </c>
      <c r="L24" s="19">
        <v>1469.0</v>
      </c>
      <c r="M24" s="19">
        <v>0.0</v>
      </c>
      <c r="N24" s="18">
        <f t="shared" si="7"/>
        <v>1469</v>
      </c>
      <c r="O24" s="29">
        <f t="shared" si="8"/>
        <v>0.0006727629733</v>
      </c>
    </row>
    <row r="25" ht="15.75" customHeight="1">
      <c r="A25" s="22" t="s">
        <v>29</v>
      </c>
      <c r="B25" s="19"/>
      <c r="C25" s="19"/>
      <c r="D25" s="19"/>
      <c r="E25" s="19"/>
      <c r="F25" s="17"/>
      <c r="G25" s="19"/>
      <c r="H25" s="19"/>
      <c r="I25" s="19"/>
      <c r="J25" s="19">
        <v>1925.63</v>
      </c>
      <c r="K25" s="19">
        <v>3180.0</v>
      </c>
      <c r="L25" s="19">
        <v>10817.87</v>
      </c>
      <c r="M25" s="19">
        <v>14479.03</v>
      </c>
      <c r="N25" s="18">
        <f t="shared" si="7"/>
        <v>30402.53</v>
      </c>
      <c r="O25" s="29">
        <f t="shared" si="8"/>
        <v>0.01392355104</v>
      </c>
    </row>
    <row r="26" ht="15.75" customHeight="1">
      <c r="A26" s="22" t="s">
        <v>30</v>
      </c>
      <c r="B26" s="19"/>
      <c r="C26" s="19"/>
      <c r="D26" s="19"/>
      <c r="E26" s="19"/>
      <c r="F26" s="19"/>
      <c r="G26" s="19"/>
      <c r="H26" s="19"/>
      <c r="I26" s="19"/>
      <c r="J26" s="19">
        <v>0.0</v>
      </c>
      <c r="K26" s="19">
        <v>0.0</v>
      </c>
      <c r="L26" s="19">
        <v>0.0</v>
      </c>
      <c r="M26" s="19">
        <v>0.0</v>
      </c>
      <c r="N26" s="18">
        <f t="shared" si="7"/>
        <v>0</v>
      </c>
      <c r="O26" s="29">
        <f t="shared" si="8"/>
        <v>0</v>
      </c>
    </row>
    <row r="27" ht="15.75" customHeight="1">
      <c r="A27" s="22" t="s">
        <v>31</v>
      </c>
      <c r="B27" s="17"/>
      <c r="C27" s="17"/>
      <c r="D27" s="17"/>
      <c r="E27" s="17"/>
      <c r="F27" s="17"/>
      <c r="G27" s="17"/>
      <c r="H27" s="17"/>
      <c r="I27" s="17"/>
      <c r="J27" s="17">
        <f>HO!D60</f>
        <v>45151.60437</v>
      </c>
      <c r="K27" s="17">
        <f>HO!H60</f>
        <v>94639.75698</v>
      </c>
      <c r="L27" s="17">
        <f>HO!L60</f>
        <v>91318.44422</v>
      </c>
      <c r="M27" s="17">
        <f>HO!P60</f>
        <v>114658.7743</v>
      </c>
      <c r="N27" s="18">
        <f t="shared" si="7"/>
        <v>345768.5799</v>
      </c>
      <c r="O27" s="29">
        <f t="shared" si="8"/>
        <v>0.1583528236</v>
      </c>
    </row>
    <row r="28" ht="15.75" customHeight="1">
      <c r="A28" s="34" t="s">
        <v>32</v>
      </c>
      <c r="B28" s="35">
        <f t="shared" ref="B28:M28" si="14">+SUM(B14:B27)</f>
        <v>0</v>
      </c>
      <c r="C28" s="35">
        <f t="shared" si="14"/>
        <v>0</v>
      </c>
      <c r="D28" s="35">
        <f t="shared" si="14"/>
        <v>0</v>
      </c>
      <c r="E28" s="35">
        <f t="shared" si="14"/>
        <v>0</v>
      </c>
      <c r="F28" s="36">
        <f t="shared" si="14"/>
        <v>0</v>
      </c>
      <c r="G28" s="35">
        <f t="shared" si="14"/>
        <v>0</v>
      </c>
      <c r="H28" s="35">
        <f t="shared" si="14"/>
        <v>0</v>
      </c>
      <c r="I28" s="35">
        <f t="shared" si="14"/>
        <v>0</v>
      </c>
      <c r="J28" s="35">
        <f t="shared" si="14"/>
        <v>344772.3177</v>
      </c>
      <c r="K28" s="35">
        <f t="shared" si="14"/>
        <v>748193.5636</v>
      </c>
      <c r="L28" s="35">
        <f t="shared" si="14"/>
        <v>700956.9509</v>
      </c>
      <c r="M28" s="35">
        <f t="shared" si="14"/>
        <v>838945.671</v>
      </c>
      <c r="N28" s="35">
        <f t="shared" si="7"/>
        <v>2632868.503</v>
      </c>
      <c r="O28" s="37">
        <f t="shared" si="8"/>
        <v>1.205783828</v>
      </c>
    </row>
    <row r="29" ht="15.75" customHeight="1">
      <c r="A29" s="38" t="s">
        <v>33</v>
      </c>
      <c r="B29" s="39">
        <f t="shared" ref="B29:M29" si="15">B13-B28</f>
        <v>0</v>
      </c>
      <c r="C29" s="39">
        <f t="shared" si="15"/>
        <v>0</v>
      </c>
      <c r="D29" s="39">
        <f t="shared" si="15"/>
        <v>0</v>
      </c>
      <c r="E29" s="39">
        <f t="shared" si="15"/>
        <v>0</v>
      </c>
      <c r="F29" s="39">
        <f t="shared" si="15"/>
        <v>0</v>
      </c>
      <c r="G29" s="39">
        <f t="shared" si="15"/>
        <v>0</v>
      </c>
      <c r="H29" s="39">
        <f t="shared" si="15"/>
        <v>0</v>
      </c>
      <c r="I29" s="39">
        <f t="shared" si="15"/>
        <v>0</v>
      </c>
      <c r="J29" s="39">
        <f t="shared" si="15"/>
        <v>-89743.5077</v>
      </c>
      <c r="K29" s="39">
        <f t="shared" si="15"/>
        <v>-132289.2268</v>
      </c>
      <c r="L29" s="39">
        <f t="shared" si="15"/>
        <v>-112440.0752</v>
      </c>
      <c r="M29" s="39">
        <f t="shared" si="15"/>
        <v>-114862.9216</v>
      </c>
      <c r="N29" s="39">
        <f t="shared" si="7"/>
        <v>-449335.7313</v>
      </c>
      <c r="O29" s="40">
        <f t="shared" si="8"/>
        <v>-0.2057838275</v>
      </c>
    </row>
    <row r="30" ht="15.75" customHeight="1">
      <c r="A30" s="41" t="s">
        <v>34</v>
      </c>
      <c r="B30" s="42" t="str">
        <f t="shared" ref="B30:M30" si="16">(B14/B13)</f>
        <v>#DIV/0!</v>
      </c>
      <c r="C30" s="42" t="str">
        <f t="shared" si="16"/>
        <v>#DIV/0!</v>
      </c>
      <c r="D30" s="42" t="str">
        <f t="shared" si="16"/>
        <v>#DIV/0!</v>
      </c>
      <c r="E30" s="42" t="str">
        <f t="shared" si="16"/>
        <v>#DIV/0!</v>
      </c>
      <c r="F30" s="43" t="str">
        <f t="shared" si="16"/>
        <v>#DIV/0!</v>
      </c>
      <c r="G30" s="42" t="str">
        <f t="shared" si="16"/>
        <v>#DIV/0!</v>
      </c>
      <c r="H30" s="42" t="str">
        <f t="shared" si="16"/>
        <v>#DIV/0!</v>
      </c>
      <c r="I30" s="42" t="str">
        <f t="shared" si="16"/>
        <v>#DIV/0!</v>
      </c>
      <c r="J30" s="42">
        <f t="shared" si="16"/>
        <v>0.419121275</v>
      </c>
      <c r="K30" s="42">
        <f t="shared" si="16"/>
        <v>0.2792712759</v>
      </c>
      <c r="L30" s="42">
        <f t="shared" si="16"/>
        <v>0.2570975043</v>
      </c>
      <c r="M30" s="42">
        <f t="shared" si="16"/>
        <v>0.307995806</v>
      </c>
      <c r="N30" s="44"/>
      <c r="O30" s="44"/>
    </row>
    <row r="31" ht="15.75" customHeight="1"/>
    <row r="32" ht="15.75" customHeight="1">
      <c r="B32" s="58"/>
      <c r="C32" s="58"/>
      <c r="D32" s="58"/>
      <c r="E32" s="58"/>
      <c r="F32" s="58"/>
      <c r="G32" s="58"/>
      <c r="H32" s="58"/>
      <c r="I32" s="58"/>
      <c r="J32" s="45">
        <f t="shared" ref="J32:M32" si="17">J29+J27</f>
        <v>-44591.90333</v>
      </c>
      <c r="K32" s="45">
        <f t="shared" si="17"/>
        <v>-37649.46987</v>
      </c>
      <c r="L32" s="45">
        <f t="shared" si="17"/>
        <v>-21121.63097</v>
      </c>
      <c r="M32" s="45">
        <f t="shared" si="17"/>
        <v>-204.1472667</v>
      </c>
    </row>
    <row r="33" ht="15.75" customHeight="1">
      <c r="B33" s="59"/>
      <c r="C33" s="59"/>
      <c r="D33" s="59"/>
      <c r="E33" s="59"/>
      <c r="F33" s="59"/>
      <c r="G33" s="59"/>
      <c r="H33" s="59"/>
      <c r="I33" s="59"/>
      <c r="J33" s="46">
        <f t="shared" ref="J33:M33" si="18">J32/J13</f>
        <v>-0.1748504545</v>
      </c>
      <c r="K33" s="46">
        <f t="shared" si="18"/>
        <v>-0.0611287624</v>
      </c>
      <c r="L33" s="46">
        <f t="shared" si="18"/>
        <v>-0.0358895927</v>
      </c>
      <c r="M33" s="46">
        <f t="shared" si="18"/>
        <v>-0.0002819391386</v>
      </c>
    </row>
    <row r="34" ht="15.75" customHeight="1">
      <c r="B34" s="60"/>
      <c r="C34" s="60"/>
      <c r="D34" s="60"/>
      <c r="E34" s="6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39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65">
        <v>66707.07</v>
      </c>
      <c r="C3" s="17">
        <f t="shared" ref="C3:M3" si="1">B7</f>
        <v>61792</v>
      </c>
      <c r="D3" s="19">
        <f t="shared" si="1"/>
        <v>72325.4</v>
      </c>
      <c r="E3" s="17">
        <f t="shared" si="1"/>
        <v>83083</v>
      </c>
      <c r="F3" s="17">
        <f t="shared" si="1"/>
        <v>92860</v>
      </c>
      <c r="G3" s="17">
        <f t="shared" si="1"/>
        <v>64313.88</v>
      </c>
      <c r="H3" s="17">
        <f t="shared" si="1"/>
        <v>90986.19</v>
      </c>
      <c r="I3" s="17">
        <f t="shared" si="1"/>
        <v>63542.88</v>
      </c>
      <c r="J3" s="17">
        <f t="shared" si="1"/>
        <v>66406.54</v>
      </c>
      <c r="K3" s="17">
        <f t="shared" si="1"/>
        <v>92190</v>
      </c>
      <c r="L3" s="17">
        <f t="shared" si="1"/>
        <v>93488.76</v>
      </c>
      <c r="M3" s="17">
        <f t="shared" si="1"/>
        <v>85288.19</v>
      </c>
      <c r="N3" s="18">
        <f>+SUM(J3:L3)</f>
        <v>252085.3</v>
      </c>
      <c r="O3" s="20"/>
    </row>
    <row r="4" ht="15.75" customHeight="1">
      <c r="A4" s="14" t="s">
        <v>9</v>
      </c>
      <c r="B4" s="19">
        <v>282726.0</v>
      </c>
      <c r="C4" s="19">
        <v>326707.4</v>
      </c>
      <c r="D4" s="19">
        <v>315811.0</v>
      </c>
      <c r="E4" s="19">
        <v>333793.0</v>
      </c>
      <c r="F4" s="19">
        <v>337931.11</v>
      </c>
      <c r="G4" s="19">
        <v>312856.54</v>
      </c>
      <c r="H4" s="19">
        <v>264529.0</v>
      </c>
      <c r="I4" s="19">
        <v>248847.17</v>
      </c>
      <c r="J4" s="19">
        <v>289788.0</v>
      </c>
      <c r="K4" s="19">
        <v>324721.0</v>
      </c>
      <c r="L4" s="19">
        <v>295892.49</v>
      </c>
      <c r="M4" s="19">
        <v>365725.0</v>
      </c>
      <c r="N4" s="18">
        <f>sum(B4:M4)</f>
        <v>3699327.71</v>
      </c>
      <c r="O4" s="20"/>
    </row>
    <row r="5" ht="15.75" customHeight="1">
      <c r="A5" s="14" t="s">
        <v>10</v>
      </c>
      <c r="B5" s="19">
        <v>0.0</v>
      </c>
      <c r="C5" s="19">
        <v>0.0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8">
        <f t="shared" ref="N5:N6" si="2">+SUM(J5:L5)</f>
        <v>0</v>
      </c>
      <c r="O5" s="20"/>
    </row>
    <row r="6" ht="15.75" customHeight="1">
      <c r="A6" s="14" t="s">
        <v>11</v>
      </c>
      <c r="B6" s="19">
        <v>15255.0</v>
      </c>
      <c r="C6" s="19">
        <v>19710.94</v>
      </c>
      <c r="D6" s="19">
        <v>19590.0</v>
      </c>
      <c r="E6" s="19">
        <v>25009.0</v>
      </c>
      <c r="F6" s="19">
        <v>25777.0</v>
      </c>
      <c r="G6" s="19">
        <v>23188.85</v>
      </c>
      <c r="H6" s="19">
        <v>23153.98</v>
      </c>
      <c r="I6" s="19">
        <v>24470.83</v>
      </c>
      <c r="J6" s="19">
        <v>22949.0</v>
      </c>
      <c r="K6" s="19">
        <v>29212.17</v>
      </c>
      <c r="L6" s="19">
        <v>31776.85</v>
      </c>
      <c r="M6" s="19">
        <v>28870.67</v>
      </c>
      <c r="N6" s="18">
        <f t="shared" si="2"/>
        <v>83938.02</v>
      </c>
      <c r="O6" s="20"/>
    </row>
    <row r="7" ht="15.75" customHeight="1">
      <c r="A7" s="14" t="s">
        <v>12</v>
      </c>
      <c r="B7" s="19">
        <v>61792.0</v>
      </c>
      <c r="C7" s="19">
        <v>72325.4</v>
      </c>
      <c r="D7" s="19">
        <v>83083.0</v>
      </c>
      <c r="E7" s="19">
        <v>92860.0</v>
      </c>
      <c r="F7" s="19">
        <v>64313.88</v>
      </c>
      <c r="G7" s="21">
        <v>90986.19</v>
      </c>
      <c r="H7" s="19">
        <v>63542.88</v>
      </c>
      <c r="I7" s="19">
        <v>66406.54</v>
      </c>
      <c r="J7" s="19">
        <v>92190.0</v>
      </c>
      <c r="K7" s="19">
        <v>93488.76</v>
      </c>
      <c r="L7" s="19">
        <v>85288.19</v>
      </c>
      <c r="M7" s="19">
        <v>78348.0</v>
      </c>
      <c r="N7" s="18">
        <f>sum(B7:M7)</f>
        <v>944624.84</v>
      </c>
      <c r="O7" s="20"/>
      <c r="Q7" s="66"/>
    </row>
    <row r="8" ht="15.75" customHeight="1">
      <c r="A8" s="11"/>
      <c r="B8" s="67"/>
      <c r="C8" s="67"/>
      <c r="D8" s="67"/>
      <c r="E8" s="67"/>
      <c r="F8" s="68"/>
      <c r="G8" s="67"/>
      <c r="H8" s="67"/>
      <c r="I8" s="67"/>
      <c r="J8" s="67"/>
      <c r="K8" s="67"/>
      <c r="L8" s="67"/>
      <c r="M8" s="67"/>
      <c r="N8" s="11"/>
      <c r="O8" s="11"/>
    </row>
    <row r="9" ht="15.75" customHeight="1">
      <c r="A9" s="22" t="s">
        <v>13</v>
      </c>
      <c r="B9" s="17">
        <f>1081350.48*1.05+18668.48*1.05</f>
        <v>1155019.908</v>
      </c>
      <c r="C9" s="17">
        <f>1239735.51*1.05+23565.46*1.05+30*1.05</f>
        <v>1326497.519</v>
      </c>
      <c r="D9" s="17">
        <f>(1212149.69-158.24)*1.05+22468.26*1.05</f>
        <v>1296182.696</v>
      </c>
      <c r="E9" s="17">
        <f>1247234.07*1.05</f>
        <v>1309595.774</v>
      </c>
      <c r="F9" s="17">
        <f>1287588.28*1.05</f>
        <v>1351967.694</v>
      </c>
      <c r="G9" s="17">
        <f>1079515.72*1.05</f>
        <v>1133491.506</v>
      </c>
      <c r="H9" s="19">
        <f>1085387.04*1.05+10*1.05+21459.3*1.05</f>
        <v>1162199.157</v>
      </c>
      <c r="I9" s="17">
        <f>991288.66*1.05+19062.81*1.05</f>
        <v>1060869.044</v>
      </c>
      <c r="J9" s="17">
        <f>1091453.96*1.05+21054.3*1.05</f>
        <v>1168133.673</v>
      </c>
      <c r="K9" s="19">
        <f>1311460.89*1.05+23044.5*1.05</f>
        <v>1401230.66</v>
      </c>
      <c r="L9" s="17">
        <f>1105086.74*1.05+24117.41*1.05</f>
        <v>1185664.358</v>
      </c>
      <c r="M9" s="17">
        <f>1313732.41*1.05+30*1.05+30408.37*1.05</f>
        <v>1411379.319</v>
      </c>
      <c r="N9" s="18">
        <f t="shared" ref="N9:N12" si="3">+SUM(B9:M9)</f>
        <v>14962231.31</v>
      </c>
      <c r="O9" s="20"/>
    </row>
    <row r="10" ht="15.75" customHeight="1">
      <c r="A10" s="22" t="s">
        <v>14</v>
      </c>
      <c r="B10" s="19">
        <v>0.0</v>
      </c>
      <c r="C10" s="19">
        <v>0.0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>
        <f t="shared" si="3"/>
        <v>0</v>
      </c>
      <c r="O10" s="20"/>
    </row>
    <row r="11" ht="15.75" customHeight="1">
      <c r="A11" s="22" t="s">
        <v>15</v>
      </c>
      <c r="B11" s="17">
        <f t="shared" ref="B11:M11" si="4">(B9+B10)/1.05*0.05</f>
        <v>55000.948</v>
      </c>
      <c r="C11" s="17">
        <f t="shared" si="4"/>
        <v>63166.5485</v>
      </c>
      <c r="D11" s="17">
        <f t="shared" si="4"/>
        <v>61722.9855</v>
      </c>
      <c r="E11" s="17">
        <f t="shared" si="4"/>
        <v>62361.7035</v>
      </c>
      <c r="F11" s="17">
        <f t="shared" si="4"/>
        <v>64379.414</v>
      </c>
      <c r="G11" s="17">
        <f t="shared" si="4"/>
        <v>53975.786</v>
      </c>
      <c r="H11" s="17">
        <f t="shared" si="4"/>
        <v>55342.817</v>
      </c>
      <c r="I11" s="17">
        <f t="shared" si="4"/>
        <v>50517.5735</v>
      </c>
      <c r="J11" s="17">
        <f t="shared" si="4"/>
        <v>55625.413</v>
      </c>
      <c r="K11" s="17">
        <f t="shared" si="4"/>
        <v>66725.2695</v>
      </c>
      <c r="L11" s="17">
        <f t="shared" si="4"/>
        <v>56460.2075</v>
      </c>
      <c r="M11" s="17">
        <f t="shared" si="4"/>
        <v>67208.539</v>
      </c>
      <c r="N11" s="18">
        <f t="shared" si="3"/>
        <v>712487.205</v>
      </c>
      <c r="O11" s="20"/>
    </row>
    <row r="12" ht="15.75" customHeight="1">
      <c r="A12" s="22" t="s">
        <v>16</v>
      </c>
      <c r="B12" s="17">
        <f>15440.81+4329.1+180.28-7.76+32.45-1.4+42980.43+440.88+7736.48+79.36</f>
        <v>71210.63</v>
      </c>
      <c r="C12" s="17">
        <f>54941.77+9889.52+25127.04+5349.54+4522.83+962.92+265.15+47.73</f>
        <v>101106.5</v>
      </c>
      <c r="D12" s="17">
        <f>53370.99+9606.78+30895.69+5561+378.61+68.15</f>
        <v>99881.22</v>
      </c>
      <c r="E12" s="17">
        <f>33019.53+5945.3+53396.84+9611.43+3159.42*1.18</f>
        <v>105701.2156</v>
      </c>
      <c r="F12" s="17">
        <f>53964.39+9713.59+35734.79+6432.32+1989</f>
        <v>107834.09</v>
      </c>
      <c r="G12" s="17">
        <f>52749.42*1.18+24365.35*1.18+1611.84*1.18</f>
        <v>92897.3998</v>
      </c>
      <c r="H12" s="17">
        <f>50170.93*1.18+26993.57*1.18+2247.01*1.18</f>
        <v>93705.5818</v>
      </c>
      <c r="I12" s="17">
        <f>(15837.79+44792.94)*1.18+877.49*1.18+6276.49*1.18+1509.03*1.18</f>
        <v>81766.6132</v>
      </c>
      <c r="J12" s="17">
        <f>49548.25*1.18+28704*1.18+2549.5*1.18</f>
        <v>95346.065</v>
      </c>
      <c r="K12" s="17">
        <f>54788*1.18+31995.64*1.18+3334.05*1.18</f>
        <v>106338.8742</v>
      </c>
      <c r="L12" s="17">
        <f>25778.02*1.18+57258.85*1.18+2491.56*1.18</f>
        <v>100923.5474</v>
      </c>
      <c r="M12" s="17">
        <f>30604.81*1.18+71010.22*1.18+3364*1.18+5.34</f>
        <v>123880.5954</v>
      </c>
      <c r="N12" s="18">
        <f t="shared" si="3"/>
        <v>1180592.332</v>
      </c>
      <c r="O12" s="20"/>
    </row>
    <row r="13" ht="15.75" customHeight="1">
      <c r="A13" s="24" t="s">
        <v>17</v>
      </c>
      <c r="B13" s="25">
        <f t="shared" ref="B13:M13" si="5">B9+B10-B11-B12</f>
        <v>1028808.33</v>
      </c>
      <c r="C13" s="25">
        <f t="shared" si="5"/>
        <v>1162224.47</v>
      </c>
      <c r="D13" s="25">
        <f t="shared" si="5"/>
        <v>1134578.49</v>
      </c>
      <c r="E13" s="25">
        <f t="shared" si="5"/>
        <v>1141532.854</v>
      </c>
      <c r="F13" s="26">
        <f t="shared" si="5"/>
        <v>1179754.19</v>
      </c>
      <c r="G13" s="26">
        <f t="shared" si="5"/>
        <v>986618.3202</v>
      </c>
      <c r="H13" s="25">
        <f t="shared" si="5"/>
        <v>1013150.758</v>
      </c>
      <c r="I13" s="25">
        <f t="shared" si="5"/>
        <v>928584.8568</v>
      </c>
      <c r="J13" s="25">
        <f t="shared" si="5"/>
        <v>1017162.195</v>
      </c>
      <c r="K13" s="25">
        <f t="shared" si="5"/>
        <v>1228166.516</v>
      </c>
      <c r="L13" s="25">
        <f t="shared" si="5"/>
        <v>1028280.603</v>
      </c>
      <c r="M13" s="25">
        <f t="shared" si="5"/>
        <v>1220290.185</v>
      </c>
      <c r="N13" s="25">
        <f t="shared" ref="N13:N29" si="7">sum(B13:M13)</f>
        <v>13069151.77</v>
      </c>
      <c r="O13" s="27">
        <f t="shared" ref="O13:O18" si="8">N13/$N$7</f>
        <v>13.83528276</v>
      </c>
    </row>
    <row r="14" ht="15.75" customHeight="1">
      <c r="A14" s="22" t="s">
        <v>18</v>
      </c>
      <c r="B14" s="70">
        <f t="shared" ref="B14:M14" si="6">+B3+B4-B5-B7</f>
        <v>287641.07</v>
      </c>
      <c r="C14" s="70">
        <f t="shared" si="6"/>
        <v>316174</v>
      </c>
      <c r="D14" s="70">
        <f t="shared" si="6"/>
        <v>305053.4</v>
      </c>
      <c r="E14" s="70">
        <f t="shared" si="6"/>
        <v>324016</v>
      </c>
      <c r="F14" s="70">
        <f t="shared" si="6"/>
        <v>366477.23</v>
      </c>
      <c r="G14" s="70">
        <f t="shared" si="6"/>
        <v>286184.23</v>
      </c>
      <c r="H14" s="70">
        <f t="shared" si="6"/>
        <v>291972.31</v>
      </c>
      <c r="I14" s="70">
        <f t="shared" si="6"/>
        <v>245983.51</v>
      </c>
      <c r="J14" s="70">
        <f t="shared" si="6"/>
        <v>264004.54</v>
      </c>
      <c r="K14" s="70">
        <f t="shared" si="6"/>
        <v>323422.24</v>
      </c>
      <c r="L14" s="70">
        <f t="shared" si="6"/>
        <v>304093.06</v>
      </c>
      <c r="M14" s="70">
        <f t="shared" si="6"/>
        <v>372665.19</v>
      </c>
      <c r="N14" s="18">
        <f t="shared" si="7"/>
        <v>3687686.78</v>
      </c>
      <c r="O14" s="29">
        <f t="shared" si="8"/>
        <v>3.903863866</v>
      </c>
    </row>
    <row r="15" ht="15.75" customHeight="1">
      <c r="A15" s="22" t="s">
        <v>19</v>
      </c>
      <c r="B15" s="19">
        <v>68460.0</v>
      </c>
      <c r="C15" s="19">
        <v>82980.0</v>
      </c>
      <c r="D15" s="19">
        <v>90500.0</v>
      </c>
      <c r="E15" s="19">
        <v>83480.0</v>
      </c>
      <c r="F15" s="19">
        <v>84170.0</v>
      </c>
      <c r="G15" s="19">
        <v>86540.0</v>
      </c>
      <c r="H15" s="19">
        <v>77010.0</v>
      </c>
      <c r="I15" s="19">
        <v>56450.0</v>
      </c>
      <c r="J15" s="17">
        <f>47360</f>
        <v>47360</v>
      </c>
      <c r="K15" s="19">
        <v>55020.0</v>
      </c>
      <c r="L15" s="17">
        <f>45390</f>
        <v>45390</v>
      </c>
      <c r="M15" s="19">
        <v>69420.0</v>
      </c>
      <c r="N15" s="18">
        <f t="shared" si="7"/>
        <v>846780</v>
      </c>
      <c r="O15" s="29">
        <f t="shared" si="8"/>
        <v>0.8964193658</v>
      </c>
    </row>
    <row r="16" ht="15.75" customHeight="1">
      <c r="A16" s="22" t="s">
        <v>20</v>
      </c>
      <c r="B16" s="21">
        <v>1413.0</v>
      </c>
      <c r="C16" s="17">
        <f>1296</f>
        <v>1296</v>
      </c>
      <c r="D16" s="17">
        <f>1296+201+1414</f>
        <v>2911</v>
      </c>
      <c r="E16" s="19">
        <f t="shared" ref="E16:F16" si="9">4241/3</f>
        <v>1413.666667</v>
      </c>
      <c r="F16" s="19">
        <f t="shared" si="9"/>
        <v>1413.666667</v>
      </c>
      <c r="G16" s="17">
        <f t="shared" ref="G16:H16" si="10">2709/2+201</f>
        <v>1555.5</v>
      </c>
      <c r="H16" s="17">
        <f t="shared" si="10"/>
        <v>1555.5</v>
      </c>
      <c r="I16" s="17">
        <f>1296+201</f>
        <v>1497</v>
      </c>
      <c r="J16" s="17">
        <f t="shared" ref="J16:K16" si="11">201+1414</f>
        <v>1615</v>
      </c>
      <c r="K16" s="19">
        <f t="shared" si="11"/>
        <v>1615</v>
      </c>
      <c r="L16" s="17">
        <f>1413+199</f>
        <v>1612</v>
      </c>
      <c r="M16" s="21">
        <v>1612.0</v>
      </c>
      <c r="N16" s="18">
        <f t="shared" si="7"/>
        <v>19509.33333</v>
      </c>
      <c r="O16" s="29">
        <f t="shared" si="8"/>
        <v>0.02065299631</v>
      </c>
    </row>
    <row r="17" ht="15.75" customHeight="1">
      <c r="A17" s="22" t="s">
        <v>21</v>
      </c>
      <c r="B17" s="19">
        <v>43326.0</v>
      </c>
      <c r="C17" s="19">
        <v>46012.0</v>
      </c>
      <c r="D17" s="17">
        <f>44151</f>
        <v>44151</v>
      </c>
      <c r="E17" s="19">
        <v>47117.36</v>
      </c>
      <c r="F17" s="17">
        <f>50350.87</f>
        <v>50350.87</v>
      </c>
      <c r="G17" s="19">
        <v>43843.0</v>
      </c>
      <c r="H17" s="19">
        <v>46835.0</v>
      </c>
      <c r="I17" s="19">
        <v>42941.41</v>
      </c>
      <c r="J17" s="19">
        <v>44310.0</v>
      </c>
      <c r="K17" s="19">
        <v>47588.85</v>
      </c>
      <c r="L17" s="19">
        <v>36641.77</v>
      </c>
      <c r="M17" s="19">
        <v>60706.33</v>
      </c>
      <c r="N17" s="18">
        <f t="shared" si="7"/>
        <v>553823.59</v>
      </c>
      <c r="O17" s="29">
        <f t="shared" si="8"/>
        <v>0.5862894628</v>
      </c>
    </row>
    <row r="18" ht="15.75" customHeight="1">
      <c r="A18" s="22" t="s">
        <v>22</v>
      </c>
      <c r="B18" s="17">
        <f t="shared" ref="B18:M18" si="12">6490+102660+6490+102660</f>
        <v>218300</v>
      </c>
      <c r="C18" s="17">
        <f t="shared" si="12"/>
        <v>218300</v>
      </c>
      <c r="D18" s="17">
        <f t="shared" si="12"/>
        <v>218300</v>
      </c>
      <c r="E18" s="17">
        <f t="shared" si="12"/>
        <v>218300</v>
      </c>
      <c r="F18" s="17">
        <f t="shared" si="12"/>
        <v>218300</v>
      </c>
      <c r="G18" s="17">
        <f t="shared" si="12"/>
        <v>218300</v>
      </c>
      <c r="H18" s="17">
        <f t="shared" si="12"/>
        <v>218300</v>
      </c>
      <c r="I18" s="17">
        <f t="shared" si="12"/>
        <v>218300</v>
      </c>
      <c r="J18" s="17">
        <f t="shared" si="12"/>
        <v>218300</v>
      </c>
      <c r="K18" s="17">
        <f t="shared" si="12"/>
        <v>218300</v>
      </c>
      <c r="L18" s="17">
        <f t="shared" si="12"/>
        <v>218300</v>
      </c>
      <c r="M18" s="17">
        <f t="shared" si="12"/>
        <v>218300</v>
      </c>
      <c r="N18" s="18">
        <f t="shared" si="7"/>
        <v>2619600</v>
      </c>
      <c r="O18" s="29">
        <f t="shared" si="8"/>
        <v>2.773164424</v>
      </c>
    </row>
    <row r="19" ht="15.75" customHeight="1">
      <c r="A19" s="30" t="s">
        <v>41</v>
      </c>
      <c r="B19" s="19">
        <v>0.0</v>
      </c>
      <c r="C19" s="17">
        <f t="shared" ref="C19:M19" si="13">13600.61/12</f>
        <v>1133.384167</v>
      </c>
      <c r="D19" s="17">
        <f t="shared" si="13"/>
        <v>1133.384167</v>
      </c>
      <c r="E19" s="17">
        <f t="shared" si="13"/>
        <v>1133.384167</v>
      </c>
      <c r="F19" s="17">
        <f t="shared" si="13"/>
        <v>1133.384167</v>
      </c>
      <c r="G19" s="17">
        <f t="shared" si="13"/>
        <v>1133.384167</v>
      </c>
      <c r="H19" s="17">
        <f t="shared" si="13"/>
        <v>1133.384167</v>
      </c>
      <c r="I19" s="17">
        <f t="shared" si="13"/>
        <v>1133.384167</v>
      </c>
      <c r="J19" s="17">
        <f t="shared" si="13"/>
        <v>1133.384167</v>
      </c>
      <c r="K19" s="17">
        <f t="shared" si="13"/>
        <v>1133.384167</v>
      </c>
      <c r="L19" s="17">
        <f t="shared" si="13"/>
        <v>1133.384167</v>
      </c>
      <c r="M19" s="17">
        <f t="shared" si="13"/>
        <v>1133.384167</v>
      </c>
      <c r="N19" s="18">
        <f t="shared" si="7"/>
        <v>12467.22583</v>
      </c>
      <c r="O19" s="29"/>
    </row>
    <row r="20" ht="15.75" customHeight="1">
      <c r="A20" s="22" t="s">
        <v>24</v>
      </c>
      <c r="B20" s="17">
        <f t="shared" ref="B20:M20" si="14">69207/12</f>
        <v>5767.25</v>
      </c>
      <c r="C20" s="17">
        <f t="shared" si="14"/>
        <v>5767.25</v>
      </c>
      <c r="D20" s="17">
        <f t="shared" si="14"/>
        <v>5767.25</v>
      </c>
      <c r="E20" s="17">
        <f t="shared" si="14"/>
        <v>5767.25</v>
      </c>
      <c r="F20" s="17">
        <f t="shared" si="14"/>
        <v>5767.25</v>
      </c>
      <c r="G20" s="17">
        <f t="shared" si="14"/>
        <v>5767.25</v>
      </c>
      <c r="H20" s="17">
        <f t="shared" si="14"/>
        <v>5767.25</v>
      </c>
      <c r="I20" s="17">
        <f t="shared" si="14"/>
        <v>5767.25</v>
      </c>
      <c r="J20" s="17">
        <f t="shared" si="14"/>
        <v>5767.25</v>
      </c>
      <c r="K20" s="17">
        <f t="shared" si="14"/>
        <v>5767.25</v>
      </c>
      <c r="L20" s="17">
        <f t="shared" si="14"/>
        <v>5767.25</v>
      </c>
      <c r="M20" s="17">
        <f t="shared" si="14"/>
        <v>5767.25</v>
      </c>
      <c r="N20" s="18">
        <f t="shared" si="7"/>
        <v>69207</v>
      </c>
      <c r="O20" s="29">
        <f t="shared" ref="O20:O29" si="15">N20/$N$7</f>
        <v>0.07326400606</v>
      </c>
    </row>
    <row r="21" ht="15.75" customHeight="1">
      <c r="A21" s="22" t="s">
        <v>25</v>
      </c>
      <c r="B21" s="17">
        <f>251172.03+120559/12</f>
        <v>261218.6133</v>
      </c>
      <c r="C21" s="17">
        <f>267647+120559/12</f>
        <v>277693.5833</v>
      </c>
      <c r="D21" s="17">
        <f>262742.03+120559/12</f>
        <v>272788.6133</v>
      </c>
      <c r="E21" s="17">
        <f>264441+120559/12</f>
        <v>274487.5833</v>
      </c>
      <c r="F21" s="17">
        <f>267053+120559/12</f>
        <v>277099.5833</v>
      </c>
      <c r="G21" s="17">
        <f>266543.36+120559/12</f>
        <v>276589.9433</v>
      </c>
      <c r="H21" s="17">
        <f>120559/12+266133</f>
        <v>276179.5833</v>
      </c>
      <c r="I21" s="17">
        <f>120559/12+279790.03</f>
        <v>289836.6133</v>
      </c>
      <c r="J21" s="17">
        <f>120559/12+270612</f>
        <v>280658.5833</v>
      </c>
      <c r="K21" s="17">
        <f>120559/12+265895</f>
        <v>275941.5833</v>
      </c>
      <c r="L21" s="17">
        <f>120559/12+263693</f>
        <v>273739.5833</v>
      </c>
      <c r="M21" s="17">
        <f>120559/12+288361</f>
        <v>298407.5833</v>
      </c>
      <c r="N21" s="18">
        <f t="shared" si="7"/>
        <v>3334641.45</v>
      </c>
      <c r="O21" s="29">
        <f t="shared" si="15"/>
        <v>3.530122551</v>
      </c>
    </row>
    <row r="22" ht="15.75" customHeight="1">
      <c r="A22" s="14" t="s">
        <v>26</v>
      </c>
      <c r="B22" s="71">
        <f>4720+2360</f>
        <v>7080</v>
      </c>
      <c r="C22" s="17">
        <f t="shared" ref="C22:D22" si="16">5192+2360</f>
        <v>7552</v>
      </c>
      <c r="D22" s="17">
        <f t="shared" si="16"/>
        <v>7552</v>
      </c>
      <c r="E22" s="17">
        <f t="shared" ref="E22:H22" si="17">2360+5192</f>
        <v>7552</v>
      </c>
      <c r="F22" s="17">
        <f t="shared" si="17"/>
        <v>7552</v>
      </c>
      <c r="G22" s="17">
        <f t="shared" si="17"/>
        <v>7552</v>
      </c>
      <c r="H22" s="17">
        <f t="shared" si="17"/>
        <v>7552</v>
      </c>
      <c r="I22" s="17">
        <f>4720+2360</f>
        <v>7080</v>
      </c>
      <c r="J22" s="17">
        <f>2360+4720</f>
        <v>7080</v>
      </c>
      <c r="K22" s="17">
        <f t="shared" ref="K22:L22" si="18">4720+2360</f>
        <v>7080</v>
      </c>
      <c r="L22" s="17">
        <f t="shared" si="18"/>
        <v>7080</v>
      </c>
      <c r="M22" s="17">
        <f>2360+4720</f>
        <v>7080</v>
      </c>
      <c r="N22" s="18">
        <f t="shared" si="7"/>
        <v>87792</v>
      </c>
      <c r="O22" s="29">
        <f t="shared" si="15"/>
        <v>0.09293848339</v>
      </c>
    </row>
    <row r="23" ht="15.75" customHeight="1">
      <c r="A23" s="33" t="s">
        <v>27</v>
      </c>
      <c r="B23" s="19">
        <f t="shared" ref="B23:F23" si="19">2124/3+6425/12</f>
        <v>1243.416667</v>
      </c>
      <c r="C23" s="19">
        <f t="shared" si="19"/>
        <v>1243.416667</v>
      </c>
      <c r="D23" s="19">
        <f t="shared" si="19"/>
        <v>1243.416667</v>
      </c>
      <c r="E23" s="19">
        <f t="shared" si="19"/>
        <v>1243.416667</v>
      </c>
      <c r="F23" s="19">
        <f t="shared" si="19"/>
        <v>1243.416667</v>
      </c>
      <c r="G23" s="19">
        <f t="shared" ref="G23:J23" si="20">6425/12+2124/3</f>
        <v>1243.416667</v>
      </c>
      <c r="H23" s="19">
        <f t="shared" si="20"/>
        <v>1243.416667</v>
      </c>
      <c r="I23" s="19">
        <f t="shared" si="20"/>
        <v>1243.416667</v>
      </c>
      <c r="J23" s="19">
        <f t="shared" si="20"/>
        <v>1243.416667</v>
      </c>
      <c r="K23" s="19">
        <f t="shared" ref="K23:M23" si="21">6425/12+3304/3</f>
        <v>1636.75</v>
      </c>
      <c r="L23" s="19">
        <f t="shared" si="21"/>
        <v>1636.75</v>
      </c>
      <c r="M23" s="19">
        <f t="shared" si="21"/>
        <v>1636.75</v>
      </c>
      <c r="N23" s="18">
        <f t="shared" si="7"/>
        <v>16101</v>
      </c>
      <c r="O23" s="29">
        <f t="shared" si="15"/>
        <v>0.01704486196</v>
      </c>
    </row>
    <row r="24" ht="15.75" customHeight="1">
      <c r="A24" s="22" t="s">
        <v>28</v>
      </c>
      <c r="B24" s="31">
        <v>13350.0</v>
      </c>
      <c r="C24" s="31">
        <v>840.0</v>
      </c>
      <c r="D24" s="31">
        <v>2212.0</v>
      </c>
      <c r="E24" s="31">
        <v>0.0</v>
      </c>
      <c r="F24" s="19">
        <v>7846.0</v>
      </c>
      <c r="G24" s="19">
        <v>668.0</v>
      </c>
      <c r="H24" s="19">
        <v>2950.0</v>
      </c>
      <c r="I24" s="19">
        <v>0.0</v>
      </c>
      <c r="J24" s="19">
        <v>0.0</v>
      </c>
      <c r="K24" s="19">
        <v>0.0</v>
      </c>
      <c r="L24" s="19">
        <f>159735</f>
        <v>159735</v>
      </c>
      <c r="M24" s="19">
        <v>0.0</v>
      </c>
      <c r="N24" s="18">
        <f t="shared" si="7"/>
        <v>187601</v>
      </c>
      <c r="O24" s="29">
        <f t="shared" si="15"/>
        <v>0.1985984192</v>
      </c>
    </row>
    <row r="25" ht="15.75" customHeight="1">
      <c r="A25" s="22" t="s">
        <v>29</v>
      </c>
      <c r="B25" s="19">
        <v>9819.05</v>
      </c>
      <c r="C25" s="17">
        <f>11526.68</f>
        <v>11526.68</v>
      </c>
      <c r="D25" s="19">
        <v>14609.0</v>
      </c>
      <c r="E25" s="19">
        <v>15329.72</v>
      </c>
      <c r="F25" s="19">
        <v>13750.0</v>
      </c>
      <c r="G25" s="19">
        <v>9384.0</v>
      </c>
      <c r="H25" s="19">
        <v>15347.0</v>
      </c>
      <c r="I25" s="19">
        <v>9683.7</v>
      </c>
      <c r="J25" s="19">
        <v>15691.5</v>
      </c>
      <c r="K25" s="19">
        <v>15084.0</v>
      </c>
      <c r="L25" s="19">
        <v>9097.89</v>
      </c>
      <c r="M25" s="19">
        <v>12059.0</v>
      </c>
      <c r="N25" s="18">
        <f t="shared" si="7"/>
        <v>151381.54</v>
      </c>
      <c r="O25" s="29">
        <f t="shared" si="15"/>
        <v>0.1602557265</v>
      </c>
    </row>
    <row r="26" ht="15.75" customHeight="1">
      <c r="A26" s="22" t="s">
        <v>30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>
        <f t="shared" si="7"/>
        <v>0</v>
      </c>
      <c r="O26" s="29">
        <f t="shared" si="15"/>
        <v>0</v>
      </c>
    </row>
    <row r="27" ht="15.75" customHeight="1">
      <c r="A27" s="22" t="s">
        <v>31</v>
      </c>
      <c r="B27" s="17">
        <f>HO!D34</f>
        <v>187342.3238</v>
      </c>
      <c r="C27" s="17">
        <f>HO!H34</f>
        <v>204954.2042</v>
      </c>
      <c r="D27" s="17">
        <f>HO!L34</f>
        <v>195744.6883</v>
      </c>
      <c r="E27" s="17">
        <f>HO!P34</f>
        <v>200349.8585</v>
      </c>
      <c r="F27" s="17">
        <f>HO!D47</f>
        <v>213204.4354</v>
      </c>
      <c r="G27" s="17">
        <f>HO!H47</f>
        <v>177652.9499</v>
      </c>
      <c r="H27" s="17">
        <f>HO!L47</f>
        <v>194974.8186</v>
      </c>
      <c r="I27" s="17">
        <f>HO!P47</f>
        <v>165742.9446</v>
      </c>
      <c r="J27" s="17">
        <f>HO!D61</f>
        <v>180083.5953</v>
      </c>
      <c r="K27" s="17">
        <f>HO!H61</f>
        <v>188719.8606</v>
      </c>
      <c r="L27" s="17">
        <f>HO!L61</f>
        <v>159555.2969</v>
      </c>
      <c r="M27" s="17">
        <f>HO!P61</f>
        <v>193233.4073</v>
      </c>
      <c r="N27" s="18">
        <f t="shared" si="7"/>
        <v>2261558.383</v>
      </c>
      <c r="O27" s="29">
        <f t="shared" si="15"/>
        <v>2.394133933</v>
      </c>
    </row>
    <row r="28" ht="15.75" customHeight="1">
      <c r="A28" s="34" t="s">
        <v>32</v>
      </c>
      <c r="B28" s="35">
        <f t="shared" ref="B28:M28" si="22">+SUM(B14:B27)</f>
        <v>1104960.724</v>
      </c>
      <c r="C28" s="35">
        <f t="shared" si="22"/>
        <v>1175472.518</v>
      </c>
      <c r="D28" s="35">
        <f t="shared" si="22"/>
        <v>1161965.752</v>
      </c>
      <c r="E28" s="35">
        <f t="shared" si="22"/>
        <v>1180190.239</v>
      </c>
      <c r="F28" s="36">
        <f t="shared" si="22"/>
        <v>1248307.836</v>
      </c>
      <c r="G28" s="35">
        <f t="shared" si="22"/>
        <v>1116413.674</v>
      </c>
      <c r="H28" s="35">
        <f t="shared" si="22"/>
        <v>1140820.263</v>
      </c>
      <c r="I28" s="35">
        <f t="shared" si="22"/>
        <v>1045659.229</v>
      </c>
      <c r="J28" s="35">
        <f t="shared" si="22"/>
        <v>1067247.269</v>
      </c>
      <c r="K28" s="35">
        <f t="shared" si="22"/>
        <v>1141308.918</v>
      </c>
      <c r="L28" s="35">
        <f t="shared" si="22"/>
        <v>1223781.984</v>
      </c>
      <c r="M28" s="35">
        <f t="shared" si="22"/>
        <v>1242020.895</v>
      </c>
      <c r="N28" s="35">
        <f t="shared" si="7"/>
        <v>13848149.3</v>
      </c>
      <c r="O28" s="37">
        <f t="shared" si="15"/>
        <v>14.65994617</v>
      </c>
    </row>
    <row r="29" ht="15.75" customHeight="1">
      <c r="A29" s="38" t="s">
        <v>33</v>
      </c>
      <c r="B29" s="39">
        <f t="shared" ref="B29:M29" si="23">B13-B28</f>
        <v>-76152.3938</v>
      </c>
      <c r="C29" s="39">
        <f t="shared" si="23"/>
        <v>-13248.0484</v>
      </c>
      <c r="D29" s="39">
        <f t="shared" si="23"/>
        <v>-27387.26248</v>
      </c>
      <c r="E29" s="39">
        <f t="shared" si="23"/>
        <v>-38657.38492</v>
      </c>
      <c r="F29" s="39">
        <f t="shared" si="23"/>
        <v>-68553.6462</v>
      </c>
      <c r="G29" s="39">
        <f t="shared" si="23"/>
        <v>-129795.3538</v>
      </c>
      <c r="H29" s="39">
        <f t="shared" si="23"/>
        <v>-127669.5046</v>
      </c>
      <c r="I29" s="39">
        <f t="shared" si="23"/>
        <v>-117074.3719</v>
      </c>
      <c r="J29" s="39">
        <f t="shared" si="23"/>
        <v>-50085.07446</v>
      </c>
      <c r="K29" s="73">
        <f t="shared" si="23"/>
        <v>86857.59769</v>
      </c>
      <c r="L29" s="73">
        <f t="shared" si="23"/>
        <v>-195501.3818</v>
      </c>
      <c r="M29" s="73">
        <f t="shared" si="23"/>
        <v>-21730.71022</v>
      </c>
      <c r="N29" s="39">
        <f t="shared" si="7"/>
        <v>-778997.5349</v>
      </c>
      <c r="O29" s="40">
        <f t="shared" si="15"/>
        <v>-0.8246634028</v>
      </c>
    </row>
    <row r="30" ht="15.75" customHeight="1">
      <c r="A30" s="41" t="s">
        <v>34</v>
      </c>
      <c r="B30" s="42">
        <f t="shared" ref="B30:M30" si="24">(B14/B13)</f>
        <v>0.2795866456</v>
      </c>
      <c r="C30" s="42">
        <f t="shared" si="24"/>
        <v>0.2720421125</v>
      </c>
      <c r="D30" s="42">
        <f t="shared" si="24"/>
        <v>0.2688693666</v>
      </c>
      <c r="E30" s="42">
        <f t="shared" si="24"/>
        <v>0.2838429036</v>
      </c>
      <c r="F30" s="43">
        <f t="shared" si="24"/>
        <v>0.310638634</v>
      </c>
      <c r="G30" s="42">
        <f t="shared" si="24"/>
        <v>0.2900657976</v>
      </c>
      <c r="H30" s="42">
        <f t="shared" si="24"/>
        <v>0.2881824917</v>
      </c>
      <c r="I30" s="42">
        <f t="shared" si="24"/>
        <v>0.2649014877</v>
      </c>
      <c r="J30" s="42">
        <f t="shared" si="24"/>
        <v>0.2595500907</v>
      </c>
      <c r="K30" s="42">
        <f t="shared" si="24"/>
        <v>0.2633374513</v>
      </c>
      <c r="L30" s="42">
        <f t="shared" si="24"/>
        <v>0.2957296474</v>
      </c>
      <c r="M30" s="42">
        <f t="shared" si="24"/>
        <v>0.3053906314</v>
      </c>
      <c r="N30" s="44"/>
      <c r="O30" s="44"/>
    </row>
    <row r="31" ht="15.75" customHeight="1"/>
    <row r="32" ht="15.75" customHeight="1">
      <c r="B32" s="47">
        <f t="shared" ref="B32:M32" si="25">B29+B27</f>
        <v>111189.93</v>
      </c>
      <c r="C32" s="47">
        <f t="shared" si="25"/>
        <v>191706.1558</v>
      </c>
      <c r="D32" s="47">
        <f t="shared" si="25"/>
        <v>168357.4258</v>
      </c>
      <c r="E32" s="47">
        <f t="shared" si="25"/>
        <v>161692.4736</v>
      </c>
      <c r="F32" s="47">
        <f t="shared" si="25"/>
        <v>144650.7892</v>
      </c>
      <c r="G32" s="47">
        <f t="shared" si="25"/>
        <v>47857.59603</v>
      </c>
      <c r="H32" s="47">
        <f t="shared" si="25"/>
        <v>67305.31403</v>
      </c>
      <c r="I32" s="47">
        <f t="shared" si="25"/>
        <v>48668.57263</v>
      </c>
      <c r="J32" s="47">
        <f t="shared" si="25"/>
        <v>129998.5208</v>
      </c>
      <c r="K32" s="47">
        <f t="shared" si="25"/>
        <v>275577.4583</v>
      </c>
      <c r="L32" s="47">
        <f t="shared" si="25"/>
        <v>-35946.0849</v>
      </c>
      <c r="M32" s="47">
        <f t="shared" si="25"/>
        <v>171502.6971</v>
      </c>
    </row>
    <row r="33" ht="15.75" customHeight="1">
      <c r="B33" s="46">
        <f t="shared" ref="B33:M33" si="26">B32/B13</f>
        <v>0.1080764286</v>
      </c>
      <c r="C33" s="46">
        <f t="shared" si="26"/>
        <v>0.1649476162</v>
      </c>
      <c r="D33" s="46">
        <f t="shared" si="26"/>
        <v>0.1483876412</v>
      </c>
      <c r="E33" s="46">
        <f t="shared" si="26"/>
        <v>0.1416450459</v>
      </c>
      <c r="F33" s="46">
        <f t="shared" si="26"/>
        <v>0.1226109561</v>
      </c>
      <c r="G33" s="46">
        <f t="shared" si="26"/>
        <v>0.04850669712</v>
      </c>
      <c r="H33" s="46">
        <f t="shared" si="26"/>
        <v>0.06643168698</v>
      </c>
      <c r="I33" s="46">
        <f t="shared" si="26"/>
        <v>0.05241155106</v>
      </c>
      <c r="J33" s="46">
        <f t="shared" si="26"/>
        <v>0.1278051047</v>
      </c>
      <c r="K33" s="46">
        <f t="shared" si="26"/>
        <v>0.2243811851</v>
      </c>
      <c r="L33" s="46">
        <f t="shared" si="26"/>
        <v>-0.03495746668</v>
      </c>
      <c r="M33" s="46">
        <f t="shared" si="26"/>
        <v>0.1405425523</v>
      </c>
    </row>
    <row r="34" ht="15.75" customHeight="1">
      <c r="F34" s="4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40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65">
        <v>95441.89</v>
      </c>
      <c r="C3" s="17">
        <f t="shared" ref="C3:M3" si="1">B7</f>
        <v>97685</v>
      </c>
      <c r="D3" s="17">
        <f t="shared" si="1"/>
        <v>62429.51</v>
      </c>
      <c r="E3" s="17">
        <f t="shared" si="1"/>
        <v>60155</v>
      </c>
      <c r="F3" s="17">
        <f t="shared" si="1"/>
        <v>59845</v>
      </c>
      <c r="G3" s="17">
        <f t="shared" si="1"/>
        <v>54714</v>
      </c>
      <c r="H3" s="17">
        <f t="shared" si="1"/>
        <v>58911.63</v>
      </c>
      <c r="I3" s="17">
        <f t="shared" si="1"/>
        <v>56153.61</v>
      </c>
      <c r="J3" s="17">
        <f t="shared" si="1"/>
        <v>60628.64</v>
      </c>
      <c r="K3" s="17">
        <f t="shared" si="1"/>
        <v>66975</v>
      </c>
      <c r="L3" s="17">
        <f t="shared" si="1"/>
        <v>64775</v>
      </c>
      <c r="M3" s="17">
        <f t="shared" si="1"/>
        <v>59877.28</v>
      </c>
      <c r="N3" s="18">
        <f>+SUM(J3:L3)</f>
        <v>192378.64</v>
      </c>
      <c r="O3" s="20"/>
    </row>
    <row r="4" ht="15.75" customHeight="1">
      <c r="A4" s="14" t="s">
        <v>9</v>
      </c>
      <c r="B4" s="19">
        <v>278705.79</v>
      </c>
      <c r="C4" s="19">
        <v>305513.39</v>
      </c>
      <c r="D4" s="19">
        <v>264173.35</v>
      </c>
      <c r="E4" s="19">
        <v>316005.58</v>
      </c>
      <c r="F4" s="19">
        <v>282024.0</v>
      </c>
      <c r="G4" s="19">
        <v>281193.94</v>
      </c>
      <c r="H4" s="19">
        <v>235791.0</v>
      </c>
      <c r="I4" s="19">
        <v>238123.0</v>
      </c>
      <c r="J4" s="19">
        <v>263296.0</v>
      </c>
      <c r="K4" s="19">
        <v>298060.0</v>
      </c>
      <c r="L4" s="19">
        <v>304269.58</v>
      </c>
      <c r="M4" s="19">
        <v>411008.0</v>
      </c>
      <c r="N4" s="18">
        <f>sum(B4:M4)</f>
        <v>3478163.63</v>
      </c>
      <c r="O4" s="20"/>
    </row>
    <row r="5" ht="15.75" customHeight="1">
      <c r="A5" s="14" t="s">
        <v>10</v>
      </c>
      <c r="B5" s="19">
        <v>0.0</v>
      </c>
      <c r="C5" s="19">
        <v>0.0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8">
        <f t="shared" ref="N5:N6" si="2">+SUM(J5:L5)</f>
        <v>0</v>
      </c>
      <c r="O5" s="20"/>
    </row>
    <row r="6" ht="15.75" customHeight="1">
      <c r="A6" s="14" t="s">
        <v>11</v>
      </c>
      <c r="B6" s="19">
        <v>13493.0</v>
      </c>
      <c r="C6" s="19">
        <v>15516.67</v>
      </c>
      <c r="D6" s="19">
        <v>1176.0</v>
      </c>
      <c r="E6" s="19">
        <v>15396.0</v>
      </c>
      <c r="F6" s="19">
        <v>14301.65</v>
      </c>
      <c r="G6" s="19">
        <v>15109.73</v>
      </c>
      <c r="H6" s="19">
        <v>15200.0</v>
      </c>
      <c r="I6" s="19">
        <v>14636.27</v>
      </c>
      <c r="J6" s="19">
        <v>13138.0</v>
      </c>
      <c r="K6" s="19">
        <v>16181.63</v>
      </c>
      <c r="L6" s="19">
        <v>16591.25</v>
      </c>
      <c r="M6" s="19">
        <v>21115.88</v>
      </c>
      <c r="N6" s="18">
        <f t="shared" si="2"/>
        <v>45910.88</v>
      </c>
      <c r="O6" s="20"/>
    </row>
    <row r="7" ht="15.75" customHeight="1">
      <c r="A7" s="14" t="s">
        <v>12</v>
      </c>
      <c r="B7" s="19">
        <v>97685.0</v>
      </c>
      <c r="C7" s="19">
        <v>62429.51</v>
      </c>
      <c r="D7" s="19">
        <v>60155.0</v>
      </c>
      <c r="E7" s="19">
        <v>59845.0</v>
      </c>
      <c r="F7" s="19">
        <v>54714.0</v>
      </c>
      <c r="G7" s="19">
        <v>58911.63</v>
      </c>
      <c r="H7" s="19">
        <v>56153.61</v>
      </c>
      <c r="I7" s="19">
        <v>60628.64</v>
      </c>
      <c r="J7" s="19">
        <v>66975.0</v>
      </c>
      <c r="K7" s="19">
        <v>64775.0</v>
      </c>
      <c r="L7" s="19">
        <v>59877.28</v>
      </c>
      <c r="M7" s="19">
        <v>64172.0</v>
      </c>
      <c r="N7" s="18">
        <f>sum(B7:M7)</f>
        <v>766321.67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>
        <f>949019.88*1.05+31238.66*1.05</f>
        <v>1029271.467</v>
      </c>
      <c r="C9" s="17">
        <f>1059982.18*1.05+38284.43*1.05</f>
        <v>1153179.941</v>
      </c>
      <c r="D9" s="17">
        <f>(961309-341.78)*1.05+29639.28*1.05</f>
        <v>1040136.825</v>
      </c>
      <c r="E9" s="19">
        <f>1157860*1.05</f>
        <v>1215753</v>
      </c>
      <c r="F9" s="17">
        <f>1065911.11*1.05</f>
        <v>1119206.666</v>
      </c>
      <c r="G9" s="17">
        <f>1053956.85*1.05</f>
        <v>1106654.693</v>
      </c>
      <c r="H9" s="17">
        <f>952315.24*1.05+29536.8*1.05</f>
        <v>1030944.642</v>
      </c>
      <c r="I9" s="17">
        <f>902376.58*1.05+27977.92*1.05</f>
        <v>976872.225</v>
      </c>
      <c r="J9" s="17">
        <f>943985.31*1.05+30744.62*1.05</f>
        <v>1023466.427</v>
      </c>
      <c r="K9" s="19">
        <f>1162212.77*1.05+32111.79*1.05</f>
        <v>1254040.788</v>
      </c>
      <c r="L9" s="17">
        <f>1225301.37*1.05+43193.28*1.05</f>
        <v>1331919.383</v>
      </c>
      <c r="M9" s="17">
        <f>1502381.58*1.05+57843.12*1.05</f>
        <v>1638235.935</v>
      </c>
      <c r="N9" s="18">
        <f t="shared" ref="N9:N12" si="3">+SUM(B9:M9)</f>
        <v>13919681.99</v>
      </c>
      <c r="O9" s="20"/>
    </row>
    <row r="10" ht="15.75" customHeight="1">
      <c r="A10" s="22" t="s">
        <v>14</v>
      </c>
      <c r="B10" s="19">
        <v>0.0</v>
      </c>
      <c r="C10" s="19">
        <v>0.0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>
        <f t="shared" si="3"/>
        <v>0</v>
      </c>
      <c r="O10" s="20"/>
    </row>
    <row r="11" ht="15.75" customHeight="1">
      <c r="A11" s="22" t="s">
        <v>15</v>
      </c>
      <c r="B11" s="17">
        <f t="shared" ref="B11:M11" si="4">(B9+B10)/1.05*0.05</f>
        <v>49012.927</v>
      </c>
      <c r="C11" s="17">
        <f t="shared" si="4"/>
        <v>54913.3305</v>
      </c>
      <c r="D11" s="17">
        <f t="shared" si="4"/>
        <v>49530.325</v>
      </c>
      <c r="E11" s="17">
        <f t="shared" si="4"/>
        <v>57893</v>
      </c>
      <c r="F11" s="17">
        <f t="shared" si="4"/>
        <v>53295.5555</v>
      </c>
      <c r="G11" s="17">
        <f t="shared" si="4"/>
        <v>52697.8425</v>
      </c>
      <c r="H11" s="17">
        <f t="shared" si="4"/>
        <v>49092.602</v>
      </c>
      <c r="I11" s="17">
        <f t="shared" si="4"/>
        <v>46517.725</v>
      </c>
      <c r="J11" s="17">
        <f t="shared" si="4"/>
        <v>48736.4965</v>
      </c>
      <c r="K11" s="17">
        <f t="shared" si="4"/>
        <v>59716.228</v>
      </c>
      <c r="L11" s="17">
        <f t="shared" si="4"/>
        <v>63424.7325</v>
      </c>
      <c r="M11" s="17">
        <f t="shared" si="4"/>
        <v>78011.235</v>
      </c>
      <c r="N11" s="18">
        <f t="shared" si="3"/>
        <v>662841.9995</v>
      </c>
      <c r="O11" s="20"/>
    </row>
    <row r="12" ht="15.75" customHeight="1">
      <c r="A12" s="22" t="s">
        <v>16</v>
      </c>
      <c r="B12" s="19">
        <f>36565.33+6581.77+198.27+35.69+71886.5+315.51+12939.56+56.8</f>
        <v>128579.43</v>
      </c>
      <c r="C12" s="17">
        <f>88421.95+15915.96+33541.21+6051.36+6037.41+1089.24+63.09+114.21+31.92</f>
        <v>151266.35</v>
      </c>
      <c r="D12" s="17">
        <f>67854.25+12213.7+43070.76+7752.79+95.82+17.25</f>
        <v>131004.57</v>
      </c>
      <c r="E12" s="17">
        <f>51404.65+9299.86+85365.2+15365.73+22.88*1.18+22.68*1.18</f>
        <v>161489.2008</v>
      </c>
      <c r="F12" s="17">
        <f>80473.94+14485.3+39321.37+7077.89+1989</f>
        <v>143347.5</v>
      </c>
      <c r="G12" s="17">
        <f>79852.58*1.18+31716.22*1.18+140.15*1.18</f>
        <v>131816.561</v>
      </c>
      <c r="H12" s="17">
        <f>68453.66*1.18+31901.06*1.18+204.92*1.18</f>
        <v>118660.3752</v>
      </c>
      <c r="I12" s="17">
        <f>(24858+64481.55)*1.18+122.01*1.18+9301.55*1.18+182.62*1.18</f>
        <v>116755.9614</v>
      </c>
      <c r="J12" s="17">
        <f>71668.44*1.18+31667.57*1.18+786.4*1.18</f>
        <v>122864.4438</v>
      </c>
      <c r="K12" s="17">
        <f>74872.26*1.18+44254.48*1.18+905.34*1.18</f>
        <v>141637.8544</v>
      </c>
      <c r="L12" s="17">
        <f>32663.51*1.18+101232.67*1.18+801.52*1.18+237.86*1.18</f>
        <v>159223.9608</v>
      </c>
      <c r="M12" s="17">
        <f>49950.83*1.18+134304.47*1.18+1047.55*1.18+205.02</f>
        <v>218862.383</v>
      </c>
      <c r="N12" s="18">
        <f t="shared" si="3"/>
        <v>1725508.59</v>
      </c>
      <c r="O12" s="20"/>
    </row>
    <row r="13" ht="15.75" customHeight="1">
      <c r="A13" s="24" t="s">
        <v>17</v>
      </c>
      <c r="B13" s="25">
        <f t="shared" ref="B13:M13" si="5">B9+B10-B11-B12</f>
        <v>851679.11</v>
      </c>
      <c r="C13" s="25">
        <f t="shared" si="5"/>
        <v>947000.26</v>
      </c>
      <c r="D13" s="25">
        <f t="shared" si="5"/>
        <v>859601.93</v>
      </c>
      <c r="E13" s="25">
        <f t="shared" si="5"/>
        <v>996370.7992</v>
      </c>
      <c r="F13" s="26">
        <f t="shared" si="5"/>
        <v>922563.61</v>
      </c>
      <c r="G13" s="26">
        <f t="shared" si="5"/>
        <v>922140.289</v>
      </c>
      <c r="H13" s="25">
        <f t="shared" si="5"/>
        <v>863191.6648</v>
      </c>
      <c r="I13" s="25">
        <f t="shared" si="5"/>
        <v>813598.5386</v>
      </c>
      <c r="J13" s="25">
        <f t="shared" si="5"/>
        <v>851865.4862</v>
      </c>
      <c r="K13" s="25">
        <f t="shared" si="5"/>
        <v>1052686.706</v>
      </c>
      <c r="L13" s="25">
        <f t="shared" si="5"/>
        <v>1109270.689</v>
      </c>
      <c r="M13" s="25">
        <f t="shared" si="5"/>
        <v>1341362.317</v>
      </c>
      <c r="N13" s="25">
        <f t="shared" ref="N13:N29" si="7">sum(B13:M13)</f>
        <v>11531331.4</v>
      </c>
      <c r="O13" s="27">
        <f t="shared" ref="O13:O18" si="8">N13/$N$7</f>
        <v>15.04763841</v>
      </c>
    </row>
    <row r="14" ht="15.75" customHeight="1">
      <c r="A14" s="22" t="s">
        <v>18</v>
      </c>
      <c r="B14" s="28">
        <f t="shared" ref="B14:M14" si="6">+B3+B4-B5-B7</f>
        <v>276462.68</v>
      </c>
      <c r="C14" s="28">
        <f t="shared" si="6"/>
        <v>340768.88</v>
      </c>
      <c r="D14" s="28">
        <f t="shared" si="6"/>
        <v>266447.86</v>
      </c>
      <c r="E14" s="28">
        <f t="shared" si="6"/>
        <v>316315.58</v>
      </c>
      <c r="F14" s="28">
        <f t="shared" si="6"/>
        <v>287155</v>
      </c>
      <c r="G14" s="28">
        <f t="shared" si="6"/>
        <v>276996.31</v>
      </c>
      <c r="H14" s="28">
        <f t="shared" si="6"/>
        <v>238549.02</v>
      </c>
      <c r="I14" s="28">
        <f t="shared" si="6"/>
        <v>233647.97</v>
      </c>
      <c r="J14" s="28">
        <f t="shared" si="6"/>
        <v>256949.64</v>
      </c>
      <c r="K14" s="28">
        <f t="shared" si="6"/>
        <v>300260</v>
      </c>
      <c r="L14" s="28">
        <f t="shared" si="6"/>
        <v>309167.3</v>
      </c>
      <c r="M14" s="28">
        <f t="shared" si="6"/>
        <v>406713.28</v>
      </c>
      <c r="N14" s="18">
        <f t="shared" si="7"/>
        <v>3509433.52</v>
      </c>
      <c r="O14" s="29">
        <f t="shared" si="8"/>
        <v>4.579582775</v>
      </c>
    </row>
    <row r="15" ht="15.75" customHeight="1">
      <c r="A15" s="22" t="s">
        <v>19</v>
      </c>
      <c r="B15" s="28">
        <v>42430.0</v>
      </c>
      <c r="C15" s="28">
        <v>51530.0</v>
      </c>
      <c r="D15" s="28">
        <v>61060.0</v>
      </c>
      <c r="E15" s="19">
        <v>71310.0</v>
      </c>
      <c r="F15" s="17">
        <f>76140</f>
        <v>76140</v>
      </c>
      <c r="G15" s="19">
        <v>62810.0</v>
      </c>
      <c r="H15" s="19">
        <v>58390.0</v>
      </c>
      <c r="I15" s="17">
        <f>44030</f>
        <v>44030</v>
      </c>
      <c r="J15" s="19">
        <v>34240.0</v>
      </c>
      <c r="K15" s="17">
        <f>40760</f>
        <v>40760</v>
      </c>
      <c r="L15" s="19">
        <v>37610.0</v>
      </c>
      <c r="M15" s="17">
        <f>47740</f>
        <v>47740</v>
      </c>
      <c r="N15" s="18">
        <f t="shared" si="7"/>
        <v>628050</v>
      </c>
      <c r="O15" s="29">
        <f t="shared" si="8"/>
        <v>0.8195644526</v>
      </c>
    </row>
    <row r="16" ht="15.75" customHeight="1">
      <c r="A16" s="22" t="s">
        <v>20</v>
      </c>
      <c r="B16" s="72">
        <v>2574.0</v>
      </c>
      <c r="C16" s="72">
        <v>2574.0</v>
      </c>
      <c r="D16" s="28">
        <f>1295</f>
        <v>1295</v>
      </c>
      <c r="E16" s="21">
        <v>1295.0</v>
      </c>
      <c r="F16" s="19">
        <v>2591.0</v>
      </c>
      <c r="G16" s="19">
        <v>1296.0</v>
      </c>
      <c r="H16" s="19">
        <v>1296.0</v>
      </c>
      <c r="I16" s="19">
        <v>1296.0</v>
      </c>
      <c r="J16" s="17">
        <f>1295</f>
        <v>1295</v>
      </c>
      <c r="K16" s="19">
        <v>1296.0</v>
      </c>
      <c r="L16" s="17">
        <f t="shared" ref="L16:M16" si="9">1296</f>
        <v>1296</v>
      </c>
      <c r="M16" s="17">
        <f t="shared" si="9"/>
        <v>1296</v>
      </c>
      <c r="N16" s="18">
        <f t="shared" si="7"/>
        <v>19400</v>
      </c>
      <c r="O16" s="29">
        <f t="shared" si="8"/>
        <v>0.0253157398</v>
      </c>
    </row>
    <row r="17" ht="15.75" customHeight="1">
      <c r="A17" s="22" t="s">
        <v>21</v>
      </c>
      <c r="B17" s="28"/>
      <c r="C17" s="28"/>
      <c r="D17" s="28"/>
      <c r="E17" s="17"/>
      <c r="F17" s="17"/>
      <c r="G17" s="17"/>
      <c r="H17" s="17"/>
      <c r="I17" s="17"/>
      <c r="J17" s="17"/>
      <c r="K17" s="17"/>
      <c r="L17" s="17"/>
      <c r="M17" s="17"/>
      <c r="N17" s="18">
        <f t="shared" si="7"/>
        <v>0</v>
      </c>
      <c r="O17" s="29">
        <f t="shared" si="8"/>
        <v>0</v>
      </c>
    </row>
    <row r="18" ht="15.75" customHeight="1">
      <c r="A18" s="22" t="s">
        <v>22</v>
      </c>
      <c r="B18" s="28">
        <f>138000</f>
        <v>138000</v>
      </c>
      <c r="C18" s="28">
        <f t="shared" ref="C18:M18" si="10">162840</f>
        <v>162840</v>
      </c>
      <c r="D18" s="28">
        <f t="shared" si="10"/>
        <v>162840</v>
      </c>
      <c r="E18" s="17">
        <f t="shared" si="10"/>
        <v>162840</v>
      </c>
      <c r="F18" s="17">
        <f t="shared" si="10"/>
        <v>162840</v>
      </c>
      <c r="G18" s="17">
        <f t="shared" si="10"/>
        <v>162840</v>
      </c>
      <c r="H18" s="17">
        <f t="shared" si="10"/>
        <v>162840</v>
      </c>
      <c r="I18" s="17">
        <f t="shared" si="10"/>
        <v>162840</v>
      </c>
      <c r="J18" s="17">
        <f t="shared" si="10"/>
        <v>162840</v>
      </c>
      <c r="K18" s="17">
        <f t="shared" si="10"/>
        <v>162840</v>
      </c>
      <c r="L18" s="17">
        <f t="shared" si="10"/>
        <v>162840</v>
      </c>
      <c r="M18" s="17">
        <f t="shared" si="10"/>
        <v>162840</v>
      </c>
      <c r="N18" s="18">
        <f t="shared" si="7"/>
        <v>1929240</v>
      </c>
      <c r="O18" s="29">
        <f t="shared" si="8"/>
        <v>2.517532879</v>
      </c>
    </row>
    <row r="19" ht="15.75" customHeight="1">
      <c r="A19" s="30" t="s">
        <v>23</v>
      </c>
      <c r="B19" s="28">
        <v>0.0</v>
      </c>
      <c r="C19" s="28">
        <f t="shared" ref="C19:M19" si="11">10394.5/12</f>
        <v>866.2083333</v>
      </c>
      <c r="D19" s="28">
        <f t="shared" si="11"/>
        <v>866.2083333</v>
      </c>
      <c r="E19" s="17">
        <f t="shared" si="11"/>
        <v>866.2083333</v>
      </c>
      <c r="F19" s="17">
        <f t="shared" si="11"/>
        <v>866.2083333</v>
      </c>
      <c r="G19" s="17">
        <f t="shared" si="11"/>
        <v>866.2083333</v>
      </c>
      <c r="H19" s="17">
        <f t="shared" si="11"/>
        <v>866.2083333</v>
      </c>
      <c r="I19" s="17">
        <f t="shared" si="11"/>
        <v>866.2083333</v>
      </c>
      <c r="J19" s="17">
        <f t="shared" si="11"/>
        <v>866.2083333</v>
      </c>
      <c r="K19" s="17">
        <f t="shared" si="11"/>
        <v>866.2083333</v>
      </c>
      <c r="L19" s="17">
        <f t="shared" si="11"/>
        <v>866.2083333</v>
      </c>
      <c r="M19" s="17">
        <f t="shared" si="11"/>
        <v>866.2083333</v>
      </c>
      <c r="N19" s="18">
        <f t="shared" si="7"/>
        <v>9528.291667</v>
      </c>
      <c r="O19" s="29"/>
    </row>
    <row r="20" ht="15.75" customHeight="1">
      <c r="A20" s="22" t="s">
        <v>24</v>
      </c>
      <c r="B20" s="28">
        <f t="shared" ref="B20:M20" si="12">69207/12</f>
        <v>5767.25</v>
      </c>
      <c r="C20" s="28">
        <f t="shared" si="12"/>
        <v>5767.25</v>
      </c>
      <c r="D20" s="28">
        <f t="shared" si="12"/>
        <v>5767.25</v>
      </c>
      <c r="E20" s="17">
        <f t="shared" si="12"/>
        <v>5767.25</v>
      </c>
      <c r="F20" s="17">
        <f t="shared" si="12"/>
        <v>5767.25</v>
      </c>
      <c r="G20" s="17">
        <f t="shared" si="12"/>
        <v>5767.25</v>
      </c>
      <c r="H20" s="17">
        <f t="shared" si="12"/>
        <v>5767.25</v>
      </c>
      <c r="I20" s="17">
        <f t="shared" si="12"/>
        <v>5767.25</v>
      </c>
      <c r="J20" s="17">
        <f t="shared" si="12"/>
        <v>5767.25</v>
      </c>
      <c r="K20" s="17">
        <f t="shared" si="12"/>
        <v>5767.25</v>
      </c>
      <c r="L20" s="17">
        <f t="shared" si="12"/>
        <v>5767.25</v>
      </c>
      <c r="M20" s="17">
        <f t="shared" si="12"/>
        <v>5767.25</v>
      </c>
      <c r="N20" s="18">
        <f t="shared" si="7"/>
        <v>69207</v>
      </c>
      <c r="O20" s="29">
        <f t="shared" ref="O20:O29" si="13">N20/$N$7</f>
        <v>0.0903106394</v>
      </c>
    </row>
    <row r="21" ht="15.75" customHeight="1">
      <c r="A21" s="22" t="s">
        <v>25</v>
      </c>
      <c r="B21" s="28">
        <f>22000+249715.67+2000+124322/12</f>
        <v>284075.8367</v>
      </c>
      <c r="C21" s="28">
        <f>278891+124322/12</f>
        <v>289251.1667</v>
      </c>
      <c r="D21" s="28">
        <f>258471.67+124322/12</f>
        <v>268831.8367</v>
      </c>
      <c r="E21" s="17">
        <f>241848+124322/12</f>
        <v>252208.1667</v>
      </c>
      <c r="F21" s="17">
        <f>236988.84+124322/12</f>
        <v>247349.0067</v>
      </c>
      <c r="G21" s="17">
        <f>236003.33+124322/12</f>
        <v>246363.4967</v>
      </c>
      <c r="H21" s="17">
        <f>124322/12+215774</f>
        <v>226134.1667</v>
      </c>
      <c r="I21" s="17">
        <f>124322/12+223201.34</f>
        <v>233561.5067</v>
      </c>
      <c r="J21" s="17">
        <f>124322/12+245520</f>
        <v>255880.1667</v>
      </c>
      <c r="K21" s="17">
        <f>124322/12+248399</f>
        <v>258759.1667</v>
      </c>
      <c r="L21" s="17">
        <f>124322/12+268658</f>
        <v>279018.1667</v>
      </c>
      <c r="M21" s="17">
        <f>124322/12+255408</f>
        <v>265768.1667</v>
      </c>
      <c r="N21" s="18">
        <f t="shared" si="7"/>
        <v>3107200.85</v>
      </c>
      <c r="O21" s="29">
        <f t="shared" si="13"/>
        <v>4.054695269</v>
      </c>
    </row>
    <row r="22" ht="15.75" customHeight="1">
      <c r="A22" s="14" t="s">
        <v>26</v>
      </c>
      <c r="B22" s="28">
        <f>4720+2950</f>
        <v>7670</v>
      </c>
      <c r="C22" s="28">
        <f>5192+2950</f>
        <v>8142</v>
      </c>
      <c r="D22" s="28">
        <f>4012+2950</f>
        <v>6962</v>
      </c>
      <c r="E22" s="17">
        <f>2950+5192</f>
        <v>8142</v>
      </c>
      <c r="F22" s="17">
        <f t="shared" ref="F22:G22" si="14">5192+2950</f>
        <v>8142</v>
      </c>
      <c r="G22" s="17">
        <f t="shared" si="14"/>
        <v>8142</v>
      </c>
      <c r="H22" s="17">
        <f>2950+5192</f>
        <v>8142</v>
      </c>
      <c r="I22" s="17">
        <f>4720+2950</f>
        <v>7670</v>
      </c>
      <c r="J22" s="17">
        <f>2950+4720</f>
        <v>7670</v>
      </c>
      <c r="K22" s="17">
        <f t="shared" ref="K22:M22" si="15">4720+2950</f>
        <v>7670</v>
      </c>
      <c r="L22" s="19">
        <f t="shared" si="15"/>
        <v>7670</v>
      </c>
      <c r="M22" s="19">
        <f t="shared" si="15"/>
        <v>7670</v>
      </c>
      <c r="N22" s="18">
        <f t="shared" si="7"/>
        <v>93692</v>
      </c>
      <c r="O22" s="29">
        <f t="shared" si="13"/>
        <v>0.1222619739</v>
      </c>
    </row>
    <row r="23" ht="15.75" customHeight="1">
      <c r="A23" s="33" t="s">
        <v>27</v>
      </c>
      <c r="B23" s="28">
        <f t="shared" ref="B23:J23" si="16">2124/3+6425/12</f>
        <v>1243.416667</v>
      </c>
      <c r="C23" s="28">
        <f t="shared" si="16"/>
        <v>1243.416667</v>
      </c>
      <c r="D23" s="28">
        <f t="shared" si="16"/>
        <v>1243.416667</v>
      </c>
      <c r="E23" s="28">
        <f t="shared" si="16"/>
        <v>1243.416667</v>
      </c>
      <c r="F23" s="28">
        <f t="shared" si="16"/>
        <v>1243.416667</v>
      </c>
      <c r="G23" s="28">
        <f t="shared" si="16"/>
        <v>1243.416667</v>
      </c>
      <c r="H23" s="28">
        <f t="shared" si="16"/>
        <v>1243.416667</v>
      </c>
      <c r="I23" s="28">
        <f t="shared" si="16"/>
        <v>1243.416667</v>
      </c>
      <c r="J23" s="28">
        <f t="shared" si="16"/>
        <v>1243.416667</v>
      </c>
      <c r="K23" s="17">
        <f t="shared" ref="K23:M23" si="17">6425/12+3304/3</f>
        <v>1636.75</v>
      </c>
      <c r="L23" s="17">
        <f t="shared" si="17"/>
        <v>1636.75</v>
      </c>
      <c r="M23" s="17">
        <f t="shared" si="17"/>
        <v>1636.75</v>
      </c>
      <c r="N23" s="18">
        <f t="shared" si="7"/>
        <v>16101</v>
      </c>
      <c r="O23" s="29">
        <f t="shared" si="13"/>
        <v>0.0210107591</v>
      </c>
    </row>
    <row r="24" ht="15.75" customHeight="1">
      <c r="A24" s="22" t="s">
        <v>28</v>
      </c>
      <c r="B24" s="28">
        <v>1920.0</v>
      </c>
      <c r="C24" s="28">
        <v>5547.0</v>
      </c>
      <c r="D24" s="28">
        <v>3538.0</v>
      </c>
      <c r="E24" s="31">
        <v>0.0</v>
      </c>
      <c r="F24" s="19">
        <v>11605.0</v>
      </c>
      <c r="G24" s="17">
        <f>460</f>
        <v>460</v>
      </c>
      <c r="H24" s="19">
        <v>0.0</v>
      </c>
      <c r="I24" s="19">
        <v>49692.0</v>
      </c>
      <c r="J24" s="19">
        <v>0.0</v>
      </c>
      <c r="K24" s="19">
        <v>0.0</v>
      </c>
      <c r="L24" s="17">
        <f>150</f>
        <v>150</v>
      </c>
      <c r="M24" s="19">
        <v>340.0</v>
      </c>
      <c r="N24" s="18">
        <f t="shared" si="7"/>
        <v>73252</v>
      </c>
      <c r="O24" s="29">
        <f t="shared" si="13"/>
        <v>0.09558910164</v>
      </c>
    </row>
    <row r="25" ht="15.75" customHeight="1">
      <c r="A25" s="22" t="s">
        <v>29</v>
      </c>
      <c r="B25" s="28">
        <v>10132.87</v>
      </c>
      <c r="C25" s="28">
        <v>11031.53</v>
      </c>
      <c r="D25" s="28">
        <v>12526.0</v>
      </c>
      <c r="E25" s="19">
        <v>4836.64</v>
      </c>
      <c r="F25" s="19">
        <v>22883.0</v>
      </c>
      <c r="G25" s="17">
        <f>22321</f>
        <v>22321</v>
      </c>
      <c r="H25" s="19">
        <v>12650.0</v>
      </c>
      <c r="I25" s="19">
        <v>42035.0</v>
      </c>
      <c r="J25" s="19">
        <v>9697.0</v>
      </c>
      <c r="K25" s="19">
        <v>7368.41</v>
      </c>
      <c r="L25" s="19">
        <v>9505.61</v>
      </c>
      <c r="M25" s="19">
        <v>12935.06</v>
      </c>
      <c r="N25" s="18">
        <f t="shared" si="7"/>
        <v>177922.12</v>
      </c>
      <c r="O25" s="29">
        <f t="shared" si="13"/>
        <v>0.232176809</v>
      </c>
    </row>
    <row r="26" ht="15.75" customHeight="1">
      <c r="A26" s="22" t="s">
        <v>30</v>
      </c>
      <c r="B26" s="28"/>
      <c r="C26" s="28"/>
      <c r="D26" s="28"/>
      <c r="E26" s="17"/>
      <c r="F26" s="17"/>
      <c r="G26" s="17"/>
      <c r="H26" s="17"/>
      <c r="I26" s="17"/>
      <c r="J26" s="17"/>
      <c r="K26" s="17"/>
      <c r="L26" s="17"/>
      <c r="M26" s="17"/>
      <c r="N26" s="18">
        <f t="shared" si="7"/>
        <v>0</v>
      </c>
      <c r="O26" s="29">
        <f t="shared" si="13"/>
        <v>0</v>
      </c>
    </row>
    <row r="27" ht="15.75" customHeight="1">
      <c r="A27" s="22" t="s">
        <v>31</v>
      </c>
      <c r="B27" s="28">
        <f>HO!D35</f>
        <v>155087.7252</v>
      </c>
      <c r="C27" s="28">
        <f>HO!H35</f>
        <v>167000.1705</v>
      </c>
      <c r="D27" s="28">
        <f>HO!L35</f>
        <v>148303.9854</v>
      </c>
      <c r="E27" s="28">
        <f>HO!P35</f>
        <v>174872.539</v>
      </c>
      <c r="F27" s="17">
        <f>HO!D48</f>
        <v>166725.1155</v>
      </c>
      <c r="G27" s="17">
        <f>HO!H48</f>
        <v>166042.8751</v>
      </c>
      <c r="H27" s="17">
        <f>HO!L48</f>
        <v>166116.0858</v>
      </c>
      <c r="I27" s="17">
        <f>HO!P48</f>
        <v>145219.0572</v>
      </c>
      <c r="J27" s="17">
        <f>HO!D62</f>
        <v>150818.6209</v>
      </c>
      <c r="K27" s="17">
        <f>HO!H62</f>
        <v>161755.6624</v>
      </c>
      <c r="L27" s="17">
        <f>HO!L62</f>
        <v>172122.292</v>
      </c>
      <c r="M27" s="17">
        <f>HO!P62</f>
        <v>212405.2248</v>
      </c>
      <c r="N27" s="18">
        <f t="shared" si="7"/>
        <v>1986469.354</v>
      </c>
      <c r="O27" s="29">
        <f t="shared" si="13"/>
        <v>2.592213468</v>
      </c>
    </row>
    <row r="28" ht="15.75" customHeight="1">
      <c r="A28" s="34" t="s">
        <v>32</v>
      </c>
      <c r="B28" s="35">
        <f t="shared" ref="B28:M28" si="18">+SUM(B14:B27)</f>
        <v>925363.7786</v>
      </c>
      <c r="C28" s="35">
        <f t="shared" si="18"/>
        <v>1046561.622</v>
      </c>
      <c r="D28" s="35">
        <f t="shared" si="18"/>
        <v>939681.5571</v>
      </c>
      <c r="E28" s="35">
        <f t="shared" si="18"/>
        <v>999696.8007</v>
      </c>
      <c r="F28" s="36">
        <f t="shared" si="18"/>
        <v>993306.9971</v>
      </c>
      <c r="G28" s="35">
        <f t="shared" si="18"/>
        <v>955148.5568</v>
      </c>
      <c r="H28" s="35">
        <f t="shared" si="18"/>
        <v>881994.1474</v>
      </c>
      <c r="I28" s="35">
        <f t="shared" si="18"/>
        <v>927868.4089</v>
      </c>
      <c r="J28" s="35">
        <f t="shared" si="18"/>
        <v>887267.3025</v>
      </c>
      <c r="K28" s="35">
        <f t="shared" si="18"/>
        <v>948979.4474</v>
      </c>
      <c r="L28" s="35">
        <f t="shared" si="18"/>
        <v>987649.577</v>
      </c>
      <c r="M28" s="35">
        <f t="shared" si="18"/>
        <v>1125977.94</v>
      </c>
      <c r="N28" s="35">
        <f t="shared" si="7"/>
        <v>11619496.14</v>
      </c>
      <c r="O28" s="37">
        <f t="shared" si="13"/>
        <v>15.16268767</v>
      </c>
    </row>
    <row r="29" ht="15.75" customHeight="1">
      <c r="A29" s="38" t="s">
        <v>33</v>
      </c>
      <c r="B29" s="39">
        <f t="shared" ref="B29:M29" si="19">B13-B28</f>
        <v>-73684.66856</v>
      </c>
      <c r="C29" s="39">
        <f t="shared" si="19"/>
        <v>-99561.36221</v>
      </c>
      <c r="D29" s="39">
        <f t="shared" si="19"/>
        <v>-80079.6271</v>
      </c>
      <c r="E29" s="39">
        <f t="shared" si="19"/>
        <v>-3326.001482</v>
      </c>
      <c r="F29" s="39">
        <f t="shared" si="19"/>
        <v>-70743.38714</v>
      </c>
      <c r="G29" s="39">
        <f t="shared" si="19"/>
        <v>-33008.26778</v>
      </c>
      <c r="H29" s="39">
        <f t="shared" si="19"/>
        <v>-18802.48264</v>
      </c>
      <c r="I29" s="39">
        <f t="shared" si="19"/>
        <v>-114269.8703</v>
      </c>
      <c r="J29" s="39">
        <f t="shared" si="19"/>
        <v>-35401.81635</v>
      </c>
      <c r="K29" s="39">
        <f t="shared" si="19"/>
        <v>103707.2582</v>
      </c>
      <c r="L29" s="39">
        <f t="shared" si="19"/>
        <v>121621.1122</v>
      </c>
      <c r="M29" s="39">
        <f t="shared" si="19"/>
        <v>215384.3772</v>
      </c>
      <c r="N29" s="39">
        <f t="shared" si="7"/>
        <v>-88164.73605</v>
      </c>
      <c r="O29" s="40">
        <f t="shared" si="13"/>
        <v>-0.1150492535</v>
      </c>
    </row>
    <row r="30" ht="15.75" customHeight="1">
      <c r="A30" s="41" t="s">
        <v>34</v>
      </c>
      <c r="B30" s="42">
        <f t="shared" ref="B30:M30" si="20">(B14/B13)</f>
        <v>0.3246089716</v>
      </c>
      <c r="C30" s="42">
        <f t="shared" si="20"/>
        <v>0.3598403236</v>
      </c>
      <c r="D30" s="42">
        <f t="shared" si="20"/>
        <v>0.3099665679</v>
      </c>
      <c r="E30" s="42">
        <f t="shared" si="20"/>
        <v>0.3174677342</v>
      </c>
      <c r="F30" s="43">
        <f t="shared" si="20"/>
        <v>0.3112576704</v>
      </c>
      <c r="G30" s="42">
        <f t="shared" si="20"/>
        <v>0.3003841317</v>
      </c>
      <c r="H30" s="42">
        <f t="shared" si="20"/>
        <v>0.2763569549</v>
      </c>
      <c r="I30" s="42">
        <f t="shared" si="20"/>
        <v>0.2871784534</v>
      </c>
      <c r="J30" s="42">
        <f t="shared" si="20"/>
        <v>0.3016317061</v>
      </c>
      <c r="K30" s="42">
        <f t="shared" si="20"/>
        <v>0.2852320623</v>
      </c>
      <c r="L30" s="42">
        <f t="shared" si="20"/>
        <v>0.2787122233</v>
      </c>
      <c r="M30" s="42">
        <f t="shared" si="20"/>
        <v>0.3032091142</v>
      </c>
      <c r="N30" s="44"/>
      <c r="O30" s="44"/>
    </row>
    <row r="31" ht="15.75" customHeight="1"/>
    <row r="32" ht="15.75" customHeight="1">
      <c r="B32" s="58">
        <f t="shared" ref="B32:M32" si="21">B29+B27</f>
        <v>81403.05667</v>
      </c>
      <c r="C32" s="58">
        <f t="shared" si="21"/>
        <v>67438.80833</v>
      </c>
      <c r="D32" s="58">
        <f t="shared" si="21"/>
        <v>68224.35833</v>
      </c>
      <c r="E32" s="58">
        <f t="shared" si="21"/>
        <v>171546.5375</v>
      </c>
      <c r="F32" s="58">
        <f t="shared" si="21"/>
        <v>95981.72833</v>
      </c>
      <c r="G32" s="58">
        <f t="shared" si="21"/>
        <v>133034.6073</v>
      </c>
      <c r="H32" s="58">
        <f t="shared" si="21"/>
        <v>147313.6031</v>
      </c>
      <c r="I32" s="58">
        <f t="shared" si="21"/>
        <v>30949.18693</v>
      </c>
      <c r="J32" s="58">
        <f t="shared" si="21"/>
        <v>115416.8045</v>
      </c>
      <c r="K32" s="58">
        <f t="shared" si="21"/>
        <v>265462.9206</v>
      </c>
      <c r="L32" s="58">
        <f t="shared" si="21"/>
        <v>293743.4042</v>
      </c>
      <c r="M32" s="58">
        <f t="shared" si="21"/>
        <v>427789.602</v>
      </c>
    </row>
    <row r="33" ht="15.75" customHeight="1">
      <c r="B33" s="59">
        <f t="shared" ref="B33:M33" si="22">B32/B13</f>
        <v>0.09557949198</v>
      </c>
      <c r="C33" s="59">
        <f t="shared" si="22"/>
        <v>0.07121308323</v>
      </c>
      <c r="D33" s="59">
        <f t="shared" si="22"/>
        <v>0.07936738617</v>
      </c>
      <c r="E33" s="59">
        <f t="shared" si="22"/>
        <v>0.1721713821</v>
      </c>
      <c r="F33" s="59">
        <f t="shared" si="22"/>
        <v>0.1040380601</v>
      </c>
      <c r="G33" s="59">
        <f t="shared" si="22"/>
        <v>0.1442672107</v>
      </c>
      <c r="H33" s="59">
        <f t="shared" si="22"/>
        <v>0.1706615218</v>
      </c>
      <c r="I33" s="59">
        <f t="shared" si="22"/>
        <v>0.03803987528</v>
      </c>
      <c r="J33" s="59">
        <f t="shared" si="22"/>
        <v>0.1354871237</v>
      </c>
      <c r="K33" s="59">
        <f t="shared" si="22"/>
        <v>0.252176568</v>
      </c>
      <c r="L33" s="59">
        <f t="shared" si="22"/>
        <v>0.2648076859</v>
      </c>
      <c r="M33" s="59">
        <f t="shared" si="22"/>
        <v>0.3189217384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42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76">
        <v>132472.22</v>
      </c>
      <c r="C3" s="17">
        <f t="shared" ref="C3:M3" si="1">B7</f>
        <v>131604</v>
      </c>
      <c r="D3" s="17">
        <f t="shared" si="1"/>
        <v>145611.46</v>
      </c>
      <c r="E3" s="17">
        <f t="shared" si="1"/>
        <v>176614</v>
      </c>
      <c r="F3" s="17">
        <f t="shared" si="1"/>
        <v>110267</v>
      </c>
      <c r="G3" s="17">
        <f t="shared" si="1"/>
        <v>71785.74</v>
      </c>
      <c r="H3" s="17">
        <f t="shared" si="1"/>
        <v>54025</v>
      </c>
      <c r="I3" s="17">
        <f t="shared" si="1"/>
        <v>114942.97</v>
      </c>
      <c r="J3" s="17">
        <f t="shared" si="1"/>
        <v>111461.81</v>
      </c>
      <c r="K3" s="17">
        <f t="shared" si="1"/>
        <v>172057</v>
      </c>
      <c r="L3" s="17">
        <f t="shared" si="1"/>
        <v>52926</v>
      </c>
      <c r="M3" s="17">
        <f t="shared" si="1"/>
        <v>52290.73</v>
      </c>
      <c r="N3" s="18">
        <f>+SUM(J3:L3)</f>
        <v>336444.81</v>
      </c>
      <c r="O3" s="20"/>
    </row>
    <row r="4" ht="15.75" customHeight="1">
      <c r="A4" s="14" t="s">
        <v>9</v>
      </c>
      <c r="B4" s="19">
        <v>604206.17</v>
      </c>
      <c r="C4" s="19">
        <v>615366.91</v>
      </c>
      <c r="D4" s="19">
        <v>712163.64</v>
      </c>
      <c r="E4" s="19">
        <v>661512.31</v>
      </c>
      <c r="F4" s="19">
        <v>652755.89</v>
      </c>
      <c r="G4" s="19">
        <v>613813.96</v>
      </c>
      <c r="H4" s="19">
        <v>588386.72</v>
      </c>
      <c r="I4" s="19">
        <v>613969.27</v>
      </c>
      <c r="J4" s="19">
        <v>876850.56</v>
      </c>
      <c r="K4" s="19">
        <v>723099.0</v>
      </c>
      <c r="L4" s="19">
        <v>1058524.1</v>
      </c>
      <c r="M4" s="19">
        <v>991269.96</v>
      </c>
      <c r="N4" s="18">
        <f>sum(B4:M4)</f>
        <v>8711918.49</v>
      </c>
      <c r="O4" s="20"/>
    </row>
    <row r="5" ht="15.75" customHeight="1">
      <c r="A5" s="14" t="s">
        <v>10</v>
      </c>
      <c r="B5" s="19">
        <v>0.0</v>
      </c>
      <c r="C5" s="19">
        <v>0.0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8">
        <f t="shared" ref="N5:N6" si="2">+SUM(J5:L5)</f>
        <v>0</v>
      </c>
      <c r="O5" s="20"/>
    </row>
    <row r="6" ht="15.75" customHeight="1">
      <c r="A6" s="14" t="s">
        <v>11</v>
      </c>
      <c r="B6" s="19">
        <v>31832.0</v>
      </c>
      <c r="C6" s="19">
        <v>31904.0</v>
      </c>
      <c r="D6" s="19">
        <v>42936.0</v>
      </c>
      <c r="E6" s="19">
        <v>53107.0</v>
      </c>
      <c r="F6" s="19">
        <v>34043.9</v>
      </c>
      <c r="G6" s="19">
        <v>37897.95</v>
      </c>
      <c r="H6" s="19">
        <v>43202.0</v>
      </c>
      <c r="I6" s="19">
        <v>28115.0</v>
      </c>
      <c r="J6" s="19">
        <v>73825.0</v>
      </c>
      <c r="K6" s="19">
        <v>63780.8</v>
      </c>
      <c r="L6" s="19">
        <v>74900.0</v>
      </c>
      <c r="M6" s="19">
        <v>78263.77</v>
      </c>
      <c r="N6" s="18">
        <f t="shared" si="2"/>
        <v>212505.8</v>
      </c>
      <c r="O6" s="20"/>
    </row>
    <row r="7" ht="15.75" customHeight="1">
      <c r="A7" s="14" t="s">
        <v>12</v>
      </c>
      <c r="B7" s="19">
        <v>131604.0</v>
      </c>
      <c r="C7" s="19">
        <v>145611.46</v>
      </c>
      <c r="D7" s="19">
        <v>176614.0</v>
      </c>
      <c r="E7" s="19">
        <v>110267.0</v>
      </c>
      <c r="F7" s="17">
        <f>71785.74</f>
        <v>71785.74</v>
      </c>
      <c r="G7" s="19">
        <v>54025.0</v>
      </c>
      <c r="H7" s="19">
        <v>114942.97</v>
      </c>
      <c r="I7" s="19">
        <v>111461.81</v>
      </c>
      <c r="J7" s="19">
        <v>172057.0</v>
      </c>
      <c r="K7" s="19">
        <v>52926.0</v>
      </c>
      <c r="L7" s="19">
        <v>52290.73</v>
      </c>
      <c r="M7" s="19">
        <v>77223.28</v>
      </c>
      <c r="N7" s="18">
        <f>sum(B7:M7)</f>
        <v>1270808.99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>
        <f>2430078.54*1.05+10416.48*1.05</f>
        <v>2562519.771</v>
      </c>
      <c r="C9" s="17">
        <f>2350403*1.05+7194.05*1.05+10*1.05</f>
        <v>2475487.403</v>
      </c>
      <c r="D9" s="17">
        <f>(2623906.93-148.12)*1.05+9790.08*1.05</f>
        <v>2765226.335</v>
      </c>
      <c r="E9" s="17">
        <f>2701704.98*1.05</f>
        <v>2836790.229</v>
      </c>
      <c r="F9" s="17">
        <f>2810915.09*1.05</f>
        <v>2951460.845</v>
      </c>
      <c r="G9" s="17">
        <f>2541942.94*1.05</f>
        <v>2669040.087</v>
      </c>
      <c r="H9" s="17">
        <f>2144586.16*1.05+7839.35*1.05</f>
        <v>2260046.786</v>
      </c>
      <c r="I9" s="17">
        <f>2540620.94*1.05+6152.28*1.05</f>
        <v>2674111.881</v>
      </c>
      <c r="J9" s="17">
        <f>2889105.4*1.05+7582.47*1.05</f>
        <v>3041522.264</v>
      </c>
      <c r="K9" s="19">
        <f>3180014*1.05+6344.71*1.05</f>
        <v>3345676.646</v>
      </c>
      <c r="L9" s="17">
        <f>4507882.21*1.05+7169.11*1.05</f>
        <v>4740803.886</v>
      </c>
      <c r="M9" s="17">
        <f>4152000.44*1.05+7408.53*1.05</f>
        <v>4367379.419</v>
      </c>
      <c r="N9" s="18">
        <f t="shared" ref="N9:N12" si="3">+SUM(B9:M9)</f>
        <v>36690065.55</v>
      </c>
      <c r="O9" s="20"/>
    </row>
    <row r="10" ht="15.75" customHeight="1">
      <c r="A10" s="22" t="s">
        <v>14</v>
      </c>
      <c r="B10" s="19">
        <v>0.0</v>
      </c>
      <c r="C10" s="19">
        <v>0.0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>
        <f t="shared" si="3"/>
        <v>0</v>
      </c>
      <c r="O10" s="20"/>
    </row>
    <row r="11" ht="15.75" customHeight="1">
      <c r="A11" s="22" t="s">
        <v>15</v>
      </c>
      <c r="B11" s="17">
        <f t="shared" ref="B11:M11" si="4">(B9+B10)/1.05*0.05</f>
        <v>122024.751</v>
      </c>
      <c r="C11" s="17">
        <f t="shared" si="4"/>
        <v>117880.3525</v>
      </c>
      <c r="D11" s="17">
        <f t="shared" si="4"/>
        <v>131677.4445</v>
      </c>
      <c r="E11" s="17">
        <f t="shared" si="4"/>
        <v>135085.249</v>
      </c>
      <c r="F11" s="17">
        <f t="shared" si="4"/>
        <v>140545.7545</v>
      </c>
      <c r="G11" s="17">
        <f t="shared" si="4"/>
        <v>127097.147</v>
      </c>
      <c r="H11" s="17">
        <f t="shared" si="4"/>
        <v>107621.2755</v>
      </c>
      <c r="I11" s="17">
        <f t="shared" si="4"/>
        <v>127338.661</v>
      </c>
      <c r="J11" s="17">
        <f t="shared" si="4"/>
        <v>144834.3935</v>
      </c>
      <c r="K11" s="17">
        <f t="shared" si="4"/>
        <v>159317.9355</v>
      </c>
      <c r="L11" s="17">
        <f t="shared" si="4"/>
        <v>225752.566</v>
      </c>
      <c r="M11" s="17">
        <f t="shared" si="4"/>
        <v>207970.4485</v>
      </c>
      <c r="N11" s="18">
        <f t="shared" si="3"/>
        <v>1747145.979</v>
      </c>
      <c r="O11" s="20"/>
    </row>
    <row r="12" ht="15.75" customHeight="1">
      <c r="A12" s="22" t="s">
        <v>16</v>
      </c>
      <c r="B12" s="19">
        <f>9923.48+1872.83+869.8+1294.95+156.56+233.09+23656.38+1490.52+4258.14+268.3</f>
        <v>44024.05</v>
      </c>
      <c r="C12" s="17">
        <f>17978.66+3236.18+16091.76+2070.8+2896.51+372.75+2285.45+411.38</f>
        <v>45343.49</v>
      </c>
      <c r="D12" s="17">
        <f>23333+4200.08+19127.34+3442+3657+658.28</f>
        <v>54417.7</v>
      </c>
      <c r="E12" s="17">
        <f>18265+2851+505.65+22643.73+4075.88+1541.04*1.18</f>
        <v>50159.6872</v>
      </c>
      <c r="F12" s="17">
        <f>+19343.87+3481.9+15486.66+2787+1989</f>
        <v>43088.43</v>
      </c>
      <c r="G12" s="17">
        <f>17458.14*1.18+13461.6*1.18+919.01*1.18</f>
        <v>37569.725</v>
      </c>
      <c r="H12" s="17">
        <f>18574.86*1.18+13613.57*1.18+5461.48*1.18</f>
        <v>44426.8938</v>
      </c>
      <c r="I12" s="17">
        <f>(7755.21+17699.47)*1.18+2262.27*1.18+1701.21*1.18+1737.63*1.18</f>
        <v>36763.8322</v>
      </c>
      <c r="J12" s="17">
        <f>21053.55*1.18+14490*1.18+4122.06*1.18</f>
        <v>46805.4198</v>
      </c>
      <c r="K12" s="17">
        <f>19855.98*1.18+13916.8*1.18</f>
        <v>39851.8804</v>
      </c>
      <c r="L12" s="17">
        <f>16584.96*1.18+22480.1*1.18</f>
        <v>46096.7708</v>
      </c>
      <c r="M12" s="17">
        <f>25949.79*1.18+24515.1*1.18</f>
        <v>59548.5702</v>
      </c>
      <c r="N12" s="18">
        <f t="shared" si="3"/>
        <v>548096.4494</v>
      </c>
      <c r="O12" s="20"/>
    </row>
    <row r="13" ht="15.75" customHeight="1">
      <c r="A13" s="24" t="s">
        <v>17</v>
      </c>
      <c r="B13" s="25">
        <f t="shared" ref="B13:M13" si="5">B9+B10-B11-B12</f>
        <v>2396470.97</v>
      </c>
      <c r="C13" s="25">
        <f t="shared" si="5"/>
        <v>2312263.56</v>
      </c>
      <c r="D13" s="25">
        <f t="shared" si="5"/>
        <v>2579131.19</v>
      </c>
      <c r="E13" s="25">
        <f t="shared" si="5"/>
        <v>2651545.293</v>
      </c>
      <c r="F13" s="26">
        <f t="shared" si="5"/>
        <v>2767826.66</v>
      </c>
      <c r="G13" s="26">
        <f t="shared" si="5"/>
        <v>2504373.215</v>
      </c>
      <c r="H13" s="25">
        <f t="shared" si="5"/>
        <v>2107998.616</v>
      </c>
      <c r="I13" s="25">
        <f t="shared" si="5"/>
        <v>2510009.388</v>
      </c>
      <c r="J13" s="25">
        <f t="shared" si="5"/>
        <v>2849882.45</v>
      </c>
      <c r="K13" s="25">
        <f t="shared" si="5"/>
        <v>3146506.83</v>
      </c>
      <c r="L13" s="25">
        <f t="shared" si="5"/>
        <v>4468954.549</v>
      </c>
      <c r="M13" s="25">
        <f t="shared" si="5"/>
        <v>4099860.4</v>
      </c>
      <c r="N13" s="25">
        <f t="shared" ref="N13:N29" si="7">sum(B13:M13)</f>
        <v>34394823.12</v>
      </c>
      <c r="O13" s="27"/>
    </row>
    <row r="14" ht="15.75" customHeight="1">
      <c r="A14" s="22" t="s">
        <v>18</v>
      </c>
      <c r="B14" s="28">
        <f t="shared" ref="B14:M14" si="6">+B3+B4-B5-B7</f>
        <v>605074.39</v>
      </c>
      <c r="C14" s="28">
        <f t="shared" si="6"/>
        <v>601359.45</v>
      </c>
      <c r="D14" s="28">
        <f t="shared" si="6"/>
        <v>681161.1</v>
      </c>
      <c r="E14" s="28">
        <f t="shared" si="6"/>
        <v>727859.31</v>
      </c>
      <c r="F14" s="28">
        <f t="shared" si="6"/>
        <v>691237.15</v>
      </c>
      <c r="G14" s="28">
        <f t="shared" si="6"/>
        <v>631574.7</v>
      </c>
      <c r="H14" s="28">
        <f t="shared" si="6"/>
        <v>527468.75</v>
      </c>
      <c r="I14" s="28">
        <f t="shared" si="6"/>
        <v>617450.43</v>
      </c>
      <c r="J14" s="28">
        <f t="shared" si="6"/>
        <v>816255.37</v>
      </c>
      <c r="K14" s="28">
        <f t="shared" si="6"/>
        <v>842230</v>
      </c>
      <c r="L14" s="28">
        <f t="shared" si="6"/>
        <v>1059159.37</v>
      </c>
      <c r="M14" s="28">
        <f t="shared" si="6"/>
        <v>966337.41</v>
      </c>
      <c r="N14" s="18">
        <f t="shared" si="7"/>
        <v>8767167.43</v>
      </c>
      <c r="O14" s="29">
        <f t="shared" ref="O14:O29" si="9">N14/$N$13</f>
        <v>0.2548978781</v>
      </c>
    </row>
    <row r="15" ht="15.75" customHeight="1">
      <c r="A15" s="22" t="s">
        <v>19</v>
      </c>
      <c r="B15" s="19">
        <f>153639+961892/12</f>
        <v>233796.6667</v>
      </c>
      <c r="C15" s="19">
        <f>191494+961892/12</f>
        <v>271651.6667</v>
      </c>
      <c r="D15" s="19">
        <f>191649+961892/12</f>
        <v>271806.6667</v>
      </c>
      <c r="E15" s="19">
        <f>151000+961892/12</f>
        <v>231157.6667</v>
      </c>
      <c r="F15" s="19">
        <f>151000+728+961892/12</f>
        <v>231885.6667</v>
      </c>
      <c r="G15" s="19">
        <f>138481+961892/12</f>
        <v>218638.6667</v>
      </c>
      <c r="H15" s="19">
        <f>132053++961892/12</f>
        <v>212210.6667</v>
      </c>
      <c r="I15" s="19">
        <f t="shared" ref="I15:J15" si="8">195973/2+961892/12</f>
        <v>178144.1667</v>
      </c>
      <c r="J15" s="19">
        <f t="shared" si="8"/>
        <v>178144.1667</v>
      </c>
      <c r="K15" s="19">
        <f>87485+961892/12</f>
        <v>167642.6667</v>
      </c>
      <c r="L15" s="19">
        <f>91020++961892/12</f>
        <v>171177.6667</v>
      </c>
      <c r="M15" s="17">
        <f>24000+961892/12+213288-91020</f>
        <v>226425.6667</v>
      </c>
      <c r="N15" s="18">
        <f t="shared" si="7"/>
        <v>2592682</v>
      </c>
      <c r="O15" s="29">
        <f t="shared" si="9"/>
        <v>0.07538000678</v>
      </c>
    </row>
    <row r="16" ht="15.75" customHeight="1">
      <c r="A16" s="22" t="s">
        <v>20</v>
      </c>
      <c r="B16" s="21">
        <v>1969.0</v>
      </c>
      <c r="C16" s="21">
        <v>1969.0</v>
      </c>
      <c r="D16" s="21">
        <v>1969.0</v>
      </c>
      <c r="E16" s="21">
        <v>1969.0</v>
      </c>
      <c r="F16" s="17">
        <f>5310/3</f>
        <v>1770</v>
      </c>
      <c r="G16" s="17">
        <f>5310/3+202</f>
        <v>1972</v>
      </c>
      <c r="H16" s="17">
        <f t="shared" ref="H16:I16" si="10">5310/3</f>
        <v>1770</v>
      </c>
      <c r="I16" s="55">
        <f t="shared" si="10"/>
        <v>1770</v>
      </c>
      <c r="J16" s="19">
        <v>1770.0</v>
      </c>
      <c r="K16" s="21">
        <f t="shared" ref="K16:L16" si="11">1770+202</f>
        <v>1972</v>
      </c>
      <c r="L16" s="21">
        <f t="shared" si="11"/>
        <v>1972</v>
      </c>
      <c r="M16" s="21">
        <v>1972.0</v>
      </c>
      <c r="N16" s="18">
        <f t="shared" si="7"/>
        <v>22844</v>
      </c>
      <c r="O16" s="29">
        <f t="shared" si="9"/>
        <v>0.0006641697188</v>
      </c>
    </row>
    <row r="17" ht="15.75" customHeight="1">
      <c r="A17" s="22" t="s">
        <v>21</v>
      </c>
      <c r="B17" s="19">
        <v>97556.0</v>
      </c>
      <c r="C17" s="19">
        <v>100500.0</v>
      </c>
      <c r="D17" s="19">
        <v>82175.0</v>
      </c>
      <c r="E17" s="19">
        <v>95100.0</v>
      </c>
      <c r="F17" s="17">
        <f>46545+62060</f>
        <v>108605</v>
      </c>
      <c r="G17" s="17">
        <f>72000</f>
        <v>72000</v>
      </c>
      <c r="H17" s="19">
        <v>81836.0</v>
      </c>
      <c r="I17" s="21">
        <v>90000.0</v>
      </c>
      <c r="J17" s="19">
        <v>85528.0</v>
      </c>
      <c r="K17" s="19">
        <v>99913.0</v>
      </c>
      <c r="L17" s="21">
        <f>115000</f>
        <v>115000</v>
      </c>
      <c r="M17" s="55">
        <f>184000-45000+30000</f>
        <v>169000</v>
      </c>
      <c r="N17" s="18">
        <f t="shared" si="7"/>
        <v>1197213</v>
      </c>
      <c r="O17" s="29">
        <f t="shared" si="9"/>
        <v>0.03480794176</v>
      </c>
    </row>
    <row r="18" ht="15.75" customHeight="1">
      <c r="A18" s="22" t="s">
        <v>22</v>
      </c>
      <c r="B18" s="17">
        <f t="shared" ref="B18:M18" si="12">1180000</f>
        <v>1180000</v>
      </c>
      <c r="C18" s="17">
        <f t="shared" si="12"/>
        <v>1180000</v>
      </c>
      <c r="D18" s="17">
        <f t="shared" si="12"/>
        <v>1180000</v>
      </c>
      <c r="E18" s="17">
        <f t="shared" si="12"/>
        <v>1180000</v>
      </c>
      <c r="F18" s="17">
        <f t="shared" si="12"/>
        <v>1180000</v>
      </c>
      <c r="G18" s="17">
        <f t="shared" si="12"/>
        <v>1180000</v>
      </c>
      <c r="H18" s="17">
        <f t="shared" si="12"/>
        <v>1180000</v>
      </c>
      <c r="I18" s="17">
        <f t="shared" si="12"/>
        <v>1180000</v>
      </c>
      <c r="J18" s="17">
        <f t="shared" si="12"/>
        <v>1180000</v>
      </c>
      <c r="K18" s="17">
        <f t="shared" si="12"/>
        <v>1180000</v>
      </c>
      <c r="L18" s="17">
        <f t="shared" si="12"/>
        <v>1180000</v>
      </c>
      <c r="M18" s="17">
        <f t="shared" si="12"/>
        <v>1180000</v>
      </c>
      <c r="N18" s="18">
        <f t="shared" si="7"/>
        <v>14160000</v>
      </c>
      <c r="O18" s="29">
        <f t="shared" si="9"/>
        <v>0.4116898625</v>
      </c>
    </row>
    <row r="19" ht="15.75" customHeight="1">
      <c r="A19" s="30" t="s">
        <v>23</v>
      </c>
      <c r="B19" s="19">
        <v>0.0</v>
      </c>
      <c r="C19" s="17">
        <f t="shared" ref="C19:M19" si="13">32829.89/12</f>
        <v>2735.824167</v>
      </c>
      <c r="D19" s="17">
        <f t="shared" si="13"/>
        <v>2735.824167</v>
      </c>
      <c r="E19" s="17">
        <f t="shared" si="13"/>
        <v>2735.824167</v>
      </c>
      <c r="F19" s="17">
        <f t="shared" si="13"/>
        <v>2735.824167</v>
      </c>
      <c r="G19" s="17">
        <f t="shared" si="13"/>
        <v>2735.824167</v>
      </c>
      <c r="H19" s="17">
        <f t="shared" si="13"/>
        <v>2735.824167</v>
      </c>
      <c r="I19" s="17">
        <f t="shared" si="13"/>
        <v>2735.824167</v>
      </c>
      <c r="J19" s="17">
        <f t="shared" si="13"/>
        <v>2735.824167</v>
      </c>
      <c r="K19" s="17">
        <f t="shared" si="13"/>
        <v>2735.824167</v>
      </c>
      <c r="L19" s="17">
        <f t="shared" si="13"/>
        <v>2735.824167</v>
      </c>
      <c r="M19" s="17">
        <f t="shared" si="13"/>
        <v>2735.824167</v>
      </c>
      <c r="N19" s="18">
        <f t="shared" si="7"/>
        <v>30094.06583</v>
      </c>
      <c r="O19" s="29">
        <f t="shared" si="9"/>
        <v>0.0008749591684</v>
      </c>
    </row>
    <row r="20" ht="15.75" customHeight="1">
      <c r="A20" s="22" t="s">
        <v>24</v>
      </c>
      <c r="B20" s="17">
        <f t="shared" ref="B20:G20" si="14">112336/12</f>
        <v>9361.333333</v>
      </c>
      <c r="C20" s="17">
        <f t="shared" si="14"/>
        <v>9361.333333</v>
      </c>
      <c r="D20" s="17">
        <f t="shared" si="14"/>
        <v>9361.333333</v>
      </c>
      <c r="E20" s="17">
        <f t="shared" si="14"/>
        <v>9361.333333</v>
      </c>
      <c r="F20" s="17">
        <f t="shared" si="14"/>
        <v>9361.333333</v>
      </c>
      <c r="G20" s="17">
        <f t="shared" si="14"/>
        <v>9361.333333</v>
      </c>
      <c r="H20" s="17">
        <f t="shared" ref="H20:M20" si="15">93279/12</f>
        <v>7773.25</v>
      </c>
      <c r="I20" s="17">
        <f t="shared" si="15"/>
        <v>7773.25</v>
      </c>
      <c r="J20" s="17">
        <f t="shared" si="15"/>
        <v>7773.25</v>
      </c>
      <c r="K20" s="17">
        <f t="shared" si="15"/>
        <v>7773.25</v>
      </c>
      <c r="L20" s="17">
        <f t="shared" si="15"/>
        <v>7773.25</v>
      </c>
      <c r="M20" s="17">
        <f t="shared" si="15"/>
        <v>7773.25</v>
      </c>
      <c r="N20" s="18">
        <f t="shared" si="7"/>
        <v>102807.5</v>
      </c>
      <c r="O20" s="29">
        <f t="shared" si="9"/>
        <v>0.002989039939</v>
      </c>
    </row>
    <row r="21" ht="15.75" customHeight="1">
      <c r="A21" s="22" t="s">
        <v>25</v>
      </c>
      <c r="B21" s="17">
        <f>18000+514052.03+1750+174208/12</f>
        <v>548319.3633</v>
      </c>
      <c r="C21" s="17">
        <f>498600+18000+174208/12</f>
        <v>531117.3333</v>
      </c>
      <c r="D21" s="17">
        <f>486581+18000+174208/12</f>
        <v>519098.3333</v>
      </c>
      <c r="E21" s="17">
        <f>450710+18000+34193+174208/12</f>
        <v>517420.3333</v>
      </c>
      <c r="F21" s="17">
        <f>411311+18000+43225+174208/12</f>
        <v>487053.3333</v>
      </c>
      <c r="G21" s="17">
        <f>445584.47+42666+18000+174208/12</f>
        <v>520767.8033</v>
      </c>
      <c r="H21" s="17">
        <f>174208/12+448835+34838.6+18000</f>
        <v>516190.9333</v>
      </c>
      <c r="I21" s="17">
        <f>174208/12+18000+40000+449066.67</f>
        <v>521584.0033</v>
      </c>
      <c r="J21" s="17">
        <f>174208/12+453934+18000+41935</f>
        <v>528386.3333</v>
      </c>
      <c r="K21" s="17">
        <f>174208/12+18000+42580+2975+447023</f>
        <v>525095.3333</v>
      </c>
      <c r="L21" s="17">
        <f>174208/12+530923+18000+28571</f>
        <v>592011.3333</v>
      </c>
      <c r="M21" s="17">
        <f>174208/12+18000+40645+500050</f>
        <v>573212.3333</v>
      </c>
      <c r="N21" s="18">
        <f t="shared" si="7"/>
        <v>6380256.77</v>
      </c>
      <c r="O21" s="29">
        <f t="shared" si="9"/>
        <v>0.1855004966</v>
      </c>
    </row>
    <row r="22" ht="15.75" customHeight="1">
      <c r="A22" s="14" t="s">
        <v>26</v>
      </c>
      <c r="B22" s="83">
        <f>4720+7080</f>
        <v>11800</v>
      </c>
      <c r="C22" s="55">
        <f t="shared" ref="C22:D22" si="16">5192+7080</f>
        <v>12272</v>
      </c>
      <c r="D22" s="17">
        <f t="shared" si="16"/>
        <v>12272</v>
      </c>
      <c r="E22" s="17">
        <f>7080+5192</f>
        <v>12272</v>
      </c>
      <c r="F22" s="17">
        <f t="shared" ref="F22:G22" si="17">5192+7080</f>
        <v>12272</v>
      </c>
      <c r="G22" s="17">
        <f t="shared" si="17"/>
        <v>12272</v>
      </c>
      <c r="H22" s="17">
        <f>7080+5192</f>
        <v>12272</v>
      </c>
      <c r="I22" s="17">
        <f>4720+7080</f>
        <v>11800</v>
      </c>
      <c r="J22" s="17">
        <f>7080+4720</f>
        <v>11800</v>
      </c>
      <c r="K22" s="17">
        <f t="shared" ref="K22:M22" si="18">4720+7080</f>
        <v>11800</v>
      </c>
      <c r="L22" s="17">
        <f t="shared" si="18"/>
        <v>11800</v>
      </c>
      <c r="M22" s="17">
        <f t="shared" si="18"/>
        <v>11800</v>
      </c>
      <c r="N22" s="18">
        <f t="shared" si="7"/>
        <v>144432</v>
      </c>
      <c r="O22" s="29">
        <f t="shared" si="9"/>
        <v>0.004199236597</v>
      </c>
    </row>
    <row r="23" ht="15.75" customHeight="1">
      <c r="A23" s="33" t="s">
        <v>27</v>
      </c>
      <c r="B23" s="19">
        <f t="shared" ref="B23:J23" si="19">2124/3</f>
        <v>708</v>
      </c>
      <c r="C23" s="19">
        <f t="shared" si="19"/>
        <v>708</v>
      </c>
      <c r="D23" s="19">
        <f t="shared" si="19"/>
        <v>708</v>
      </c>
      <c r="E23" s="19">
        <f t="shared" si="19"/>
        <v>708</v>
      </c>
      <c r="F23" s="19">
        <f t="shared" si="19"/>
        <v>708</v>
      </c>
      <c r="G23" s="19">
        <f t="shared" si="19"/>
        <v>708</v>
      </c>
      <c r="H23" s="19">
        <f t="shared" si="19"/>
        <v>708</v>
      </c>
      <c r="I23" s="19">
        <f t="shared" si="19"/>
        <v>708</v>
      </c>
      <c r="J23" s="19">
        <f t="shared" si="19"/>
        <v>708</v>
      </c>
      <c r="K23" s="17">
        <f t="shared" ref="K23:M23" si="20">3304/3</f>
        <v>1101.333333</v>
      </c>
      <c r="L23" s="17">
        <f t="shared" si="20"/>
        <v>1101.333333</v>
      </c>
      <c r="M23" s="17">
        <f t="shared" si="20"/>
        <v>1101.333333</v>
      </c>
      <c r="N23" s="18">
        <f t="shared" si="7"/>
        <v>9676</v>
      </c>
      <c r="O23" s="29">
        <f t="shared" si="9"/>
        <v>0.000281321406</v>
      </c>
    </row>
    <row r="24" ht="15.75" customHeight="1">
      <c r="A24" s="22" t="s">
        <v>28</v>
      </c>
      <c r="B24" s="31">
        <v>2130.0</v>
      </c>
      <c r="C24" s="31">
        <v>0.0</v>
      </c>
      <c r="D24" s="31">
        <v>5464.0</v>
      </c>
      <c r="E24" s="31">
        <v>0.0</v>
      </c>
      <c r="F24" s="19">
        <v>33346.0</v>
      </c>
      <c r="G24" s="17">
        <f>25018</f>
        <v>25018</v>
      </c>
      <c r="H24" s="19">
        <v>10587.0</v>
      </c>
      <c r="I24" s="19">
        <v>0.0</v>
      </c>
      <c r="J24" s="19">
        <v>4530.0</v>
      </c>
      <c r="K24" s="19">
        <v>12708.0</v>
      </c>
      <c r="L24" s="19">
        <v>1650.0</v>
      </c>
      <c r="M24" s="19">
        <v>0.0</v>
      </c>
      <c r="N24" s="18">
        <f t="shared" si="7"/>
        <v>95433</v>
      </c>
      <c r="O24" s="29">
        <f t="shared" si="9"/>
        <v>0.002774632673</v>
      </c>
    </row>
    <row r="25" ht="15.75" customHeight="1">
      <c r="A25" s="22" t="s">
        <v>29</v>
      </c>
      <c r="B25" s="19">
        <v>20806.85</v>
      </c>
      <c r="C25" s="19">
        <v>10005.0</v>
      </c>
      <c r="D25" s="19">
        <v>8401.0</v>
      </c>
      <c r="E25" s="19">
        <v>6355.68</v>
      </c>
      <c r="F25" s="19">
        <v>27118.0</v>
      </c>
      <c r="G25" s="17">
        <f>26250.47</f>
        <v>26250.47</v>
      </c>
      <c r="H25" s="19">
        <v>19419.0</v>
      </c>
      <c r="I25" s="19">
        <v>23127.41</v>
      </c>
      <c r="J25" s="19">
        <v>23513.8</v>
      </c>
      <c r="K25" s="19">
        <v>26854.0</v>
      </c>
      <c r="L25" s="17">
        <f>106951</f>
        <v>106951</v>
      </c>
      <c r="M25" s="19">
        <v>30328.47</v>
      </c>
      <c r="N25" s="18">
        <f t="shared" si="7"/>
        <v>329130.68</v>
      </c>
      <c r="O25" s="29">
        <f t="shared" si="9"/>
        <v>0.0095691924</v>
      </c>
    </row>
    <row r="26" ht="15.75" customHeight="1">
      <c r="A26" s="22" t="s">
        <v>30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>
        <f t="shared" si="7"/>
        <v>0</v>
      </c>
      <c r="O26" s="29">
        <f t="shared" si="9"/>
        <v>0</v>
      </c>
    </row>
    <row r="27" ht="15.75" customHeight="1">
      <c r="A27" s="22" t="s">
        <v>31</v>
      </c>
      <c r="B27" s="17">
        <f>HO!D36</f>
        <v>436388.8077</v>
      </c>
      <c r="C27" s="17">
        <f>HO!H36</f>
        <v>407759.5595</v>
      </c>
      <c r="D27" s="17">
        <f>HO!L36</f>
        <v>444968.0964</v>
      </c>
      <c r="E27" s="17">
        <f>HO!P36</f>
        <v>465371.3839</v>
      </c>
      <c r="F27" s="17">
        <f>HO!D49</f>
        <v>500199.8935</v>
      </c>
      <c r="G27" s="17">
        <f>HO!H49</f>
        <v>450943.673</v>
      </c>
      <c r="H27" s="17">
        <f>HO!L49</f>
        <v>405671.7566</v>
      </c>
      <c r="I27" s="17">
        <f>HO!P49</f>
        <v>448011.1255</v>
      </c>
      <c r="J27" s="17">
        <f>HO!D63</f>
        <v>504557.7591</v>
      </c>
      <c r="K27" s="17">
        <f>HO!H63</f>
        <v>483491.7111</v>
      </c>
      <c r="L27" s="17">
        <f>HO!L63</f>
        <v>693434.6211</v>
      </c>
      <c r="M27" s="17">
        <f>HO!P63</f>
        <v>649214.4283</v>
      </c>
      <c r="N27" s="18">
        <f t="shared" si="7"/>
        <v>5890012.816</v>
      </c>
      <c r="O27" s="29">
        <f t="shared" si="9"/>
        <v>0.1712470739</v>
      </c>
    </row>
    <row r="28" ht="15.75" customHeight="1">
      <c r="A28" s="34" t="s">
        <v>32</v>
      </c>
      <c r="B28" s="35">
        <f t="shared" ref="B28:M28" si="21">+SUM(B14:B27)</f>
        <v>3147910.411</v>
      </c>
      <c r="C28" s="35">
        <f t="shared" si="21"/>
        <v>3129439.167</v>
      </c>
      <c r="D28" s="35">
        <f t="shared" si="21"/>
        <v>3220120.354</v>
      </c>
      <c r="E28" s="35">
        <f t="shared" si="21"/>
        <v>3250310.531</v>
      </c>
      <c r="F28" s="36">
        <f t="shared" si="21"/>
        <v>3286292.201</v>
      </c>
      <c r="G28" s="35">
        <f t="shared" si="21"/>
        <v>3152242.471</v>
      </c>
      <c r="H28" s="35">
        <f t="shared" si="21"/>
        <v>2978643.181</v>
      </c>
      <c r="I28" s="35">
        <f t="shared" si="21"/>
        <v>3083104.21</v>
      </c>
      <c r="J28" s="35">
        <f t="shared" si="21"/>
        <v>3345702.503</v>
      </c>
      <c r="K28" s="35">
        <f t="shared" si="21"/>
        <v>3363317.119</v>
      </c>
      <c r="L28" s="35">
        <f t="shared" si="21"/>
        <v>3944766.399</v>
      </c>
      <c r="M28" s="35">
        <f t="shared" si="21"/>
        <v>3819900.716</v>
      </c>
      <c r="N28" s="35">
        <f t="shared" si="7"/>
        <v>39721749.26</v>
      </c>
      <c r="O28" s="37">
        <f t="shared" si="9"/>
        <v>1.154875811</v>
      </c>
    </row>
    <row r="29" ht="15.75" customHeight="1">
      <c r="A29" s="38" t="s">
        <v>33</v>
      </c>
      <c r="B29" s="39">
        <f t="shared" ref="B29:M29" si="22">B13-B28</f>
        <v>-751439.441</v>
      </c>
      <c r="C29" s="39">
        <f t="shared" si="22"/>
        <v>-817175.607</v>
      </c>
      <c r="D29" s="39">
        <f t="shared" si="22"/>
        <v>-640989.1639</v>
      </c>
      <c r="E29" s="39">
        <f t="shared" si="22"/>
        <v>-598765.2386</v>
      </c>
      <c r="F29" s="39">
        <f t="shared" si="22"/>
        <v>-518465.541</v>
      </c>
      <c r="G29" s="39">
        <f t="shared" si="22"/>
        <v>-647869.2555</v>
      </c>
      <c r="H29" s="39">
        <f t="shared" si="22"/>
        <v>-870644.5646</v>
      </c>
      <c r="I29" s="39">
        <f t="shared" si="22"/>
        <v>-573094.8218</v>
      </c>
      <c r="J29" s="39">
        <f t="shared" si="22"/>
        <v>-495820.0531</v>
      </c>
      <c r="K29" s="39">
        <f t="shared" si="22"/>
        <v>-216810.289</v>
      </c>
      <c r="L29" s="39">
        <f t="shared" si="22"/>
        <v>524188.1506</v>
      </c>
      <c r="M29" s="39">
        <f t="shared" si="22"/>
        <v>279959.684</v>
      </c>
      <c r="N29" s="39">
        <f t="shared" si="7"/>
        <v>-5326926.141</v>
      </c>
      <c r="O29" s="40">
        <f t="shared" si="9"/>
        <v>-0.1548758115</v>
      </c>
    </row>
    <row r="30" ht="15.75" customHeight="1">
      <c r="A30" s="41" t="s">
        <v>34</v>
      </c>
      <c r="B30" s="42">
        <f t="shared" ref="B30:M30" si="23">(B14/B13)</f>
        <v>0.2524855913</v>
      </c>
      <c r="C30" s="42">
        <f t="shared" si="23"/>
        <v>0.2600739208</v>
      </c>
      <c r="D30" s="42">
        <f t="shared" si="23"/>
        <v>0.264104867</v>
      </c>
      <c r="E30" s="42">
        <f t="shared" si="23"/>
        <v>0.2745038193</v>
      </c>
      <c r="F30" s="43">
        <f t="shared" si="23"/>
        <v>0.2497400433</v>
      </c>
      <c r="G30" s="42">
        <f t="shared" si="23"/>
        <v>0.2521887298</v>
      </c>
      <c r="H30" s="42">
        <f t="shared" si="23"/>
        <v>0.2502225314</v>
      </c>
      <c r="I30" s="42">
        <f t="shared" si="23"/>
        <v>0.2459952672</v>
      </c>
      <c r="J30" s="42">
        <f t="shared" si="23"/>
        <v>0.2864172064</v>
      </c>
      <c r="K30" s="42">
        <f t="shared" si="23"/>
        <v>0.2676714355</v>
      </c>
      <c r="L30" s="42">
        <f t="shared" si="23"/>
        <v>0.2370038358</v>
      </c>
      <c r="M30" s="42">
        <f t="shared" si="23"/>
        <v>0.2357000765</v>
      </c>
      <c r="N30" s="44"/>
      <c r="O30" s="44"/>
    </row>
    <row r="31" ht="15.75" customHeight="1"/>
    <row r="32" ht="15.75" customHeight="1">
      <c r="B32" s="58">
        <f t="shared" ref="B32:M32" si="24">B29+B27</f>
        <v>-315050.6333</v>
      </c>
      <c r="C32" s="58">
        <f t="shared" si="24"/>
        <v>-409416.0475</v>
      </c>
      <c r="D32" s="58">
        <f t="shared" si="24"/>
        <v>-196021.0675</v>
      </c>
      <c r="E32" s="58">
        <f t="shared" si="24"/>
        <v>-133393.8547</v>
      </c>
      <c r="F32" s="58">
        <f t="shared" si="24"/>
        <v>-18265.6475</v>
      </c>
      <c r="G32" s="58">
        <f t="shared" si="24"/>
        <v>-196925.5825</v>
      </c>
      <c r="H32" s="58">
        <f t="shared" si="24"/>
        <v>-464972.808</v>
      </c>
      <c r="I32" s="58">
        <f t="shared" si="24"/>
        <v>-125083.6964</v>
      </c>
      <c r="J32" s="58">
        <f t="shared" si="24"/>
        <v>8737.706033</v>
      </c>
      <c r="K32" s="58">
        <f t="shared" si="24"/>
        <v>266681.4221</v>
      </c>
      <c r="L32" s="58">
        <f t="shared" si="24"/>
        <v>1217622.772</v>
      </c>
      <c r="M32" s="58">
        <f t="shared" si="24"/>
        <v>929174.1123</v>
      </c>
    </row>
    <row r="33" ht="15.75" customHeight="1">
      <c r="B33" s="59">
        <f t="shared" ref="B33:M33" si="25">B32/B13</f>
        <v>-0.1314644063</v>
      </c>
      <c r="C33" s="59">
        <f t="shared" si="25"/>
        <v>-0.177062881</v>
      </c>
      <c r="D33" s="59">
        <f t="shared" si="25"/>
        <v>-0.07600275173</v>
      </c>
      <c r="E33" s="59">
        <f t="shared" si="25"/>
        <v>-0.05030796761</v>
      </c>
      <c r="F33" s="59">
        <f t="shared" si="25"/>
        <v>-0.006599274356</v>
      </c>
      <c r="G33" s="59">
        <f t="shared" si="25"/>
        <v>-0.07863268195</v>
      </c>
      <c r="H33" s="59">
        <f t="shared" si="25"/>
        <v>-0.2205754806</v>
      </c>
      <c r="I33" s="59">
        <f t="shared" si="25"/>
        <v>-0.04983395559</v>
      </c>
      <c r="J33" s="59">
        <f t="shared" si="25"/>
        <v>0.003065988224</v>
      </c>
      <c r="K33" s="59">
        <f t="shared" si="25"/>
        <v>0.08475475711</v>
      </c>
      <c r="L33" s="59">
        <f t="shared" si="25"/>
        <v>0.2724625543</v>
      </c>
      <c r="M33" s="59">
        <f t="shared" si="25"/>
        <v>0.2266355489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43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16">
        <v>78958.0</v>
      </c>
      <c r="C3" s="23">
        <f t="shared" ref="C3:M3" si="1">B7</f>
        <v>55358</v>
      </c>
      <c r="D3" s="23">
        <f t="shared" si="1"/>
        <v>60812.82</v>
      </c>
      <c r="E3" s="17">
        <f t="shared" si="1"/>
        <v>58295</v>
      </c>
      <c r="F3" s="17">
        <f t="shared" si="1"/>
        <v>101648</v>
      </c>
      <c r="G3" s="17">
        <f t="shared" si="1"/>
        <v>138147.56</v>
      </c>
      <c r="H3" s="17">
        <f t="shared" si="1"/>
        <v>125279</v>
      </c>
      <c r="I3" s="17">
        <f t="shared" si="1"/>
        <v>135028</v>
      </c>
      <c r="J3" s="17">
        <f t="shared" si="1"/>
        <v>160292.87</v>
      </c>
      <c r="K3" s="17">
        <f t="shared" si="1"/>
        <v>155683</v>
      </c>
      <c r="L3" s="17">
        <f t="shared" si="1"/>
        <v>148105</v>
      </c>
      <c r="M3" s="17">
        <f t="shared" si="1"/>
        <v>108316.14</v>
      </c>
      <c r="N3" s="18">
        <f>+SUM(J3:L3)</f>
        <v>464080.87</v>
      </c>
      <c r="O3" s="20"/>
    </row>
    <row r="4" ht="15.75" customHeight="1">
      <c r="A4" s="14" t="s">
        <v>9</v>
      </c>
      <c r="B4" s="50">
        <v>321066.13</v>
      </c>
      <c r="C4" s="50">
        <v>404521.9</v>
      </c>
      <c r="D4" s="50">
        <v>414481.78</v>
      </c>
      <c r="E4" s="19">
        <v>462946.55</v>
      </c>
      <c r="F4" s="19">
        <v>470724.0</v>
      </c>
      <c r="G4" s="19">
        <v>362752.08</v>
      </c>
      <c r="H4" s="19">
        <v>389411.55</v>
      </c>
      <c r="I4" s="17">
        <f>381061.24</f>
        <v>381061.24</v>
      </c>
      <c r="J4" s="19">
        <v>398273.0</v>
      </c>
      <c r="K4" s="19">
        <v>460181.0</v>
      </c>
      <c r="L4" s="19">
        <v>401477.98</v>
      </c>
      <c r="M4" s="19">
        <v>525695.97</v>
      </c>
      <c r="N4" s="18">
        <f>sum(B4:M4)</f>
        <v>4992593.18</v>
      </c>
      <c r="O4" s="20"/>
    </row>
    <row r="5" ht="15.75" customHeight="1">
      <c r="A5" s="14" t="s">
        <v>10</v>
      </c>
      <c r="B5" s="50">
        <v>0.0</v>
      </c>
      <c r="C5" s="50">
        <v>0.0</v>
      </c>
      <c r="D5" s="50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8">
        <f t="shared" ref="N5:N6" si="2">+SUM(J5:L5)</f>
        <v>0</v>
      </c>
      <c r="O5" s="20"/>
    </row>
    <row r="6" ht="15.75" customHeight="1">
      <c r="A6" s="14" t="s">
        <v>11</v>
      </c>
      <c r="B6" s="50">
        <v>29120.0</v>
      </c>
      <c r="C6" s="50">
        <v>29093.54</v>
      </c>
      <c r="D6" s="50">
        <v>27548.0</v>
      </c>
      <c r="E6" s="19">
        <v>30161.0</v>
      </c>
      <c r="F6" s="19">
        <v>31076.73</v>
      </c>
      <c r="G6" s="19">
        <v>38116.0</v>
      </c>
      <c r="H6" s="19">
        <v>29838.0</v>
      </c>
      <c r="I6" s="19">
        <v>22199.78</v>
      </c>
      <c r="J6" s="19">
        <v>28347.0</v>
      </c>
      <c r="K6" s="19">
        <v>30924.0</v>
      </c>
      <c r="L6" s="19">
        <v>30485.51</v>
      </c>
      <c r="M6" s="19">
        <v>35340.0</v>
      </c>
      <c r="N6" s="18">
        <f t="shared" si="2"/>
        <v>89756.51</v>
      </c>
      <c r="O6" s="20"/>
    </row>
    <row r="7" ht="15.75" customHeight="1">
      <c r="A7" s="14" t="s">
        <v>12</v>
      </c>
      <c r="B7" s="50">
        <v>55358.0</v>
      </c>
      <c r="C7" s="50">
        <v>60812.82</v>
      </c>
      <c r="D7" s="50">
        <v>58295.0</v>
      </c>
      <c r="E7" s="19">
        <v>101648.0</v>
      </c>
      <c r="F7" s="19">
        <v>138147.56</v>
      </c>
      <c r="G7" s="19">
        <v>125279.0</v>
      </c>
      <c r="H7" s="19">
        <v>135028.0</v>
      </c>
      <c r="I7" s="19">
        <v>160292.87</v>
      </c>
      <c r="J7" s="19">
        <v>155683.0</v>
      </c>
      <c r="K7" s="19">
        <v>148105.0</v>
      </c>
      <c r="L7" s="19">
        <v>108316.14</v>
      </c>
      <c r="M7" s="19">
        <v>104699.97</v>
      </c>
      <c r="N7" s="18">
        <f>sum(B7:M7)</f>
        <v>1351665.36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>
        <f>1398384.43*1.05+18404.84*1.05</f>
        <v>1487628.734</v>
      </c>
      <c r="C9" s="17">
        <f>1745448.86*1.05+26883.67*1.05</f>
        <v>1860949.157</v>
      </c>
      <c r="D9" s="17">
        <f>(1694569.15-163.02)*1.05+27224.37*1.05</f>
        <v>1807712.025</v>
      </c>
      <c r="E9" s="17">
        <f>1709367.9*1.05</f>
        <v>1794836.295</v>
      </c>
      <c r="F9" s="17">
        <f>1795423.15*1.05</f>
        <v>1885194.308</v>
      </c>
      <c r="G9" s="17">
        <f>1477963*1.05</f>
        <v>1551861.15</v>
      </c>
      <c r="H9" s="17">
        <f>1618159.73*1.05+30363.23*1.05</f>
        <v>1730949.108</v>
      </c>
      <c r="I9" s="17">
        <f>1419174*1.05+116970.67*1.05+21828.87*1.05+70293*1.05+27475*1.05</f>
        <v>1738528.617</v>
      </c>
      <c r="J9" s="17">
        <f>1687342</f>
        <v>1687342</v>
      </c>
      <c r="K9" s="19">
        <f>1929818.81*1.05+27669.61*1.05</f>
        <v>2055362.841</v>
      </c>
      <c r="L9" s="17">
        <f>1808724.29*1.05+36707.9*1.05</f>
        <v>1937703.8</v>
      </c>
      <c r="M9" s="17">
        <f>2134101.58*1.05+46165.95*1.05</f>
        <v>2289280.907</v>
      </c>
      <c r="N9" s="18">
        <f t="shared" ref="N9:N12" si="3">+SUM(B9:M9)</f>
        <v>21827348.94</v>
      </c>
      <c r="O9" s="20"/>
    </row>
    <row r="10" ht="15.75" customHeight="1">
      <c r="A10" s="22" t="s">
        <v>14</v>
      </c>
      <c r="B10" s="19">
        <v>0.0</v>
      </c>
      <c r="C10" s="19">
        <v>0.0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>
        <f t="shared" si="3"/>
        <v>0</v>
      </c>
      <c r="O10" s="20"/>
    </row>
    <row r="11" ht="15.75" customHeight="1">
      <c r="A11" s="22" t="s">
        <v>15</v>
      </c>
      <c r="B11" s="17">
        <f t="shared" ref="B11:M11" si="4">(B9+B10)/1.05*0.05</f>
        <v>70839.4635</v>
      </c>
      <c r="C11" s="17">
        <f t="shared" si="4"/>
        <v>88616.6265</v>
      </c>
      <c r="D11" s="17">
        <f t="shared" si="4"/>
        <v>86081.525</v>
      </c>
      <c r="E11" s="17">
        <f t="shared" si="4"/>
        <v>85468.395</v>
      </c>
      <c r="F11" s="17">
        <f t="shared" si="4"/>
        <v>89771.1575</v>
      </c>
      <c r="G11" s="17">
        <f t="shared" si="4"/>
        <v>73898.15</v>
      </c>
      <c r="H11" s="17">
        <f t="shared" si="4"/>
        <v>82426.148</v>
      </c>
      <c r="I11" s="17">
        <f t="shared" si="4"/>
        <v>82787.077</v>
      </c>
      <c r="J11" s="17">
        <f t="shared" si="4"/>
        <v>80349.61905</v>
      </c>
      <c r="K11" s="17">
        <f t="shared" si="4"/>
        <v>97874.421</v>
      </c>
      <c r="L11" s="17">
        <f t="shared" si="4"/>
        <v>92271.6095</v>
      </c>
      <c r="M11" s="17">
        <f t="shared" si="4"/>
        <v>109013.3765</v>
      </c>
      <c r="N11" s="18">
        <f t="shared" si="3"/>
        <v>1039397.569</v>
      </c>
      <c r="O11" s="20"/>
    </row>
    <row r="12" ht="15.75" customHeight="1">
      <c r="A12" s="22" t="s">
        <v>16</v>
      </c>
      <c r="B12" s="19">
        <f>38487.92+6927.83+225.12-26.28+40.52-4.73+42502.43+778.56+7650.42+140.14</f>
        <v>96721.93</v>
      </c>
      <c r="C12" s="17">
        <f>63406.76+11413.22+41773.88+10633.61+7519.3+957.03+669.51+120.51</f>
        <v>136493.82</v>
      </c>
      <c r="D12" s="17">
        <f>64358.46+11584.52+52812.99+9508+293.11+52.76</f>
        <v>138609.84</v>
      </c>
      <c r="E12" s="17">
        <f>57556.99+10360+72474.81+13045.46+4135.23*1.18</f>
        <v>158316.8314</v>
      </c>
      <c r="F12" s="17">
        <f>74642.55+13435.66+59181.52+10652.65+1989</f>
        <v>159901.38</v>
      </c>
      <c r="G12" s="17">
        <f>66657.35*1.18+52586.69*1.18+2625*1.18</f>
        <v>143805.4672</v>
      </c>
      <c r="H12" s="17">
        <f>71357.49*1.18+59254.82*1.18+4032.67*1.18</f>
        <v>158881.0764</v>
      </c>
      <c r="I12" s="17">
        <f>(38281.76+55889.89)*1.18+2481.33*1.18+18476.43*1.18+2318.87*1.18</f>
        <v>138588.9704</v>
      </c>
      <c r="J12" s="17">
        <f>58886.79*1.18+58695.19*1.18+1959.94*1.18</f>
        <v>141059.4656</v>
      </c>
      <c r="K12" s="17">
        <f>66782.03*1.18+66864*1.18+4003.08*1.18</f>
        <v>162425.9498</v>
      </c>
      <c r="L12" s="17">
        <f>58662.31*1.18+87621.45*1.18+2575.36*1.18</f>
        <v>175653.7616</v>
      </c>
      <c r="M12" s="17">
        <f>73628.42*1.18+109052.14*1.18+4061.21*1.18</f>
        <v>220355.2886</v>
      </c>
      <c r="N12" s="18">
        <f t="shared" si="3"/>
        <v>1830813.781</v>
      </c>
      <c r="O12" s="20"/>
    </row>
    <row r="13" ht="15.75" customHeight="1">
      <c r="A13" s="24" t="s">
        <v>17</v>
      </c>
      <c r="B13" s="25">
        <f t="shared" ref="B13:M13" si="5">B9+B10-B11-B12</f>
        <v>1320067.34</v>
      </c>
      <c r="C13" s="25">
        <f t="shared" si="5"/>
        <v>1635838.71</v>
      </c>
      <c r="D13" s="25">
        <f t="shared" si="5"/>
        <v>1583020.66</v>
      </c>
      <c r="E13" s="25">
        <f t="shared" si="5"/>
        <v>1551051.069</v>
      </c>
      <c r="F13" s="26">
        <f t="shared" si="5"/>
        <v>1635521.77</v>
      </c>
      <c r="G13" s="26">
        <f t="shared" si="5"/>
        <v>1334157.533</v>
      </c>
      <c r="H13" s="25">
        <f t="shared" si="5"/>
        <v>1489641.884</v>
      </c>
      <c r="I13" s="25">
        <f t="shared" si="5"/>
        <v>1517152.57</v>
      </c>
      <c r="J13" s="25">
        <f t="shared" si="5"/>
        <v>1465932.915</v>
      </c>
      <c r="K13" s="25">
        <f t="shared" si="5"/>
        <v>1795062.47</v>
      </c>
      <c r="L13" s="25">
        <f t="shared" si="5"/>
        <v>1669778.428</v>
      </c>
      <c r="M13" s="25">
        <f t="shared" si="5"/>
        <v>1959912.241</v>
      </c>
      <c r="N13" s="25">
        <f t="shared" ref="N13:N29" si="7">sum(B13:M13)</f>
        <v>18957137.59</v>
      </c>
      <c r="O13" s="27">
        <f t="shared" ref="O13:O18" si="8">N13/$N$7</f>
        <v>14.02502287</v>
      </c>
    </row>
    <row r="14" ht="15.75" customHeight="1">
      <c r="A14" s="22" t="s">
        <v>18</v>
      </c>
      <c r="B14" s="53">
        <f t="shared" ref="B14:M14" si="6">+B3+B4-B5-B7</f>
        <v>344666.13</v>
      </c>
      <c r="C14" s="28">
        <f t="shared" si="6"/>
        <v>399067.08</v>
      </c>
      <c r="D14" s="28">
        <f t="shared" si="6"/>
        <v>416999.6</v>
      </c>
      <c r="E14" s="28">
        <f t="shared" si="6"/>
        <v>419593.55</v>
      </c>
      <c r="F14" s="28">
        <f t="shared" si="6"/>
        <v>434224.44</v>
      </c>
      <c r="G14" s="28">
        <f t="shared" si="6"/>
        <v>375620.64</v>
      </c>
      <c r="H14" s="28">
        <f t="shared" si="6"/>
        <v>379662.55</v>
      </c>
      <c r="I14" s="28">
        <f t="shared" si="6"/>
        <v>355796.37</v>
      </c>
      <c r="J14" s="28">
        <f t="shared" si="6"/>
        <v>402882.87</v>
      </c>
      <c r="K14" s="28">
        <f t="shared" si="6"/>
        <v>467759</v>
      </c>
      <c r="L14" s="28">
        <f t="shared" si="6"/>
        <v>441266.84</v>
      </c>
      <c r="M14" s="28">
        <f t="shared" si="6"/>
        <v>529312.14</v>
      </c>
      <c r="N14" s="18">
        <f t="shared" si="7"/>
        <v>4966851.21</v>
      </c>
      <c r="O14" s="29">
        <f t="shared" si="8"/>
        <v>3.674616038</v>
      </c>
    </row>
    <row r="15" ht="15.75" customHeight="1">
      <c r="A15" s="22" t="s">
        <v>19</v>
      </c>
      <c r="B15" s="79">
        <f>85890+39414/2</f>
        <v>105597</v>
      </c>
      <c r="C15" s="19">
        <v>99810.0</v>
      </c>
      <c r="D15" s="19">
        <v>154890.0</v>
      </c>
      <c r="E15" s="19">
        <f>100730+25925/7</f>
        <v>104433.5714</v>
      </c>
      <c r="F15" s="19">
        <f>87570+25925/7</f>
        <v>91273.57143</v>
      </c>
      <c r="G15" s="17">
        <f>84410+25925/7</f>
        <v>88113.57143</v>
      </c>
      <c r="H15" s="19">
        <f>79800+25925/7</f>
        <v>83503.57143</v>
      </c>
      <c r="I15" s="17">
        <f>59120+25925/7</f>
        <v>62823.57143</v>
      </c>
      <c r="J15" s="19">
        <f>62920+25925/7</f>
        <v>66623.57143</v>
      </c>
      <c r="K15" s="19">
        <f>65360+25925/7</f>
        <v>69063.57143</v>
      </c>
      <c r="L15" s="19">
        <f>68700+25925/7</f>
        <v>72403.57143</v>
      </c>
      <c r="M15" s="21">
        <v>80000.0</v>
      </c>
      <c r="N15" s="18">
        <f t="shared" si="7"/>
        <v>1078535.571</v>
      </c>
      <c r="O15" s="29">
        <f t="shared" si="8"/>
        <v>0.7979309105</v>
      </c>
    </row>
    <row r="16" ht="15.75" customHeight="1">
      <c r="A16" s="22" t="s">
        <v>20</v>
      </c>
      <c r="B16" s="17"/>
      <c r="C16" s="17"/>
      <c r="D16" s="17"/>
      <c r="E16" s="17"/>
      <c r="F16" s="17">
        <f t="shared" ref="F16:H16" si="9">2590/2</f>
        <v>1295</v>
      </c>
      <c r="G16" s="17">
        <f t="shared" si="9"/>
        <v>1295</v>
      </c>
      <c r="H16" s="17">
        <f t="shared" si="9"/>
        <v>1295</v>
      </c>
      <c r="I16" s="19">
        <v>1295.0</v>
      </c>
      <c r="J16" s="17">
        <f>2591</f>
        <v>2591</v>
      </c>
      <c r="K16" s="19">
        <f t="shared" ref="K16:L16" si="10">2709/2</f>
        <v>1354.5</v>
      </c>
      <c r="L16" s="19">
        <f t="shared" si="10"/>
        <v>1354.5</v>
      </c>
      <c r="M16" s="17">
        <f>1355</f>
        <v>1355</v>
      </c>
      <c r="N16" s="18">
        <f t="shared" si="7"/>
        <v>11835</v>
      </c>
      <c r="O16" s="29">
        <f t="shared" si="8"/>
        <v>0.008755865431</v>
      </c>
    </row>
    <row r="17" ht="15.75" customHeight="1">
      <c r="A17" s="22" t="s">
        <v>21</v>
      </c>
      <c r="B17" s="19">
        <v>38361.0</v>
      </c>
      <c r="C17" s="19">
        <v>38748.5</v>
      </c>
      <c r="D17" s="19">
        <v>39925.0</v>
      </c>
      <c r="E17" s="17">
        <f>38546.91</f>
        <v>38546.91</v>
      </c>
      <c r="F17" s="17">
        <f>43411</f>
        <v>43411</v>
      </c>
      <c r="G17" s="17">
        <f>33799.72</f>
        <v>33799.72</v>
      </c>
      <c r="H17" s="19">
        <v>36907.0</v>
      </c>
      <c r="I17" s="19">
        <f>34253</f>
        <v>34253</v>
      </c>
      <c r="J17" s="19">
        <v>38118.0</v>
      </c>
      <c r="K17" s="19">
        <v>39769.41</v>
      </c>
      <c r="L17" s="17">
        <f>33691.84</f>
        <v>33691.84</v>
      </c>
      <c r="M17" s="21">
        <v>40000.0</v>
      </c>
      <c r="N17" s="18">
        <f t="shared" si="7"/>
        <v>455531.38</v>
      </c>
      <c r="O17" s="29">
        <f t="shared" si="8"/>
        <v>0.3370149103</v>
      </c>
    </row>
    <row r="18" ht="15.75" customHeight="1">
      <c r="A18" s="22" t="s">
        <v>22</v>
      </c>
      <c r="B18" s="17">
        <f>91875+91875</f>
        <v>183750</v>
      </c>
      <c r="C18" s="17">
        <f t="shared" ref="C18:L18" si="11">108412.5+108412.5</f>
        <v>216825</v>
      </c>
      <c r="D18" s="17">
        <f t="shared" si="11"/>
        <v>216825</v>
      </c>
      <c r="E18" s="17">
        <f t="shared" si="11"/>
        <v>216825</v>
      </c>
      <c r="F18" s="17">
        <f t="shared" si="11"/>
        <v>216825</v>
      </c>
      <c r="G18" s="17">
        <f t="shared" si="11"/>
        <v>216825</v>
      </c>
      <c r="H18" s="17">
        <f t="shared" si="11"/>
        <v>216825</v>
      </c>
      <c r="I18" s="17">
        <f t="shared" si="11"/>
        <v>216825</v>
      </c>
      <c r="J18" s="17">
        <f t="shared" si="11"/>
        <v>216825</v>
      </c>
      <c r="K18" s="17">
        <f t="shared" si="11"/>
        <v>216825</v>
      </c>
      <c r="L18" s="17">
        <f t="shared" si="11"/>
        <v>216825</v>
      </c>
      <c r="M18" s="17">
        <f>113832.24+113832.24</f>
        <v>227664.48</v>
      </c>
      <c r="N18" s="18">
        <f t="shared" si="7"/>
        <v>2579664.48</v>
      </c>
      <c r="O18" s="29">
        <f t="shared" si="8"/>
        <v>1.908508242</v>
      </c>
    </row>
    <row r="19" ht="15.75" customHeight="1">
      <c r="A19" s="30" t="s">
        <v>23</v>
      </c>
      <c r="B19" s="19">
        <v>0.0</v>
      </c>
      <c r="C19" s="17">
        <f t="shared" ref="C19:M19" si="12">11617.69/12</f>
        <v>968.1408333</v>
      </c>
      <c r="D19" s="17">
        <f t="shared" si="12"/>
        <v>968.1408333</v>
      </c>
      <c r="E19" s="17">
        <f t="shared" si="12"/>
        <v>968.1408333</v>
      </c>
      <c r="F19" s="17">
        <f t="shared" si="12"/>
        <v>968.1408333</v>
      </c>
      <c r="G19" s="17">
        <f t="shared" si="12"/>
        <v>968.1408333</v>
      </c>
      <c r="H19" s="17">
        <f t="shared" si="12"/>
        <v>968.1408333</v>
      </c>
      <c r="I19" s="17">
        <f t="shared" si="12"/>
        <v>968.1408333</v>
      </c>
      <c r="J19" s="17">
        <f t="shared" si="12"/>
        <v>968.1408333</v>
      </c>
      <c r="K19" s="17">
        <f t="shared" si="12"/>
        <v>968.1408333</v>
      </c>
      <c r="L19" s="17">
        <f t="shared" si="12"/>
        <v>968.1408333</v>
      </c>
      <c r="M19" s="17">
        <f t="shared" si="12"/>
        <v>968.1408333</v>
      </c>
      <c r="N19" s="18">
        <f t="shared" si="7"/>
        <v>10649.54917</v>
      </c>
      <c r="O19" s="29"/>
    </row>
    <row r="20" ht="15.75" customHeight="1">
      <c r="A20" s="22" t="s">
        <v>24</v>
      </c>
      <c r="B20" s="17">
        <f>94282/12</f>
        <v>7856.833333</v>
      </c>
      <c r="C20" s="17">
        <f t="shared" ref="C20:M20" si="13">69207/12</f>
        <v>5767.25</v>
      </c>
      <c r="D20" s="17">
        <f t="shared" si="13"/>
        <v>5767.25</v>
      </c>
      <c r="E20" s="17">
        <f t="shared" si="13"/>
        <v>5767.25</v>
      </c>
      <c r="F20" s="17">
        <f t="shared" si="13"/>
        <v>5767.25</v>
      </c>
      <c r="G20" s="17">
        <f t="shared" si="13"/>
        <v>5767.25</v>
      </c>
      <c r="H20" s="17">
        <f t="shared" si="13"/>
        <v>5767.25</v>
      </c>
      <c r="I20" s="17">
        <f t="shared" si="13"/>
        <v>5767.25</v>
      </c>
      <c r="J20" s="17">
        <f t="shared" si="13"/>
        <v>5767.25</v>
      </c>
      <c r="K20" s="17">
        <f t="shared" si="13"/>
        <v>5767.25</v>
      </c>
      <c r="L20" s="17">
        <f t="shared" si="13"/>
        <v>5767.25</v>
      </c>
      <c r="M20" s="17">
        <f t="shared" si="13"/>
        <v>5767.25</v>
      </c>
      <c r="N20" s="18">
        <f t="shared" si="7"/>
        <v>71296.58333</v>
      </c>
      <c r="O20" s="29">
        <f t="shared" ref="O20:O29" si="14">N20/$N$7</f>
        <v>0.05274721499</v>
      </c>
    </row>
    <row r="21" ht="15.75" customHeight="1">
      <c r="A21" s="22" t="s">
        <v>25</v>
      </c>
      <c r="B21" s="17">
        <f>305773.65+152922/12</f>
        <v>318517.15</v>
      </c>
      <c r="C21" s="17">
        <f>299019+152922/12</f>
        <v>311762.5</v>
      </c>
      <c r="D21" s="17">
        <f>304187+152922/12</f>
        <v>316930.5</v>
      </c>
      <c r="E21" s="17">
        <f>335691.48+152922/12</f>
        <v>348434.98</v>
      </c>
      <c r="F21" s="17">
        <f>345530+152922/12</f>
        <v>358273.5</v>
      </c>
      <c r="G21" s="17">
        <f>344192.03+152922/12</f>
        <v>356935.53</v>
      </c>
      <c r="H21" s="17">
        <f>152922/12+336973.03</f>
        <v>349716.53</v>
      </c>
      <c r="I21" s="17">
        <f>152922/12+330828.69</f>
        <v>343572.19</v>
      </c>
      <c r="J21" s="17">
        <f>152922/12+337918</f>
        <v>350661.5</v>
      </c>
      <c r="K21" s="17">
        <f>152922/12+344508</f>
        <v>357251.5</v>
      </c>
      <c r="L21" s="17">
        <f>152922/12+336105</f>
        <v>348848.5</v>
      </c>
      <c r="M21" s="17">
        <f>152922/12+325807</f>
        <v>338550.5</v>
      </c>
      <c r="N21" s="18">
        <f t="shared" si="7"/>
        <v>4099454.88</v>
      </c>
      <c r="O21" s="29">
        <f t="shared" si="14"/>
        <v>3.032891869</v>
      </c>
    </row>
    <row r="22" ht="15.75" customHeight="1">
      <c r="A22" s="14" t="s">
        <v>26</v>
      </c>
      <c r="B22" s="19">
        <f>7670+2950</f>
        <v>10620</v>
      </c>
      <c r="C22" s="19">
        <f t="shared" ref="C22:D22" si="15">5192+2950</f>
        <v>8142</v>
      </c>
      <c r="D22" s="19">
        <f t="shared" si="15"/>
        <v>8142</v>
      </c>
      <c r="E22" s="17">
        <f>2950+5192</f>
        <v>8142</v>
      </c>
      <c r="F22" s="19">
        <f t="shared" ref="F22:G22" si="16">5192+2950</f>
        <v>8142</v>
      </c>
      <c r="G22" s="19">
        <f t="shared" si="16"/>
        <v>8142</v>
      </c>
      <c r="H22" s="17">
        <f>2950+5192</f>
        <v>8142</v>
      </c>
      <c r="I22" s="17">
        <f>4720+2950</f>
        <v>7670</v>
      </c>
      <c r="J22" s="17">
        <f>2950+4720</f>
        <v>7670</v>
      </c>
      <c r="K22" s="17">
        <f t="shared" ref="K22:M22" si="17">4720+2950</f>
        <v>7670</v>
      </c>
      <c r="L22" s="19">
        <f t="shared" si="17"/>
        <v>7670</v>
      </c>
      <c r="M22" s="19">
        <f t="shared" si="17"/>
        <v>7670</v>
      </c>
      <c r="N22" s="18">
        <f t="shared" si="7"/>
        <v>97822</v>
      </c>
      <c r="O22" s="29">
        <f t="shared" si="14"/>
        <v>0.0723714633</v>
      </c>
    </row>
    <row r="23" ht="15.75" customHeight="1">
      <c r="A23" s="33" t="s">
        <v>27</v>
      </c>
      <c r="B23" s="19">
        <f t="shared" ref="B23:J23" si="18">2124/3+6425/12</f>
        <v>1243.416667</v>
      </c>
      <c r="C23" s="19">
        <f t="shared" si="18"/>
        <v>1243.416667</v>
      </c>
      <c r="D23" s="19">
        <f t="shared" si="18"/>
        <v>1243.416667</v>
      </c>
      <c r="E23" s="19">
        <f t="shared" si="18"/>
        <v>1243.416667</v>
      </c>
      <c r="F23" s="19">
        <f t="shared" si="18"/>
        <v>1243.416667</v>
      </c>
      <c r="G23" s="19">
        <f t="shared" si="18"/>
        <v>1243.416667</v>
      </c>
      <c r="H23" s="19">
        <f t="shared" si="18"/>
        <v>1243.416667</v>
      </c>
      <c r="I23" s="19">
        <f t="shared" si="18"/>
        <v>1243.416667</v>
      </c>
      <c r="J23" s="19">
        <f t="shared" si="18"/>
        <v>1243.416667</v>
      </c>
      <c r="K23" s="19">
        <f t="shared" ref="K23:M23" si="19">6425/12+3304/3</f>
        <v>1636.75</v>
      </c>
      <c r="L23" s="19">
        <f t="shared" si="19"/>
        <v>1636.75</v>
      </c>
      <c r="M23" s="19">
        <f t="shared" si="19"/>
        <v>1636.75</v>
      </c>
      <c r="N23" s="18">
        <f t="shared" si="7"/>
        <v>16101</v>
      </c>
      <c r="O23" s="29">
        <f t="shared" si="14"/>
        <v>0.01191197206</v>
      </c>
    </row>
    <row r="24" ht="15.75" customHeight="1">
      <c r="A24" s="22" t="s">
        <v>28</v>
      </c>
      <c r="B24" s="31">
        <v>2475.0</v>
      </c>
      <c r="C24" s="31">
        <v>5120.0</v>
      </c>
      <c r="D24" s="31">
        <v>3800.0</v>
      </c>
      <c r="E24" s="31">
        <v>0.0</v>
      </c>
      <c r="F24" s="19">
        <v>24576.0</v>
      </c>
      <c r="G24" s="17">
        <f>15390</f>
        <v>15390</v>
      </c>
      <c r="H24" s="19">
        <v>0.0</v>
      </c>
      <c r="I24" s="19">
        <v>5900.0</v>
      </c>
      <c r="J24" s="19">
        <v>10797.0</v>
      </c>
      <c r="K24" s="19">
        <v>5605.0</v>
      </c>
      <c r="L24" s="19">
        <v>13066.0</v>
      </c>
      <c r="M24" s="17">
        <f>1178.82</f>
        <v>1178.82</v>
      </c>
      <c r="N24" s="18">
        <f t="shared" si="7"/>
        <v>87907.82</v>
      </c>
      <c r="O24" s="29">
        <f t="shared" si="14"/>
        <v>0.06503667446</v>
      </c>
    </row>
    <row r="25" ht="15.75" customHeight="1">
      <c r="A25" s="22" t="s">
        <v>29</v>
      </c>
      <c r="B25" s="19">
        <v>6705.0</v>
      </c>
      <c r="C25" s="19">
        <v>16026.06</v>
      </c>
      <c r="D25" s="19">
        <v>8299.3</v>
      </c>
      <c r="E25" s="19">
        <v>5736.86</v>
      </c>
      <c r="F25" s="19">
        <v>27000.0</v>
      </c>
      <c r="G25" s="19">
        <v>15738.7</v>
      </c>
      <c r="H25" s="19">
        <v>10067.0</v>
      </c>
      <c r="I25" s="19">
        <v>11966.33</v>
      </c>
      <c r="J25" s="19">
        <v>16028.0</v>
      </c>
      <c r="K25" s="19">
        <v>13774.0</v>
      </c>
      <c r="L25" s="19">
        <v>20155.33</v>
      </c>
      <c r="M25" s="19">
        <v>20215.0</v>
      </c>
      <c r="N25" s="18">
        <f t="shared" si="7"/>
        <v>171711.58</v>
      </c>
      <c r="O25" s="29">
        <f t="shared" si="14"/>
        <v>0.1270370501</v>
      </c>
    </row>
    <row r="26" ht="15.75" customHeight="1">
      <c r="A26" s="22" t="s">
        <v>30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>
        <f t="shared" si="7"/>
        <v>0</v>
      </c>
      <c r="O26" s="29">
        <f t="shared" si="14"/>
        <v>0</v>
      </c>
    </row>
    <row r="27" ht="15.75" customHeight="1">
      <c r="A27" s="22" t="s">
        <v>31</v>
      </c>
      <c r="B27" s="17">
        <f>HO!D37</f>
        <v>240379.5497</v>
      </c>
      <c r="C27" s="17">
        <f>HO!H37</f>
        <v>288474.4124</v>
      </c>
      <c r="D27" s="17">
        <f>HO!L37</f>
        <v>273112.7801</v>
      </c>
      <c r="E27" s="17">
        <f>HO!P37</f>
        <v>272224.1948</v>
      </c>
      <c r="F27" s="17">
        <f>HO!D50</f>
        <v>295570.4658</v>
      </c>
      <c r="G27" s="17">
        <f>HO!H50</f>
        <v>240231.7253</v>
      </c>
      <c r="H27" s="17">
        <f>HO!L50</f>
        <v>286672.6927</v>
      </c>
      <c r="I27" s="17">
        <f>HO!P50</f>
        <v>270796.2901</v>
      </c>
      <c r="J27" s="17">
        <f>HO!D64</f>
        <v>259536.258</v>
      </c>
      <c r="K27" s="17">
        <f>HO!H64</f>
        <v>275828.9978</v>
      </c>
      <c r="L27" s="17">
        <f>HO!L64</f>
        <v>259094.6404</v>
      </c>
      <c r="M27" s="17">
        <f>HO!P64</f>
        <v>310352.8368</v>
      </c>
      <c r="N27" s="18">
        <f t="shared" si="7"/>
        <v>3272274.844</v>
      </c>
      <c r="O27" s="29">
        <f t="shared" si="14"/>
        <v>2.420920844</v>
      </c>
    </row>
    <row r="28" ht="15.75" customHeight="1">
      <c r="A28" s="34" t="s">
        <v>32</v>
      </c>
      <c r="B28" s="35">
        <f t="shared" ref="B28:M28" si="20">+SUM(B14:B27)</f>
        <v>1260171.08</v>
      </c>
      <c r="C28" s="35">
        <f t="shared" si="20"/>
        <v>1391954.36</v>
      </c>
      <c r="D28" s="35">
        <f t="shared" si="20"/>
        <v>1446902.988</v>
      </c>
      <c r="E28" s="35">
        <f t="shared" si="20"/>
        <v>1421915.874</v>
      </c>
      <c r="F28" s="36">
        <f t="shared" si="20"/>
        <v>1508569.785</v>
      </c>
      <c r="G28" s="35">
        <f t="shared" si="20"/>
        <v>1360070.694</v>
      </c>
      <c r="H28" s="35">
        <f t="shared" si="20"/>
        <v>1380770.152</v>
      </c>
      <c r="I28" s="35">
        <f t="shared" si="20"/>
        <v>1318876.559</v>
      </c>
      <c r="J28" s="35">
        <f t="shared" si="20"/>
        <v>1379712.007</v>
      </c>
      <c r="K28" s="35">
        <f t="shared" si="20"/>
        <v>1463273.12</v>
      </c>
      <c r="L28" s="35">
        <f t="shared" si="20"/>
        <v>1422748.363</v>
      </c>
      <c r="M28" s="35">
        <f t="shared" si="20"/>
        <v>1564670.918</v>
      </c>
      <c r="N28" s="35">
        <f t="shared" si="7"/>
        <v>16919635.9</v>
      </c>
      <c r="O28" s="37">
        <f t="shared" si="14"/>
        <v>12.51762189</v>
      </c>
    </row>
    <row r="29" ht="15.75" customHeight="1">
      <c r="A29" s="38" t="s">
        <v>33</v>
      </c>
      <c r="B29" s="39">
        <f t="shared" ref="B29:M29" si="21">B13-B28</f>
        <v>59896.26034</v>
      </c>
      <c r="C29" s="39">
        <f t="shared" si="21"/>
        <v>243884.3501</v>
      </c>
      <c r="D29" s="39">
        <f t="shared" si="21"/>
        <v>136117.6724</v>
      </c>
      <c r="E29" s="39">
        <f t="shared" si="21"/>
        <v>129135.1949</v>
      </c>
      <c r="F29" s="39">
        <f t="shared" si="21"/>
        <v>126951.9852</v>
      </c>
      <c r="G29" s="39">
        <f t="shared" si="21"/>
        <v>-25913.16144</v>
      </c>
      <c r="H29" s="39">
        <f t="shared" si="21"/>
        <v>108871.7319</v>
      </c>
      <c r="I29" s="39">
        <f t="shared" si="21"/>
        <v>198276.0106</v>
      </c>
      <c r="J29" s="39">
        <f t="shared" si="21"/>
        <v>86220.90844</v>
      </c>
      <c r="K29" s="39">
        <f t="shared" si="21"/>
        <v>331789.3502</v>
      </c>
      <c r="L29" s="39">
        <f t="shared" si="21"/>
        <v>247030.0658</v>
      </c>
      <c r="M29" s="39">
        <f t="shared" si="21"/>
        <v>395241.3238</v>
      </c>
      <c r="N29" s="39">
        <f t="shared" si="7"/>
        <v>2037501.692</v>
      </c>
      <c r="O29" s="40">
        <f t="shared" si="14"/>
        <v>1.507400983</v>
      </c>
    </row>
    <row r="30" ht="15.75" customHeight="1">
      <c r="A30" s="41" t="s">
        <v>34</v>
      </c>
      <c r="B30" s="42">
        <f t="shared" ref="B30:M30" si="22">(B14/B13)</f>
        <v>0.2610973846</v>
      </c>
      <c r="C30" s="42">
        <f t="shared" si="22"/>
        <v>0.2439525838</v>
      </c>
      <c r="D30" s="42">
        <f t="shared" si="22"/>
        <v>0.2634201881</v>
      </c>
      <c r="E30" s="42">
        <f t="shared" si="22"/>
        <v>0.2705220727</v>
      </c>
      <c r="F30" s="43">
        <f t="shared" si="22"/>
        <v>0.2654959707</v>
      </c>
      <c r="G30" s="42">
        <f t="shared" si="22"/>
        <v>0.2815414453</v>
      </c>
      <c r="H30" s="42">
        <f t="shared" si="22"/>
        <v>0.2548683373</v>
      </c>
      <c r="I30" s="42">
        <f t="shared" si="22"/>
        <v>0.23451588</v>
      </c>
      <c r="J30" s="42">
        <f t="shared" si="22"/>
        <v>0.2748303594</v>
      </c>
      <c r="K30" s="42">
        <f t="shared" si="22"/>
        <v>0.2605809033</v>
      </c>
      <c r="L30" s="42">
        <f t="shared" si="22"/>
        <v>0.264266703</v>
      </c>
      <c r="M30" s="42">
        <f t="shared" si="22"/>
        <v>0.2700693066</v>
      </c>
      <c r="N30" s="44"/>
      <c r="O30" s="44"/>
    </row>
    <row r="31" ht="15.75" customHeight="1"/>
    <row r="32" ht="15.75" customHeight="1">
      <c r="B32" s="58">
        <f t="shared" ref="B32:M32" si="23">B29+B27</f>
        <v>300275.81</v>
      </c>
      <c r="C32" s="58">
        <f t="shared" si="23"/>
        <v>532358.7625</v>
      </c>
      <c r="D32" s="58">
        <f t="shared" si="23"/>
        <v>409230.4525</v>
      </c>
      <c r="E32" s="58">
        <f t="shared" si="23"/>
        <v>401359.3897</v>
      </c>
      <c r="F32" s="58">
        <f t="shared" si="23"/>
        <v>422522.4511</v>
      </c>
      <c r="G32" s="58">
        <f t="shared" si="23"/>
        <v>214318.5639</v>
      </c>
      <c r="H32" s="58">
        <f t="shared" si="23"/>
        <v>395544.4247</v>
      </c>
      <c r="I32" s="58">
        <f t="shared" si="23"/>
        <v>469072.3007</v>
      </c>
      <c r="J32" s="58">
        <f t="shared" si="23"/>
        <v>345757.1664</v>
      </c>
      <c r="K32" s="58">
        <f t="shared" si="23"/>
        <v>607618.3479</v>
      </c>
      <c r="L32" s="58">
        <f t="shared" si="23"/>
        <v>506124.7061</v>
      </c>
      <c r="M32" s="58">
        <f t="shared" si="23"/>
        <v>705594.1606</v>
      </c>
    </row>
    <row r="33" ht="15.75" customHeight="1">
      <c r="B33" s="59">
        <f t="shared" ref="B33:M33" si="24">B32/B13</f>
        <v>0.2274700698</v>
      </c>
      <c r="C33" s="59">
        <f t="shared" si="24"/>
        <v>0.3254347505</v>
      </c>
      <c r="D33" s="59">
        <f t="shared" si="24"/>
        <v>0.2585123889</v>
      </c>
      <c r="E33" s="59">
        <f t="shared" si="24"/>
        <v>0.2587660702</v>
      </c>
      <c r="F33" s="59">
        <f t="shared" si="24"/>
        <v>0.2583410743</v>
      </c>
      <c r="G33" s="59">
        <f t="shared" si="24"/>
        <v>0.1606396236</v>
      </c>
      <c r="H33" s="59">
        <f t="shared" si="24"/>
        <v>0.265529876</v>
      </c>
      <c r="I33" s="59">
        <f t="shared" si="24"/>
        <v>0.3091793865</v>
      </c>
      <c r="J33" s="59">
        <f t="shared" si="24"/>
        <v>0.2358615205</v>
      </c>
      <c r="K33" s="59">
        <f t="shared" si="24"/>
        <v>0.338494263</v>
      </c>
      <c r="L33" s="59">
        <f t="shared" si="24"/>
        <v>0.3031089021</v>
      </c>
      <c r="M33" s="59">
        <f t="shared" si="24"/>
        <v>0.3600131402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44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77">
        <v>68612.0</v>
      </c>
      <c r="C3" s="17">
        <f t="shared" ref="C3:M3" si="1">B7</f>
        <v>87356</v>
      </c>
      <c r="D3" s="17">
        <f t="shared" si="1"/>
        <v>111010</v>
      </c>
      <c r="E3" s="17">
        <f t="shared" si="1"/>
        <v>145516</v>
      </c>
      <c r="F3" s="17">
        <f t="shared" si="1"/>
        <v>167134</v>
      </c>
      <c r="G3" s="17">
        <f t="shared" si="1"/>
        <v>144518.11</v>
      </c>
      <c r="H3" s="17">
        <f t="shared" si="1"/>
        <v>162929.28</v>
      </c>
      <c r="I3" s="17">
        <f t="shared" si="1"/>
        <v>147828.1</v>
      </c>
      <c r="J3" s="17">
        <f t="shared" si="1"/>
        <v>153984.77</v>
      </c>
      <c r="K3" s="17">
        <f t="shared" si="1"/>
        <v>186940</v>
      </c>
      <c r="L3" s="17">
        <f t="shared" si="1"/>
        <v>139660</v>
      </c>
      <c r="M3" s="17">
        <f t="shared" si="1"/>
        <v>97794</v>
      </c>
      <c r="N3" s="18">
        <f>+SUM(J3:L3)</f>
        <v>480584.77</v>
      </c>
      <c r="O3" s="20"/>
    </row>
    <row r="4" ht="15.75" customHeight="1">
      <c r="A4" s="14" t="s">
        <v>9</v>
      </c>
      <c r="B4" s="19">
        <v>498950.0</v>
      </c>
      <c r="C4" s="19">
        <v>570167.0</v>
      </c>
      <c r="D4" s="19">
        <v>537453.0</v>
      </c>
      <c r="E4" s="19">
        <v>558784.0</v>
      </c>
      <c r="F4" s="19">
        <v>498624.0</v>
      </c>
      <c r="G4" s="19">
        <v>507366.83</v>
      </c>
      <c r="H4" s="19">
        <v>460970.25</v>
      </c>
      <c r="I4" s="17">
        <f>441928.22</f>
        <v>441928.22</v>
      </c>
      <c r="J4" s="17">
        <f>479784</f>
        <v>479784</v>
      </c>
      <c r="K4" s="19">
        <v>522700.0</v>
      </c>
      <c r="L4" s="19">
        <v>524706.25</v>
      </c>
      <c r="M4" s="19">
        <v>621646.0</v>
      </c>
      <c r="N4" s="18">
        <f>sum(B4:M4)</f>
        <v>6223079.55</v>
      </c>
      <c r="O4" s="20"/>
    </row>
    <row r="5" ht="15.75" customHeight="1">
      <c r="A5" s="14" t="s">
        <v>10</v>
      </c>
      <c r="B5" s="19">
        <v>0.0</v>
      </c>
      <c r="C5" s="19">
        <v>0.0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8">
        <f t="shared" ref="N5:N6" si="2">+SUM(J5:L5)</f>
        <v>0</v>
      </c>
      <c r="O5" s="20"/>
    </row>
    <row r="6" ht="15.75" customHeight="1">
      <c r="A6" s="14" t="s">
        <v>11</v>
      </c>
      <c r="B6" s="19">
        <v>31479.0</v>
      </c>
      <c r="C6" s="19">
        <v>36240.45</v>
      </c>
      <c r="D6" s="19">
        <v>28976.0</v>
      </c>
      <c r="E6" s="19">
        <v>24275.71</v>
      </c>
      <c r="F6" s="19">
        <v>23605.32</v>
      </c>
      <c r="G6" s="19">
        <v>34052.0</v>
      </c>
      <c r="H6" s="19">
        <v>31282.54</v>
      </c>
      <c r="I6" s="19">
        <v>36313.84</v>
      </c>
      <c r="J6" s="19">
        <v>32339.0</v>
      </c>
      <c r="K6" s="19">
        <v>31022.68</v>
      </c>
      <c r="L6" s="19">
        <v>45842.15</v>
      </c>
      <c r="M6" s="19">
        <v>38741.71</v>
      </c>
      <c r="N6" s="18">
        <f t="shared" si="2"/>
        <v>109203.83</v>
      </c>
      <c r="O6" s="20"/>
    </row>
    <row r="7" ht="15.75" customHeight="1">
      <c r="A7" s="14" t="s">
        <v>12</v>
      </c>
      <c r="B7" s="19">
        <v>87356.0</v>
      </c>
      <c r="C7" s="19">
        <v>111010.0</v>
      </c>
      <c r="D7" s="19">
        <v>145516.0</v>
      </c>
      <c r="E7" s="19">
        <v>167134.0</v>
      </c>
      <c r="F7" s="17">
        <f>144518.11</f>
        <v>144518.11</v>
      </c>
      <c r="G7" s="19">
        <v>162929.28</v>
      </c>
      <c r="H7" s="19">
        <v>147828.1</v>
      </c>
      <c r="I7" s="19">
        <v>153984.77</v>
      </c>
      <c r="J7" s="19">
        <v>186940.0</v>
      </c>
      <c r="K7" s="17">
        <f>139660</f>
        <v>139660</v>
      </c>
      <c r="L7" s="19">
        <v>97794.0</v>
      </c>
      <c r="M7" s="19">
        <v>80927.75</v>
      </c>
      <c r="N7" s="18">
        <f>sum(B7:M7)</f>
        <v>1625598.01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>
        <f>1841701.76*1.05+140*1.05+20906.41*1.05</f>
        <v>1955885.579</v>
      </c>
      <c r="C9" s="17">
        <f>2086060.37*1.05+31354.93*1.05+30*1.05</f>
        <v>2223317.565</v>
      </c>
      <c r="D9" s="17">
        <f>(1908092.47-224)*1.05+27994.35*1.05</f>
        <v>2032655.961</v>
      </c>
      <c r="E9" s="17">
        <f>1927927.62*1.05</f>
        <v>2024324.001</v>
      </c>
      <c r="F9" s="17">
        <f>1936762.7*1.05</f>
        <v>2033600.835</v>
      </c>
      <c r="G9" s="19">
        <f>1797391.81*1.05</f>
        <v>1887261.401</v>
      </c>
      <c r="H9" s="17">
        <f>1832244.94*1.05+10*1.05+26355.1*1.05</f>
        <v>1951540.542</v>
      </c>
      <c r="I9" s="17">
        <f>1750268.6*1.05+24161.17*1.05</f>
        <v>1863151.259</v>
      </c>
      <c r="J9" s="17">
        <f>1798229.52*1.05+25322.08*1.05</f>
        <v>1914729.18</v>
      </c>
      <c r="K9" s="19">
        <f>2183384.7*1.05+32157.92*1.05</f>
        <v>2326319.751</v>
      </c>
      <c r="L9" s="17">
        <f>2151769.36*1.05+33923.87*1.05</f>
        <v>2294977.892</v>
      </c>
      <c r="M9" s="17">
        <f>2622582.13*1.05+47854.81*1.05</f>
        <v>2803958.787</v>
      </c>
      <c r="N9" s="18">
        <f t="shared" ref="N9:N12" si="3">+SUM(B9:M9)</f>
        <v>25311722.75</v>
      </c>
      <c r="O9" s="20"/>
    </row>
    <row r="10" ht="15.75" customHeight="1">
      <c r="A10" s="22" t="s">
        <v>14</v>
      </c>
      <c r="B10" s="19">
        <v>0.0</v>
      </c>
      <c r="C10" s="19">
        <v>0.0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>
        <f t="shared" si="3"/>
        <v>0</v>
      </c>
      <c r="O10" s="20"/>
    </row>
    <row r="11" ht="15.75" customHeight="1">
      <c r="A11" s="22" t="s">
        <v>15</v>
      </c>
      <c r="B11" s="17">
        <f t="shared" ref="B11:M11" si="4">(B9+B10)/1.05*0.05</f>
        <v>93137.4085</v>
      </c>
      <c r="C11" s="17">
        <f t="shared" si="4"/>
        <v>105872.265</v>
      </c>
      <c r="D11" s="17">
        <f t="shared" si="4"/>
        <v>96793.141</v>
      </c>
      <c r="E11" s="17">
        <f t="shared" si="4"/>
        <v>96396.381</v>
      </c>
      <c r="F11" s="17">
        <f t="shared" si="4"/>
        <v>96838.135</v>
      </c>
      <c r="G11" s="17">
        <f t="shared" si="4"/>
        <v>89869.5905</v>
      </c>
      <c r="H11" s="17">
        <f t="shared" si="4"/>
        <v>92930.502</v>
      </c>
      <c r="I11" s="17">
        <f t="shared" si="4"/>
        <v>88721.4885</v>
      </c>
      <c r="J11" s="17">
        <f t="shared" si="4"/>
        <v>91177.58</v>
      </c>
      <c r="K11" s="17">
        <f t="shared" si="4"/>
        <v>110777.131</v>
      </c>
      <c r="L11" s="17">
        <f t="shared" si="4"/>
        <v>109284.6615</v>
      </c>
      <c r="M11" s="17">
        <f t="shared" si="4"/>
        <v>133521.847</v>
      </c>
      <c r="N11" s="18">
        <f t="shared" si="3"/>
        <v>1205320.131</v>
      </c>
      <c r="O11" s="20"/>
    </row>
    <row r="12" ht="15.75" customHeight="1">
      <c r="A12" s="22" t="s">
        <v>16</v>
      </c>
      <c r="B12" s="17">
        <f>19349+3432.84+501.4+319.04+48044.23+1049.76+8647.96+188.96</f>
        <v>81533.19</v>
      </c>
      <c r="C12" s="17">
        <f>73447.5+13220.45+13685.62+2749.32+2464.55+494.88+268.02+178.07+80.29</f>
        <v>106588.7</v>
      </c>
      <c r="D12" s="17">
        <f>65601+11808.19+26647.8+4796+771+138.79+290.84*1.18</f>
        <v>110105.9712</v>
      </c>
      <c r="E12" s="17">
        <f>30368.56+5465.79+60714.72+10928.65+129.01+273.94*1.18</f>
        <v>107929.9792</v>
      </c>
      <c r="F12" s="17">
        <f>58210.35+10477.86+32594.49+5866.94+1989</f>
        <v>109138.64</v>
      </c>
      <c r="G12" s="17">
        <f>67375.4*1.18+28097.99*1.18+552.74*1.18</f>
        <v>113310.8334</v>
      </c>
      <c r="H12" s="17">
        <f>62412.39*1.18+30922.24*1.18+1955.89*1.18</f>
        <v>112442.8136</v>
      </c>
      <c r="I12" s="17">
        <f>(18116.15+57234.74)*1.18+2075.96*1.18+7701.55*1.18+1559.87*1.18</f>
        <v>102292.1586</v>
      </c>
      <c r="J12" s="17">
        <f>60791.98*1.18+28285.82*1.18+3835.94*1.18</f>
        <v>109638.2132</v>
      </c>
      <c r="K12" s="17">
        <f>76906.01*1.18+36452.84*1.18+3257.89*1.18</f>
        <v>137607.7532</v>
      </c>
      <c r="L12" s="17">
        <f>31963.2*1.18+80767.44*1.18+3342.06*1.18</f>
        <v>136965.786</v>
      </c>
      <c r="M12" s="17">
        <f>40892.24*1.18+114351.58*1.18+4221.17*1.18</f>
        <v>188168.6882</v>
      </c>
      <c r="N12" s="18">
        <f t="shared" si="3"/>
        <v>1415722.727</v>
      </c>
      <c r="O12" s="20"/>
      <c r="T12" s="78">
        <f>8749.04*0.18</f>
        <v>1574.8272</v>
      </c>
    </row>
    <row r="13" ht="15.75" customHeight="1">
      <c r="A13" s="24" t="s">
        <v>17</v>
      </c>
      <c r="B13" s="25">
        <f t="shared" ref="B13:M13" si="5">B9+B10-B11-B12</f>
        <v>1781214.98</v>
      </c>
      <c r="C13" s="25">
        <f t="shared" si="5"/>
        <v>2010856.6</v>
      </c>
      <c r="D13" s="25">
        <f t="shared" si="5"/>
        <v>1825756.849</v>
      </c>
      <c r="E13" s="25">
        <f t="shared" si="5"/>
        <v>1819997.641</v>
      </c>
      <c r="F13" s="26">
        <f t="shared" si="5"/>
        <v>1827624.06</v>
      </c>
      <c r="G13" s="26">
        <f t="shared" si="5"/>
        <v>1684080.977</v>
      </c>
      <c r="H13" s="25">
        <f t="shared" si="5"/>
        <v>1746167.226</v>
      </c>
      <c r="I13" s="25">
        <f t="shared" si="5"/>
        <v>1672137.611</v>
      </c>
      <c r="J13" s="25">
        <f t="shared" si="5"/>
        <v>1713913.387</v>
      </c>
      <c r="K13" s="25">
        <f t="shared" si="5"/>
        <v>2077934.867</v>
      </c>
      <c r="L13" s="25">
        <f t="shared" si="5"/>
        <v>2048727.444</v>
      </c>
      <c r="M13" s="25">
        <f t="shared" si="5"/>
        <v>2482268.252</v>
      </c>
      <c r="N13" s="25">
        <f t="shared" ref="N13:N29" si="7">sum(B13:M13)</f>
        <v>22690679.89</v>
      </c>
      <c r="O13" s="27">
        <f t="shared" ref="O13:O29" si="8">N13/$N$7</f>
        <v>13.95835856</v>
      </c>
    </row>
    <row r="14" ht="15.75" customHeight="1">
      <c r="A14" s="22" t="s">
        <v>18</v>
      </c>
      <c r="B14" s="28">
        <f t="shared" ref="B14:M14" si="6">+B3+B4-B5-B7</f>
        <v>480206</v>
      </c>
      <c r="C14" s="28">
        <f t="shared" si="6"/>
        <v>546513</v>
      </c>
      <c r="D14" s="28">
        <f t="shared" si="6"/>
        <v>502947</v>
      </c>
      <c r="E14" s="28">
        <f t="shared" si="6"/>
        <v>537166</v>
      </c>
      <c r="F14" s="28">
        <f t="shared" si="6"/>
        <v>521239.89</v>
      </c>
      <c r="G14" s="28">
        <f t="shared" si="6"/>
        <v>488955.66</v>
      </c>
      <c r="H14" s="28">
        <f t="shared" si="6"/>
        <v>476071.43</v>
      </c>
      <c r="I14" s="28">
        <f t="shared" si="6"/>
        <v>435771.55</v>
      </c>
      <c r="J14" s="28">
        <f t="shared" si="6"/>
        <v>446828.77</v>
      </c>
      <c r="K14" s="28">
        <f t="shared" si="6"/>
        <v>569980</v>
      </c>
      <c r="L14" s="28">
        <f t="shared" si="6"/>
        <v>566572.25</v>
      </c>
      <c r="M14" s="28">
        <f t="shared" si="6"/>
        <v>638512.25</v>
      </c>
      <c r="N14" s="18">
        <f t="shared" si="7"/>
        <v>6210763.8</v>
      </c>
      <c r="O14" s="29">
        <f t="shared" si="8"/>
        <v>3.820602487</v>
      </c>
    </row>
    <row r="15" ht="15.75" customHeight="1">
      <c r="A15" s="22" t="s">
        <v>19</v>
      </c>
      <c r="B15" s="19">
        <v>121130.0</v>
      </c>
      <c r="C15" s="19">
        <v>156150.0</v>
      </c>
      <c r="D15" s="19">
        <v>168900.0</v>
      </c>
      <c r="E15" s="19">
        <v>169880.0</v>
      </c>
      <c r="F15" s="19">
        <v>149710.0</v>
      </c>
      <c r="G15" s="19">
        <v>139570.0</v>
      </c>
      <c r="H15" s="19">
        <v>117890.0</v>
      </c>
      <c r="I15" s="17">
        <f>87060</f>
        <v>87060</v>
      </c>
      <c r="J15" s="19">
        <v>87850.0</v>
      </c>
      <c r="K15" s="19">
        <v>90370.0</v>
      </c>
      <c r="L15" s="19">
        <v>98500.0</v>
      </c>
      <c r="M15" s="21">
        <v>105000.0</v>
      </c>
      <c r="N15" s="18">
        <f t="shared" si="7"/>
        <v>1492010</v>
      </c>
      <c r="O15" s="29">
        <f t="shared" si="8"/>
        <v>0.9178222358</v>
      </c>
    </row>
    <row r="16" ht="15.75" customHeight="1">
      <c r="A16" s="22" t="s">
        <v>20</v>
      </c>
      <c r="B16" s="19">
        <v>4230.0</v>
      </c>
      <c r="C16" s="17">
        <f>1246</f>
        <v>1246</v>
      </c>
      <c r="D16" s="17">
        <f>1246+222</f>
        <v>1468</v>
      </c>
      <c r="E16" s="21">
        <v>1468.0</v>
      </c>
      <c r="F16" s="19">
        <f>2400</f>
        <v>2400</v>
      </c>
      <c r="G16" s="17">
        <f>1330+518</f>
        <v>1848</v>
      </c>
      <c r="H16" s="19">
        <f t="shared" ref="H16:I16" si="9">5310/3+300</f>
        <v>2070</v>
      </c>
      <c r="I16" s="19">
        <f t="shared" si="9"/>
        <v>2070</v>
      </c>
      <c r="J16" s="19">
        <f t="shared" ref="J16:L16" si="10">5310/3+219</f>
        <v>1989</v>
      </c>
      <c r="K16" s="17">
        <f t="shared" si="10"/>
        <v>1989</v>
      </c>
      <c r="L16" s="17">
        <f t="shared" si="10"/>
        <v>1989</v>
      </c>
      <c r="M16" s="17">
        <f>5310/3</f>
        <v>1770</v>
      </c>
      <c r="N16" s="18">
        <f t="shared" si="7"/>
        <v>24537</v>
      </c>
      <c r="O16" s="29">
        <f t="shared" si="8"/>
        <v>0.01509413757</v>
      </c>
    </row>
    <row r="17" ht="15.75" customHeight="1">
      <c r="A17" s="22" t="s">
        <v>21</v>
      </c>
      <c r="B17" s="17">
        <f>50461+52142</f>
        <v>102603</v>
      </c>
      <c r="C17" s="17">
        <f>93380</f>
        <v>93380</v>
      </c>
      <c r="D17" s="19">
        <v>87105.0</v>
      </c>
      <c r="E17" s="17">
        <f>30556+58645</f>
        <v>89201</v>
      </c>
      <c r="F17" s="17">
        <f>71342.68</f>
        <v>71342.68</v>
      </c>
      <c r="G17" s="19">
        <v>66119.0</v>
      </c>
      <c r="H17" s="19">
        <v>72429.0</v>
      </c>
      <c r="I17" s="19">
        <v>67063.0</v>
      </c>
      <c r="J17" s="19">
        <v>64354.0</v>
      </c>
      <c r="K17" s="19">
        <v>79413.33</v>
      </c>
      <c r="L17" s="19">
        <v>68035.53</v>
      </c>
      <c r="M17" s="21">
        <v>80000.0</v>
      </c>
      <c r="N17" s="18">
        <f t="shared" si="7"/>
        <v>941045.54</v>
      </c>
      <c r="O17" s="29">
        <f t="shared" si="8"/>
        <v>0.5788919119</v>
      </c>
    </row>
    <row r="18" ht="15.75" customHeight="1">
      <c r="A18" s="22" t="s">
        <v>22</v>
      </c>
      <c r="B18" s="17">
        <f t="shared" ref="B18:M18" si="11">472000</f>
        <v>472000</v>
      </c>
      <c r="C18" s="17">
        <f t="shared" si="11"/>
        <v>472000</v>
      </c>
      <c r="D18" s="17">
        <f t="shared" si="11"/>
        <v>472000</v>
      </c>
      <c r="E18" s="17">
        <f t="shared" si="11"/>
        <v>472000</v>
      </c>
      <c r="F18" s="17">
        <f t="shared" si="11"/>
        <v>472000</v>
      </c>
      <c r="G18" s="17">
        <f t="shared" si="11"/>
        <v>472000</v>
      </c>
      <c r="H18" s="17">
        <f t="shared" si="11"/>
        <v>472000</v>
      </c>
      <c r="I18" s="17">
        <f t="shared" si="11"/>
        <v>472000</v>
      </c>
      <c r="J18" s="17">
        <f t="shared" si="11"/>
        <v>472000</v>
      </c>
      <c r="K18" s="17">
        <f t="shared" si="11"/>
        <v>472000</v>
      </c>
      <c r="L18" s="17">
        <f t="shared" si="11"/>
        <v>472000</v>
      </c>
      <c r="M18" s="17">
        <f t="shared" si="11"/>
        <v>472000</v>
      </c>
      <c r="N18" s="18">
        <f t="shared" si="7"/>
        <v>5664000</v>
      </c>
      <c r="O18" s="29">
        <f t="shared" si="8"/>
        <v>3.484256234</v>
      </c>
    </row>
    <row r="19" ht="15.75" customHeight="1">
      <c r="A19" s="30" t="s">
        <v>23</v>
      </c>
      <c r="B19" s="19">
        <v>0.0</v>
      </c>
      <c r="C19" s="19">
        <f t="shared" ref="C19:M19" si="12">22306.73/12</f>
        <v>1858.894167</v>
      </c>
      <c r="D19" s="19">
        <f t="shared" si="12"/>
        <v>1858.894167</v>
      </c>
      <c r="E19" s="19">
        <f t="shared" si="12"/>
        <v>1858.894167</v>
      </c>
      <c r="F19" s="19">
        <f t="shared" si="12"/>
        <v>1858.894167</v>
      </c>
      <c r="G19" s="19">
        <f t="shared" si="12"/>
        <v>1858.894167</v>
      </c>
      <c r="H19" s="19">
        <f t="shared" si="12"/>
        <v>1858.894167</v>
      </c>
      <c r="I19" s="19">
        <f t="shared" si="12"/>
        <v>1858.894167</v>
      </c>
      <c r="J19" s="19">
        <f t="shared" si="12"/>
        <v>1858.894167</v>
      </c>
      <c r="K19" s="19">
        <f t="shared" si="12"/>
        <v>1858.894167</v>
      </c>
      <c r="L19" s="19">
        <f t="shared" si="12"/>
        <v>1858.894167</v>
      </c>
      <c r="M19" s="19">
        <f t="shared" si="12"/>
        <v>1858.894167</v>
      </c>
      <c r="N19" s="18">
        <f t="shared" si="7"/>
        <v>20447.83583</v>
      </c>
      <c r="O19" s="29">
        <f t="shared" si="8"/>
        <v>0.01257865457</v>
      </c>
    </row>
    <row r="20" ht="15.75" customHeight="1">
      <c r="A20" s="22" t="s">
        <v>24</v>
      </c>
      <c r="B20" s="87">
        <f t="shared" ref="B20:G20" si="13">118354/12</f>
        <v>9862.833333</v>
      </c>
      <c r="C20" s="87">
        <f t="shared" si="13"/>
        <v>9862.833333</v>
      </c>
      <c r="D20" s="87">
        <f t="shared" si="13"/>
        <v>9862.833333</v>
      </c>
      <c r="E20" s="87">
        <f t="shared" si="13"/>
        <v>9862.833333</v>
      </c>
      <c r="F20" s="87">
        <f t="shared" si="13"/>
        <v>9862.833333</v>
      </c>
      <c r="G20" s="87">
        <f t="shared" si="13"/>
        <v>9862.833333</v>
      </c>
      <c r="H20" s="17">
        <f t="shared" ref="H20:M20" si="14">87621/12</f>
        <v>7301.75</v>
      </c>
      <c r="I20" s="17">
        <f t="shared" si="14"/>
        <v>7301.75</v>
      </c>
      <c r="J20" s="17">
        <f t="shared" si="14"/>
        <v>7301.75</v>
      </c>
      <c r="K20" s="17">
        <f t="shared" si="14"/>
        <v>7301.75</v>
      </c>
      <c r="L20" s="17">
        <f t="shared" si="14"/>
        <v>7301.75</v>
      </c>
      <c r="M20" s="17">
        <f t="shared" si="14"/>
        <v>7301.75</v>
      </c>
      <c r="N20" s="18">
        <f t="shared" si="7"/>
        <v>102987.5</v>
      </c>
      <c r="O20" s="29">
        <f t="shared" si="8"/>
        <v>0.06335360856</v>
      </c>
    </row>
    <row r="21" ht="15.75" customHeight="1">
      <c r="A21" s="22" t="s">
        <v>25</v>
      </c>
      <c r="B21" s="17">
        <f>361768.33+92091/12</f>
        <v>369442.58</v>
      </c>
      <c r="C21" s="17">
        <f>351012.15+92091/12</f>
        <v>358686.4</v>
      </c>
      <c r="D21" s="17">
        <f>411550+92091/12</f>
        <v>419224.25</v>
      </c>
      <c r="E21" s="17">
        <f>405480+92091/12</f>
        <v>413154.25</v>
      </c>
      <c r="F21" s="17">
        <f>384197+92091/12</f>
        <v>391871.25</v>
      </c>
      <c r="G21" s="17">
        <f>414738+92091/12</f>
        <v>422412.25</v>
      </c>
      <c r="H21" s="17">
        <f>92091/12+399164</f>
        <v>406838.25</v>
      </c>
      <c r="I21" s="17">
        <f>92091/12+7000+428285.67</f>
        <v>442959.92</v>
      </c>
      <c r="J21" s="17">
        <f>92091/12+410722+7000</f>
        <v>425396.25</v>
      </c>
      <c r="K21" s="17">
        <f>92091/12+7000+421758</f>
        <v>436432.25</v>
      </c>
      <c r="L21" s="17">
        <f>92091/12+387138+7000</f>
        <v>401812.25</v>
      </c>
      <c r="M21" s="17">
        <f>92091/12+7000+368937</f>
        <v>383611.25</v>
      </c>
      <c r="N21" s="18">
        <f t="shared" si="7"/>
        <v>4871841.15</v>
      </c>
      <c r="O21" s="29">
        <f t="shared" si="8"/>
        <v>2.996953195</v>
      </c>
    </row>
    <row r="22" ht="15.75" customHeight="1">
      <c r="A22" s="14" t="s">
        <v>26</v>
      </c>
      <c r="B22" s="19">
        <v>10455.0</v>
      </c>
      <c r="C22" s="17">
        <f>5192+5145</f>
        <v>10337</v>
      </c>
      <c r="D22" s="17">
        <f>11210/12+5192+5145</f>
        <v>11271.16667</v>
      </c>
      <c r="E22" s="17">
        <f>11210/12+5145+5192</f>
        <v>11271.16667</v>
      </c>
      <c r="F22" s="17">
        <f t="shared" ref="F22:G22" si="15">11210/12+5192+5145</f>
        <v>11271.16667</v>
      </c>
      <c r="G22" s="17">
        <f t="shared" si="15"/>
        <v>11271.16667</v>
      </c>
      <c r="H22" s="17">
        <f>11210/12+5145+5192</f>
        <v>11271.16667</v>
      </c>
      <c r="I22" s="17">
        <f>11210/12+4720+5145</f>
        <v>10799.16667</v>
      </c>
      <c r="J22" s="17">
        <f>11210/12+5145+4720</f>
        <v>10799.16667</v>
      </c>
      <c r="K22" s="17">
        <f t="shared" ref="K22:M22" si="16">11210/12+4720+5145</f>
        <v>10799.16667</v>
      </c>
      <c r="L22" s="17">
        <f t="shared" si="16"/>
        <v>10799.16667</v>
      </c>
      <c r="M22" s="17">
        <f t="shared" si="16"/>
        <v>10799.16667</v>
      </c>
      <c r="N22" s="18">
        <f t="shared" si="7"/>
        <v>131143.6667</v>
      </c>
      <c r="O22" s="29">
        <f t="shared" si="8"/>
        <v>0.0806741063</v>
      </c>
    </row>
    <row r="23" ht="15.75" customHeight="1">
      <c r="A23" s="33" t="s">
        <v>27</v>
      </c>
      <c r="B23" s="19">
        <f t="shared" ref="B23:J23" si="17">2124/3</f>
        <v>708</v>
      </c>
      <c r="C23" s="19">
        <f t="shared" si="17"/>
        <v>708</v>
      </c>
      <c r="D23" s="19">
        <f t="shared" si="17"/>
        <v>708</v>
      </c>
      <c r="E23" s="19">
        <f t="shared" si="17"/>
        <v>708</v>
      </c>
      <c r="F23" s="19">
        <f t="shared" si="17"/>
        <v>708</v>
      </c>
      <c r="G23" s="19">
        <f t="shared" si="17"/>
        <v>708</v>
      </c>
      <c r="H23" s="19">
        <f t="shared" si="17"/>
        <v>708</v>
      </c>
      <c r="I23" s="19">
        <f t="shared" si="17"/>
        <v>708</v>
      </c>
      <c r="J23" s="19">
        <f t="shared" si="17"/>
        <v>708</v>
      </c>
      <c r="K23" s="17">
        <f t="shared" ref="K23:M23" si="18">3304/3</f>
        <v>1101.333333</v>
      </c>
      <c r="L23" s="17">
        <f t="shared" si="18"/>
        <v>1101.333333</v>
      </c>
      <c r="M23" s="17">
        <f t="shared" si="18"/>
        <v>1101.333333</v>
      </c>
      <c r="N23" s="18">
        <f t="shared" si="7"/>
        <v>9676</v>
      </c>
      <c r="O23" s="29">
        <f t="shared" si="8"/>
        <v>0.005952271066</v>
      </c>
    </row>
    <row r="24" ht="15.75" customHeight="1">
      <c r="A24" s="22" t="s">
        <v>28</v>
      </c>
      <c r="B24" s="31">
        <v>3835.0</v>
      </c>
      <c r="C24" s="31">
        <v>1450.0</v>
      </c>
      <c r="D24" s="31">
        <v>2617.0</v>
      </c>
      <c r="E24" s="31">
        <v>0.0</v>
      </c>
      <c r="F24" s="19">
        <v>14602.0</v>
      </c>
      <c r="G24" s="17">
        <f>15242</f>
        <v>15242</v>
      </c>
      <c r="H24" s="19">
        <v>10232.0</v>
      </c>
      <c r="I24" s="19">
        <v>13806.0</v>
      </c>
      <c r="J24" s="19">
        <v>200.0</v>
      </c>
      <c r="K24" s="19">
        <v>12154.0</v>
      </c>
      <c r="L24" s="17">
        <f>4602</f>
        <v>4602</v>
      </c>
      <c r="M24" s="19">
        <v>0.0</v>
      </c>
      <c r="N24" s="18">
        <f t="shared" si="7"/>
        <v>78740</v>
      </c>
      <c r="O24" s="29">
        <f t="shared" si="8"/>
        <v>0.0484375593</v>
      </c>
    </row>
    <row r="25" ht="15.75" customHeight="1">
      <c r="A25" s="22" t="s">
        <v>29</v>
      </c>
      <c r="B25" s="19">
        <v>8612.56</v>
      </c>
      <c r="C25" s="19">
        <v>6587.6</v>
      </c>
      <c r="D25" s="19">
        <v>10172.81</v>
      </c>
      <c r="E25" s="19">
        <v>5596.44</v>
      </c>
      <c r="F25" s="19">
        <v>19430.0</v>
      </c>
      <c r="G25" s="17">
        <f>18871.4</f>
        <v>18871.4</v>
      </c>
      <c r="H25" s="19">
        <v>9358.0</v>
      </c>
      <c r="I25" s="19">
        <v>21597.6</v>
      </c>
      <c r="J25" s="19">
        <v>14775.51</v>
      </c>
      <c r="K25" s="19">
        <v>13260.5</v>
      </c>
      <c r="L25" s="19">
        <v>12589.3</v>
      </c>
      <c r="M25" s="19">
        <v>13882.44</v>
      </c>
      <c r="N25" s="18">
        <f t="shared" si="7"/>
        <v>154734.16</v>
      </c>
      <c r="O25" s="29">
        <f t="shared" si="8"/>
        <v>0.09518599251</v>
      </c>
    </row>
    <row r="26" ht="15.75" customHeight="1">
      <c r="A26" s="22" t="s">
        <v>30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>
        <f t="shared" si="7"/>
        <v>0</v>
      </c>
      <c r="O26" s="29">
        <f t="shared" si="8"/>
        <v>0</v>
      </c>
    </row>
    <row r="27" ht="15.75" customHeight="1">
      <c r="A27" s="22" t="s">
        <v>31</v>
      </c>
      <c r="B27" s="17">
        <f>HO!D38</f>
        <v>324352.8885</v>
      </c>
      <c r="C27" s="17">
        <f>HO!H38</f>
        <v>354607.5005</v>
      </c>
      <c r="D27" s="17">
        <f>HO!L38</f>
        <v>314991.1694</v>
      </c>
      <c r="E27" s="17">
        <f>HO!P38</f>
        <v>319426.8727</v>
      </c>
      <c r="F27" s="17">
        <f>HO!D51</f>
        <v>330287.0709</v>
      </c>
      <c r="G27" s="17">
        <f>HO!H51</f>
        <v>303239.8114</v>
      </c>
      <c r="H27" s="17">
        <f>HO!L51</f>
        <v>336039.4644</v>
      </c>
      <c r="I27" s="17">
        <f>HO!P51</f>
        <v>298459.5424</v>
      </c>
      <c r="J27" s="17">
        <f>HO!D65</f>
        <v>303439.9885</v>
      </c>
      <c r="K27" s="17">
        <f>HO!H65</f>
        <v>319295.1227</v>
      </c>
      <c r="L27" s="17">
        <f>HO!L65</f>
        <v>317895.052</v>
      </c>
      <c r="M27" s="17">
        <f>HO!P65</f>
        <v>393068.1065</v>
      </c>
      <c r="N27" s="18">
        <f t="shared" si="7"/>
        <v>3915102.59</v>
      </c>
      <c r="O27" s="29">
        <f t="shared" si="8"/>
        <v>2.408407593</v>
      </c>
    </row>
    <row r="28" ht="15.75" customHeight="1">
      <c r="A28" s="34" t="s">
        <v>32</v>
      </c>
      <c r="B28" s="35">
        <f t="shared" ref="B28:M28" si="19">+SUM(B14:B27)</f>
        <v>1907437.862</v>
      </c>
      <c r="C28" s="35">
        <f t="shared" si="19"/>
        <v>2013387.228</v>
      </c>
      <c r="D28" s="35">
        <f t="shared" si="19"/>
        <v>2003126.124</v>
      </c>
      <c r="E28" s="35">
        <f t="shared" si="19"/>
        <v>2031593.457</v>
      </c>
      <c r="F28" s="36">
        <f t="shared" si="19"/>
        <v>1996583.785</v>
      </c>
      <c r="G28" s="35">
        <f t="shared" si="19"/>
        <v>1951959.016</v>
      </c>
      <c r="H28" s="35">
        <f t="shared" si="19"/>
        <v>1924067.955</v>
      </c>
      <c r="I28" s="35">
        <f t="shared" si="19"/>
        <v>1861455.423</v>
      </c>
      <c r="J28" s="35">
        <f t="shared" si="19"/>
        <v>1837501.329</v>
      </c>
      <c r="K28" s="35">
        <f t="shared" si="19"/>
        <v>2015955.347</v>
      </c>
      <c r="L28" s="35">
        <f t="shared" si="19"/>
        <v>1965056.526</v>
      </c>
      <c r="M28" s="35">
        <f t="shared" si="19"/>
        <v>2108905.191</v>
      </c>
      <c r="N28" s="35">
        <f t="shared" si="7"/>
        <v>23617029.24</v>
      </c>
      <c r="O28" s="37">
        <f t="shared" si="8"/>
        <v>14.52820999</v>
      </c>
    </row>
    <row r="29" ht="15.75" customHeight="1">
      <c r="A29" s="38" t="s">
        <v>33</v>
      </c>
      <c r="B29" s="39">
        <f t="shared" ref="B29:M29" si="20">B13-B28</f>
        <v>-126222.8818</v>
      </c>
      <c r="C29" s="39">
        <f t="shared" si="20"/>
        <v>-2530.627958</v>
      </c>
      <c r="D29" s="39">
        <f t="shared" si="20"/>
        <v>-177369.2747</v>
      </c>
      <c r="E29" s="39">
        <f t="shared" si="20"/>
        <v>-211595.8161</v>
      </c>
      <c r="F29" s="39">
        <f t="shared" si="20"/>
        <v>-168959.725</v>
      </c>
      <c r="G29" s="39">
        <f t="shared" si="20"/>
        <v>-267878.0389</v>
      </c>
      <c r="H29" s="39">
        <f t="shared" si="20"/>
        <v>-177900.7289</v>
      </c>
      <c r="I29" s="39">
        <f t="shared" si="20"/>
        <v>-189317.8118</v>
      </c>
      <c r="J29" s="39">
        <f t="shared" si="20"/>
        <v>-123587.9425</v>
      </c>
      <c r="K29" s="39">
        <f t="shared" si="20"/>
        <v>61979.51989</v>
      </c>
      <c r="L29" s="39">
        <f t="shared" si="20"/>
        <v>83670.91782</v>
      </c>
      <c r="M29" s="39">
        <f t="shared" si="20"/>
        <v>373363.0612</v>
      </c>
      <c r="N29" s="39">
        <f t="shared" si="7"/>
        <v>-926349.3489</v>
      </c>
      <c r="O29" s="40">
        <f t="shared" si="8"/>
        <v>-0.5698514289</v>
      </c>
    </row>
    <row r="30" ht="15.75" customHeight="1">
      <c r="A30" s="41" t="s">
        <v>34</v>
      </c>
      <c r="B30" s="42">
        <f t="shared" ref="B30:M30" si="21">(B14/B13)</f>
        <v>0.2695946337</v>
      </c>
      <c r="C30" s="42">
        <f t="shared" si="21"/>
        <v>0.2717811902</v>
      </c>
      <c r="D30" s="42">
        <f t="shared" si="21"/>
        <v>0.2754731553</v>
      </c>
      <c r="E30" s="42">
        <f t="shared" si="21"/>
        <v>0.2951465364</v>
      </c>
      <c r="F30" s="43">
        <f t="shared" si="21"/>
        <v>0.2852008252</v>
      </c>
      <c r="G30" s="42">
        <f t="shared" si="21"/>
        <v>0.2903397561</v>
      </c>
      <c r="H30" s="42">
        <f t="shared" si="21"/>
        <v>0.2726379368</v>
      </c>
      <c r="I30" s="42">
        <f t="shared" si="21"/>
        <v>0.2606074686</v>
      </c>
      <c r="J30" s="42">
        <f t="shared" si="21"/>
        <v>0.260706739</v>
      </c>
      <c r="K30" s="42">
        <f t="shared" si="21"/>
        <v>0.2743011868</v>
      </c>
      <c r="L30" s="42">
        <f t="shared" si="21"/>
        <v>0.2765483772</v>
      </c>
      <c r="M30" s="42">
        <f t="shared" si="21"/>
        <v>0.2572293504</v>
      </c>
      <c r="N30" s="44"/>
      <c r="O30" s="44"/>
    </row>
    <row r="31" ht="15.75" customHeight="1"/>
    <row r="32" ht="15.75" customHeight="1">
      <c r="B32" s="58">
        <f t="shared" ref="B32:M32" si="22">B29+B27</f>
        <v>198130.0067</v>
      </c>
      <c r="C32" s="58">
        <f t="shared" si="22"/>
        <v>352076.8725</v>
      </c>
      <c r="D32" s="58">
        <f t="shared" si="22"/>
        <v>137621.8946</v>
      </c>
      <c r="E32" s="58">
        <f t="shared" si="22"/>
        <v>107831.0566</v>
      </c>
      <c r="F32" s="58">
        <f t="shared" si="22"/>
        <v>161327.3458</v>
      </c>
      <c r="G32" s="58">
        <f t="shared" si="22"/>
        <v>35361.77243</v>
      </c>
      <c r="H32" s="58">
        <f t="shared" si="22"/>
        <v>158138.7356</v>
      </c>
      <c r="I32" s="58">
        <f t="shared" si="22"/>
        <v>109141.7306</v>
      </c>
      <c r="J32" s="58">
        <f t="shared" si="22"/>
        <v>179852.046</v>
      </c>
      <c r="K32" s="58">
        <f t="shared" si="22"/>
        <v>381274.6426</v>
      </c>
      <c r="L32" s="58">
        <f t="shared" si="22"/>
        <v>401565.9698</v>
      </c>
      <c r="M32" s="58">
        <f t="shared" si="22"/>
        <v>766431.1676</v>
      </c>
    </row>
    <row r="33" ht="15.75" customHeight="1">
      <c r="B33" s="59">
        <f t="shared" ref="B33:M33" si="23">B32/B13</f>
        <v>0.1112330678</v>
      </c>
      <c r="C33" s="59">
        <f t="shared" si="23"/>
        <v>0.175088006</v>
      </c>
      <c r="D33" s="59">
        <f t="shared" si="23"/>
        <v>0.0753779972</v>
      </c>
      <c r="E33" s="59">
        <f t="shared" si="23"/>
        <v>0.05924791012</v>
      </c>
      <c r="F33" s="59">
        <f t="shared" si="23"/>
        <v>0.08827162509</v>
      </c>
      <c r="G33" s="59">
        <f t="shared" si="23"/>
        <v>0.02099766753</v>
      </c>
      <c r="H33" s="59">
        <f t="shared" si="23"/>
        <v>0.09056333963</v>
      </c>
      <c r="I33" s="59">
        <f t="shared" si="23"/>
        <v>0.06527078263</v>
      </c>
      <c r="J33" s="59">
        <f t="shared" si="23"/>
        <v>0.1049364847</v>
      </c>
      <c r="K33" s="59">
        <f t="shared" si="23"/>
        <v>0.1834872925</v>
      </c>
      <c r="L33" s="59">
        <f t="shared" si="23"/>
        <v>0.1960075124</v>
      </c>
      <c r="M33" s="59">
        <f t="shared" si="23"/>
        <v>0.3087624261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47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16">
        <v>39372.36</v>
      </c>
      <c r="C3" s="23">
        <f t="shared" ref="C3:M3" si="1">B7</f>
        <v>30806</v>
      </c>
      <c r="D3" s="23">
        <f t="shared" si="1"/>
        <v>32330.4</v>
      </c>
      <c r="E3" s="17">
        <f t="shared" si="1"/>
        <v>27772.98</v>
      </c>
      <c r="F3" s="17">
        <f t="shared" si="1"/>
        <v>37150</v>
      </c>
      <c r="G3" s="17">
        <f t="shared" si="1"/>
        <v>40504.92</v>
      </c>
      <c r="H3" s="17">
        <f t="shared" si="1"/>
        <v>34431</v>
      </c>
      <c r="I3" s="17">
        <f t="shared" si="1"/>
        <v>35812.43</v>
      </c>
      <c r="J3" s="17">
        <f t="shared" si="1"/>
        <v>30939.03</v>
      </c>
      <c r="K3" s="17">
        <f t="shared" si="1"/>
        <v>32629</v>
      </c>
      <c r="L3" s="17">
        <f t="shared" si="1"/>
        <v>29637.51</v>
      </c>
      <c r="M3" s="17">
        <f t="shared" si="1"/>
        <v>25626.77</v>
      </c>
      <c r="N3" s="18">
        <f>+SUM(J3:L3)</f>
        <v>93205.54</v>
      </c>
      <c r="O3" s="20"/>
    </row>
    <row r="4" ht="15.75" customHeight="1">
      <c r="A4" s="14" t="s">
        <v>9</v>
      </c>
      <c r="B4" s="50">
        <v>361024.0</v>
      </c>
      <c r="C4" s="50">
        <v>364288.95</v>
      </c>
      <c r="D4" s="50">
        <v>370711.93</v>
      </c>
      <c r="E4" s="19">
        <v>444258.0</v>
      </c>
      <c r="F4" s="19">
        <v>397187.0</v>
      </c>
      <c r="G4" s="19">
        <v>312095.0</v>
      </c>
      <c r="H4" s="19">
        <v>353291.84</v>
      </c>
      <c r="I4" s="19">
        <v>346673.11</v>
      </c>
      <c r="J4" s="19">
        <v>395628.0</v>
      </c>
      <c r="K4" s="19">
        <v>420156.65</v>
      </c>
      <c r="L4" s="19">
        <v>352463.98</v>
      </c>
      <c r="M4" s="19">
        <v>448119.91</v>
      </c>
      <c r="N4" s="18">
        <f>sum(B4:M4)</f>
        <v>4565898.37</v>
      </c>
      <c r="O4" s="20"/>
    </row>
    <row r="5" ht="15.75" customHeight="1">
      <c r="A5" s="14" t="s">
        <v>10</v>
      </c>
      <c r="B5" s="50">
        <v>0.0</v>
      </c>
      <c r="C5" s="50">
        <v>1724.83</v>
      </c>
      <c r="D5" s="50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8">
        <f t="shared" ref="N5:N6" si="2">+SUM(J5:L5)</f>
        <v>0</v>
      </c>
      <c r="O5" s="20"/>
    </row>
    <row r="6" ht="15.75" customHeight="1">
      <c r="A6" s="14" t="s">
        <v>11</v>
      </c>
      <c r="B6" s="50">
        <v>22587.0</v>
      </c>
      <c r="C6" s="50">
        <v>24175.49</v>
      </c>
      <c r="D6" s="50">
        <v>21349.0</v>
      </c>
      <c r="E6" s="19">
        <v>25562.0</v>
      </c>
      <c r="F6" s="19">
        <v>28989.0</v>
      </c>
      <c r="G6" s="19">
        <v>27044.0</v>
      </c>
      <c r="H6" s="19">
        <v>28407.0</v>
      </c>
      <c r="I6" s="19">
        <v>25968.0</v>
      </c>
      <c r="J6" s="19">
        <v>26215.0</v>
      </c>
      <c r="K6" s="19">
        <v>24450.75</v>
      </c>
      <c r="L6" s="19">
        <v>19524.64</v>
      </c>
      <c r="M6" s="19">
        <v>19830.83</v>
      </c>
      <c r="N6" s="18">
        <f t="shared" si="2"/>
        <v>70190.39</v>
      </c>
      <c r="O6" s="20"/>
    </row>
    <row r="7" ht="15.75" customHeight="1">
      <c r="A7" s="14" t="s">
        <v>12</v>
      </c>
      <c r="B7" s="50">
        <v>30806.0</v>
      </c>
      <c r="C7" s="50">
        <v>32330.4</v>
      </c>
      <c r="D7" s="50">
        <v>27772.98</v>
      </c>
      <c r="E7" s="19">
        <v>37150.0</v>
      </c>
      <c r="F7" s="19">
        <v>40504.92</v>
      </c>
      <c r="G7" s="19">
        <v>34431.0</v>
      </c>
      <c r="H7" s="19">
        <v>35812.43</v>
      </c>
      <c r="I7" s="19">
        <v>30939.03</v>
      </c>
      <c r="J7" s="19">
        <v>32629.0</v>
      </c>
      <c r="K7" s="19">
        <v>29637.51</v>
      </c>
      <c r="L7" s="19">
        <v>25626.77</v>
      </c>
      <c r="M7" s="19">
        <v>21771.51</v>
      </c>
      <c r="N7" s="18">
        <f>sum(B7:M7)</f>
        <v>379411.55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>
        <f>1606370.56*1.05</f>
        <v>1686689.088</v>
      </c>
      <c r="C9" s="17">
        <f>1771104.2*1.05+13222.49*1.05</f>
        <v>1873543.025</v>
      </c>
      <c r="D9" s="17">
        <f>(1818571.5-134.88)*1.05+13513.97*1.05</f>
        <v>1923548.12</v>
      </c>
      <c r="E9" s="17">
        <f>1925917.21*1.05</f>
        <v>2022213.071</v>
      </c>
      <c r="F9" s="17">
        <f>1933835.07*1.05</f>
        <v>2030526.824</v>
      </c>
      <c r="G9" s="17">
        <f>1626442*1.05+11416*1.05</f>
        <v>1719750.9</v>
      </c>
      <c r="H9" s="17">
        <f>1550288.4*1.05+10177.83*1.05</f>
        <v>1638489.542</v>
      </c>
      <c r="I9" s="17">
        <f>1502280.44*1.05+10622.84*1.05</f>
        <v>1588548.444</v>
      </c>
      <c r="J9" s="17">
        <f>1675562.22*1.05+7656.14*1.05</f>
        <v>1767379.278</v>
      </c>
      <c r="K9" s="19">
        <f>1732893.52*1.05+10858.77*1.05</f>
        <v>1830939.905</v>
      </c>
      <c r="L9" s="17">
        <f>1360755.81*1.05+10691.87*1.05</f>
        <v>1440020.064</v>
      </c>
      <c r="M9" s="17">
        <f>1926907.75*1.05+13170.61*1.05</f>
        <v>2037082.278</v>
      </c>
      <c r="N9" s="18">
        <f t="shared" ref="N9:N12" si="3">+SUM(B9:M9)</f>
        <v>21558730.54</v>
      </c>
      <c r="O9" s="20"/>
    </row>
    <row r="10" ht="15.75" customHeight="1">
      <c r="A10" s="22" t="s">
        <v>14</v>
      </c>
      <c r="B10" s="19">
        <v>0.0</v>
      </c>
      <c r="C10" s="19">
        <v>0.0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>
        <f t="shared" si="3"/>
        <v>0</v>
      </c>
      <c r="O10" s="20"/>
    </row>
    <row r="11" ht="15.75" customHeight="1">
      <c r="A11" s="22" t="s">
        <v>15</v>
      </c>
      <c r="B11" s="17">
        <f t="shared" ref="B11:M11" si="4">(B9+B10)/1.05*0.05</f>
        <v>80318.528</v>
      </c>
      <c r="C11" s="17">
        <f t="shared" si="4"/>
        <v>89216.3345</v>
      </c>
      <c r="D11" s="17">
        <f t="shared" si="4"/>
        <v>91597.5295</v>
      </c>
      <c r="E11" s="17">
        <f t="shared" si="4"/>
        <v>96295.8605</v>
      </c>
      <c r="F11" s="17">
        <f t="shared" si="4"/>
        <v>96691.7535</v>
      </c>
      <c r="G11" s="17">
        <f t="shared" si="4"/>
        <v>81892.9</v>
      </c>
      <c r="H11" s="17">
        <f t="shared" si="4"/>
        <v>78023.3115</v>
      </c>
      <c r="I11" s="17">
        <f t="shared" si="4"/>
        <v>75645.164</v>
      </c>
      <c r="J11" s="17">
        <f t="shared" si="4"/>
        <v>84160.918</v>
      </c>
      <c r="K11" s="17">
        <f t="shared" si="4"/>
        <v>87187.6145</v>
      </c>
      <c r="L11" s="17">
        <f t="shared" si="4"/>
        <v>68572.384</v>
      </c>
      <c r="M11" s="17">
        <f t="shared" si="4"/>
        <v>97003.918</v>
      </c>
      <c r="N11" s="18">
        <f t="shared" si="3"/>
        <v>1026606.216</v>
      </c>
      <c r="O11" s="20"/>
    </row>
    <row r="12" ht="15.75" customHeight="1">
      <c r="A12" s="22" t="s">
        <v>16</v>
      </c>
      <c r="B12" s="19">
        <f>12267.67+2208.17+1271.04+31391.55+519.21+5650.48+93.46</f>
        <v>53401.58</v>
      </c>
      <c r="C12" s="17">
        <f>31538.87+5677+7572.58+1168.6+1363.07+210.35+1960.42+352.88</f>
        <v>49843.77</v>
      </c>
      <c r="D12" s="17">
        <f>31994.99+5759+12602.08+2268.32+2378.18+428</f>
        <v>55430.57</v>
      </c>
      <c r="E12" s="17">
        <f>18198+3275.92+32022.81+5764.1+826.46*1.18</f>
        <v>60236.0528</v>
      </c>
      <c r="F12" s="17">
        <f>26992.23+4858.6+16307.42+2935.35+1989</f>
        <v>53082.6</v>
      </c>
      <c r="G12" s="17">
        <f>27212.62*1.18+10127.31*1.18+580.04*1.18</f>
        <v>44745.5646</v>
      </c>
      <c r="H12" s="17">
        <f>24246.04*1.18+14249.05*1.18+2544.59*1.18</f>
        <v>48426.8224</v>
      </c>
      <c r="I12" s="17">
        <f>(9940.06+26049)*1.18+929.95*1.18+3557.4*1.18+1474.79*1.18</f>
        <v>49502.416</v>
      </c>
      <c r="J12" s="17">
        <f>20445.53*1.18+12889.12*1.18+4177.61*1.18</f>
        <v>44264.4668</v>
      </c>
      <c r="K12" s="17">
        <f>27375.71*1.18+18913.4*1.18+2738.5*1.18</f>
        <v>57852.5798</v>
      </c>
      <c r="L12" s="17">
        <f>15375.4*1.18+26562.74*1.18+1654.54*1.18</f>
        <v>51439.3624</v>
      </c>
      <c r="M12" s="17">
        <f>26948.89*1.18+32705.63*1.18+4094.7*1.18</f>
        <v>75224.0796</v>
      </c>
      <c r="N12" s="18">
        <f t="shared" si="3"/>
        <v>643449.8644</v>
      </c>
      <c r="O12" s="20"/>
    </row>
    <row r="13" ht="15.75" customHeight="1">
      <c r="A13" s="24" t="s">
        <v>17</v>
      </c>
      <c r="B13" s="25">
        <f t="shared" ref="B13:M13" si="5">B9+B10-B11-B12</f>
        <v>1552968.98</v>
      </c>
      <c r="C13" s="25">
        <f t="shared" si="5"/>
        <v>1734482.92</v>
      </c>
      <c r="D13" s="25">
        <f t="shared" si="5"/>
        <v>1776520.02</v>
      </c>
      <c r="E13" s="25">
        <f t="shared" si="5"/>
        <v>1865681.157</v>
      </c>
      <c r="F13" s="26">
        <f t="shared" si="5"/>
        <v>1880752.47</v>
      </c>
      <c r="G13" s="26">
        <f t="shared" si="5"/>
        <v>1593112.435</v>
      </c>
      <c r="H13" s="25">
        <f t="shared" si="5"/>
        <v>1512039.408</v>
      </c>
      <c r="I13" s="25">
        <f t="shared" si="5"/>
        <v>1463400.864</v>
      </c>
      <c r="J13" s="25">
        <f t="shared" si="5"/>
        <v>1638953.893</v>
      </c>
      <c r="K13" s="25">
        <f t="shared" si="5"/>
        <v>1685899.71</v>
      </c>
      <c r="L13" s="25">
        <f t="shared" si="5"/>
        <v>1320008.318</v>
      </c>
      <c r="M13" s="25">
        <f t="shared" si="5"/>
        <v>1864854.28</v>
      </c>
      <c r="N13" s="25">
        <f t="shared" ref="N13:N29" si="7">sum(B13:M13)</f>
        <v>19888674.46</v>
      </c>
      <c r="O13" s="27">
        <f>N13/$N$7</f>
        <v>52.41979179</v>
      </c>
    </row>
    <row r="14" ht="15.75" customHeight="1">
      <c r="A14" s="22" t="s">
        <v>18</v>
      </c>
      <c r="B14" s="28">
        <f t="shared" ref="B14:M14" si="6">+B3+B4-B5-B7</f>
        <v>369590.36</v>
      </c>
      <c r="C14" s="28">
        <f t="shared" si="6"/>
        <v>361039.72</v>
      </c>
      <c r="D14" s="28">
        <f t="shared" si="6"/>
        <v>375269.35</v>
      </c>
      <c r="E14" s="28">
        <f t="shared" si="6"/>
        <v>434880.98</v>
      </c>
      <c r="F14" s="28">
        <f t="shared" si="6"/>
        <v>393832.08</v>
      </c>
      <c r="G14" s="28">
        <f t="shared" si="6"/>
        <v>318168.92</v>
      </c>
      <c r="H14" s="28">
        <f t="shared" si="6"/>
        <v>351910.41</v>
      </c>
      <c r="I14" s="28">
        <f t="shared" si="6"/>
        <v>351546.51</v>
      </c>
      <c r="J14" s="28">
        <f t="shared" si="6"/>
        <v>393938.03</v>
      </c>
      <c r="K14" s="28">
        <f t="shared" si="6"/>
        <v>423148.14</v>
      </c>
      <c r="L14" s="28">
        <f t="shared" si="6"/>
        <v>356474.72</v>
      </c>
      <c r="M14" s="28">
        <f t="shared" si="6"/>
        <v>451975.17</v>
      </c>
      <c r="N14" s="18">
        <f t="shared" si="7"/>
        <v>4581774.39</v>
      </c>
      <c r="O14" s="29">
        <f t="shared" ref="O14:O29" si="8">N14/$N$13</f>
        <v>0.2303710285</v>
      </c>
    </row>
    <row r="15" ht="15.75" customHeight="1">
      <c r="A15" s="22" t="s">
        <v>19</v>
      </c>
      <c r="B15" s="19">
        <f>77882</f>
        <v>77882</v>
      </c>
      <c r="C15" s="19">
        <v>76146.0</v>
      </c>
      <c r="D15" s="17">
        <f>75983+9564</f>
        <v>85547</v>
      </c>
      <c r="E15" s="19">
        <f>76044+7383</f>
        <v>83427</v>
      </c>
      <c r="F15" s="17">
        <f>68289+12066</f>
        <v>80355</v>
      </c>
      <c r="G15" s="17">
        <f>64779.64+12298.44</f>
        <v>77078.08</v>
      </c>
      <c r="H15" s="19">
        <f>63674+8815</f>
        <v>72489</v>
      </c>
      <c r="I15" s="19">
        <f>57518+9657</f>
        <v>67175</v>
      </c>
      <c r="J15" s="19">
        <f>52433+10055</f>
        <v>62488</v>
      </c>
      <c r="K15" s="19">
        <f>63555+10421.76</f>
        <v>73976.76</v>
      </c>
      <c r="L15" s="19">
        <f>60616+9947.88</f>
        <v>70563.88</v>
      </c>
      <c r="M15" s="55">
        <f>+9356.92+61000</f>
        <v>70356.92</v>
      </c>
      <c r="N15" s="18">
        <f t="shared" si="7"/>
        <v>897484.64</v>
      </c>
      <c r="O15" s="29">
        <f t="shared" si="8"/>
        <v>0.04512541256</v>
      </c>
    </row>
    <row r="16" ht="15.75" customHeight="1">
      <c r="A16" s="22" t="s">
        <v>20</v>
      </c>
      <c r="B16" s="55"/>
      <c r="C16" s="21">
        <v>324.0</v>
      </c>
      <c r="D16" s="55"/>
      <c r="E16" s="55"/>
      <c r="F16" s="19">
        <v>1885.0</v>
      </c>
      <c r="G16" s="17">
        <f t="shared" ref="G16:H16" si="9">2120/2</f>
        <v>1060</v>
      </c>
      <c r="H16" s="17">
        <f t="shared" si="9"/>
        <v>1060</v>
      </c>
      <c r="I16" s="21">
        <v>1060.0</v>
      </c>
      <c r="J16" s="19">
        <v>942.0</v>
      </c>
      <c r="K16" s="17">
        <f>473+2442/3</f>
        <v>1287</v>
      </c>
      <c r="L16" s="17">
        <f t="shared" ref="L16:M16" si="10">2442/3+203</f>
        <v>1017</v>
      </c>
      <c r="M16" s="17">
        <f t="shared" si="10"/>
        <v>1017</v>
      </c>
      <c r="N16" s="18">
        <f t="shared" si="7"/>
        <v>9652</v>
      </c>
      <c r="O16" s="29">
        <f t="shared" si="8"/>
        <v>0.0004853013217</v>
      </c>
    </row>
    <row r="17" ht="15.75" customHeight="1">
      <c r="A17" s="22" t="s">
        <v>21</v>
      </c>
      <c r="B17" s="50">
        <f>106326.86+11239.26</f>
        <v>117566.12</v>
      </c>
      <c r="C17" s="19">
        <v>109658.72</v>
      </c>
      <c r="D17" s="19">
        <v>114915.0</v>
      </c>
      <c r="E17" s="19">
        <v>125387.0</v>
      </c>
      <c r="F17" s="19">
        <v>122011.7</v>
      </c>
      <c r="G17" s="17">
        <f>109713.94+1910</f>
        <v>111623.94</v>
      </c>
      <c r="H17" s="19">
        <v>108659.0</v>
      </c>
      <c r="I17" s="21">
        <v>115000.0</v>
      </c>
      <c r="J17" s="17">
        <f>117102.84</f>
        <v>117102.84</v>
      </c>
      <c r="K17" s="19">
        <v>123522.0</v>
      </c>
      <c r="L17" s="19">
        <f>106132</f>
        <v>106132</v>
      </c>
      <c r="M17" s="19">
        <v>146255.0</v>
      </c>
      <c r="N17" s="18">
        <f t="shared" si="7"/>
        <v>1417833.32</v>
      </c>
      <c r="O17" s="29">
        <f t="shared" si="8"/>
        <v>0.07128847743</v>
      </c>
    </row>
    <row r="18" ht="15.75" customHeight="1">
      <c r="A18" s="22" t="s">
        <v>22</v>
      </c>
      <c r="B18" s="17">
        <f>326539.52+65796</f>
        <v>392335.52</v>
      </c>
      <c r="C18" s="17">
        <f>326539.52+14857.35+50939.45</f>
        <v>392336.32</v>
      </c>
      <c r="D18" s="17">
        <f>326539.52+65796</f>
        <v>392335.52</v>
      </c>
      <c r="E18" s="17">
        <f>326539+65796</f>
        <v>392335</v>
      </c>
      <c r="F18" s="17">
        <f>326539.52+14857.35+50939.45</f>
        <v>392336.32</v>
      </c>
      <c r="G18" s="17">
        <f>326539.52+65796</f>
        <v>392335.52</v>
      </c>
      <c r="H18" s="17">
        <f>65797+326539</f>
        <v>392336</v>
      </c>
      <c r="I18" s="17">
        <f>326539.52+50444.21+15352.59</f>
        <v>392336.32</v>
      </c>
      <c r="J18" s="17">
        <f>65796.8+326539.52</f>
        <v>392336.32</v>
      </c>
      <c r="K18" s="17">
        <f>326539.52+14857.35+50939.45</f>
        <v>392336.32</v>
      </c>
      <c r="L18" s="17">
        <f t="shared" ref="L18:M18" si="11">326539.52+65796.8</f>
        <v>392336.32</v>
      </c>
      <c r="M18" s="17">
        <f t="shared" si="11"/>
        <v>392336.32</v>
      </c>
      <c r="N18" s="18">
        <f t="shared" si="7"/>
        <v>4708031.8</v>
      </c>
      <c r="O18" s="29">
        <f t="shared" si="8"/>
        <v>0.2367192349</v>
      </c>
    </row>
    <row r="19" ht="15.75" customHeight="1">
      <c r="A19" s="30" t="s">
        <v>23</v>
      </c>
      <c r="B19" s="19">
        <v>0.0</v>
      </c>
      <c r="C19" s="19">
        <v>0.0</v>
      </c>
      <c r="D19" s="19">
        <v>0.0</v>
      </c>
      <c r="E19" s="19">
        <v>0.0</v>
      </c>
      <c r="F19" s="19">
        <v>0.0</v>
      </c>
      <c r="G19" s="19">
        <v>0.0</v>
      </c>
      <c r="H19" s="19">
        <v>0.0</v>
      </c>
      <c r="I19" s="19">
        <v>0.0</v>
      </c>
      <c r="J19" s="19">
        <f t="shared" ref="J19:M19" si="12">13085/12+2006/12</f>
        <v>1257.583333</v>
      </c>
      <c r="K19" s="19">
        <f t="shared" si="12"/>
        <v>1257.583333</v>
      </c>
      <c r="L19" s="19">
        <f t="shared" si="12"/>
        <v>1257.583333</v>
      </c>
      <c r="M19" s="19">
        <f t="shared" si="12"/>
        <v>1257.583333</v>
      </c>
      <c r="N19" s="18">
        <f t="shared" si="7"/>
        <v>5030.333333</v>
      </c>
      <c r="O19" s="29">
        <f t="shared" si="8"/>
        <v>0.0002529245146</v>
      </c>
    </row>
    <row r="20" ht="15.75" customHeight="1">
      <c r="A20" s="22" t="s">
        <v>24</v>
      </c>
      <c r="B20" s="56">
        <f t="shared" ref="B20:F20" si="13">94282/12</f>
        <v>7856.833333</v>
      </c>
      <c r="C20" s="56">
        <f t="shared" si="13"/>
        <v>7856.833333</v>
      </c>
      <c r="D20" s="56">
        <f t="shared" si="13"/>
        <v>7856.833333</v>
      </c>
      <c r="E20" s="56">
        <f t="shared" si="13"/>
        <v>7856.833333</v>
      </c>
      <c r="F20" s="56">
        <f t="shared" si="13"/>
        <v>7856.833333</v>
      </c>
      <c r="G20" s="56">
        <f t="shared" ref="G20:M20" si="14">69207/12</f>
        <v>5767.25</v>
      </c>
      <c r="H20" s="56">
        <f t="shared" si="14"/>
        <v>5767.25</v>
      </c>
      <c r="I20" s="56">
        <f t="shared" si="14"/>
        <v>5767.25</v>
      </c>
      <c r="J20" s="56">
        <f t="shared" si="14"/>
        <v>5767.25</v>
      </c>
      <c r="K20" s="56">
        <f t="shared" si="14"/>
        <v>5767.25</v>
      </c>
      <c r="L20" s="56">
        <f t="shared" si="14"/>
        <v>5767.25</v>
      </c>
      <c r="M20" s="56">
        <f t="shared" si="14"/>
        <v>5767.25</v>
      </c>
      <c r="N20" s="18">
        <f t="shared" si="7"/>
        <v>79654.91667</v>
      </c>
      <c r="O20" s="29">
        <f t="shared" si="8"/>
        <v>0.004005038991</v>
      </c>
    </row>
    <row r="21" ht="15.75" customHeight="1">
      <c r="A21" s="22" t="s">
        <v>25</v>
      </c>
      <c r="B21" s="17">
        <f>3250+271699.35+1500+116646/12</f>
        <v>286169.85</v>
      </c>
      <c r="C21" s="17">
        <f>292595+3250+116646/12</f>
        <v>305565.5</v>
      </c>
      <c r="D21" s="17">
        <f>304412+116646/12</f>
        <v>314132.5</v>
      </c>
      <c r="E21" s="17">
        <f>283128+116646/12</f>
        <v>292848.5</v>
      </c>
      <c r="F21" s="17">
        <f>304206+5000+3250+116646/12</f>
        <v>322176.5</v>
      </c>
      <c r="G21" s="17">
        <f>282711+5000+116646/12</f>
        <v>297431.5</v>
      </c>
      <c r="H21" s="17">
        <f>116646/12+282867+5000</f>
        <v>297587.5</v>
      </c>
      <c r="I21" s="17">
        <f>116646/12+5000+274482</f>
        <v>289202.5</v>
      </c>
      <c r="J21" s="17">
        <f>116646/12+313050+5000</f>
        <v>327770.5</v>
      </c>
      <c r="K21" s="17">
        <f>116646/12+5000+303534</f>
        <v>318254.5</v>
      </c>
      <c r="L21" s="17">
        <f>116646/12+266628</f>
        <v>276348.5</v>
      </c>
      <c r="M21" s="17">
        <f>116646/12+10000+269591</f>
        <v>289311.5</v>
      </c>
      <c r="N21" s="18">
        <f t="shared" si="7"/>
        <v>3616799.35</v>
      </c>
      <c r="O21" s="29">
        <f t="shared" si="8"/>
        <v>0.1818522073</v>
      </c>
    </row>
    <row r="22" ht="15.75" customHeight="1">
      <c r="A22" s="14" t="s">
        <v>26</v>
      </c>
      <c r="B22" s="17">
        <f t="shared" ref="B22:C22" si="15">4720</f>
        <v>4720</v>
      </c>
      <c r="C22" s="17">
        <f t="shared" si="15"/>
        <v>4720</v>
      </c>
      <c r="D22" s="17">
        <f>5192</f>
        <v>5192</v>
      </c>
      <c r="E22" s="19">
        <v>5192.0</v>
      </c>
      <c r="F22" s="19">
        <f t="shared" ref="F22:G22" si="16">5192+2950</f>
        <v>8142</v>
      </c>
      <c r="G22" s="19">
        <f t="shared" si="16"/>
        <v>8142</v>
      </c>
      <c r="H22" s="17">
        <f>2950+5192</f>
        <v>8142</v>
      </c>
      <c r="I22" s="17">
        <f>4720+2950</f>
        <v>7670</v>
      </c>
      <c r="J22" s="17">
        <f>2950+4720</f>
        <v>7670</v>
      </c>
      <c r="K22" s="17">
        <f t="shared" ref="K22:M22" si="17">4720+2950</f>
        <v>7670</v>
      </c>
      <c r="L22" s="17">
        <f t="shared" si="17"/>
        <v>7670</v>
      </c>
      <c r="M22" s="17">
        <f t="shared" si="17"/>
        <v>7670</v>
      </c>
      <c r="N22" s="18">
        <f t="shared" si="7"/>
        <v>82600</v>
      </c>
      <c r="O22" s="29">
        <f t="shared" si="8"/>
        <v>0.004153117403</v>
      </c>
    </row>
    <row r="23" ht="15.75" customHeight="1">
      <c r="A23" s="33" t="s">
        <v>27</v>
      </c>
      <c r="B23" s="19">
        <f t="shared" ref="B23:J23" si="18">2124/3</f>
        <v>708</v>
      </c>
      <c r="C23" s="19">
        <f t="shared" si="18"/>
        <v>708</v>
      </c>
      <c r="D23" s="19">
        <f t="shared" si="18"/>
        <v>708</v>
      </c>
      <c r="E23" s="19">
        <f t="shared" si="18"/>
        <v>708</v>
      </c>
      <c r="F23" s="19">
        <f t="shared" si="18"/>
        <v>708</v>
      </c>
      <c r="G23" s="19">
        <f t="shared" si="18"/>
        <v>708</v>
      </c>
      <c r="H23" s="19">
        <f t="shared" si="18"/>
        <v>708</v>
      </c>
      <c r="I23" s="19">
        <f t="shared" si="18"/>
        <v>708</v>
      </c>
      <c r="J23" s="19">
        <f t="shared" si="18"/>
        <v>708</v>
      </c>
      <c r="K23" s="17">
        <f t="shared" ref="K23:M23" si="19">3304/3</f>
        <v>1101.333333</v>
      </c>
      <c r="L23" s="17">
        <f t="shared" si="19"/>
        <v>1101.333333</v>
      </c>
      <c r="M23" s="17">
        <f t="shared" si="19"/>
        <v>1101.333333</v>
      </c>
      <c r="N23" s="18">
        <f t="shared" si="7"/>
        <v>9676</v>
      </c>
      <c r="O23" s="29">
        <f t="shared" si="8"/>
        <v>0.0004865080386</v>
      </c>
    </row>
    <row r="24" ht="15.75" customHeight="1">
      <c r="A24" s="22" t="s">
        <v>28</v>
      </c>
      <c r="B24" s="31">
        <v>388.0</v>
      </c>
      <c r="C24" s="31">
        <v>450.0</v>
      </c>
      <c r="D24" s="31">
        <v>1350.0</v>
      </c>
      <c r="E24" s="31">
        <v>0.0</v>
      </c>
      <c r="F24" s="19">
        <v>5930.0</v>
      </c>
      <c r="G24" s="19">
        <v>450.0</v>
      </c>
      <c r="H24" s="19">
        <v>8546.0</v>
      </c>
      <c r="I24" s="19">
        <v>8791.0</v>
      </c>
      <c r="J24" s="19">
        <v>0.0</v>
      </c>
      <c r="K24" s="19">
        <v>0.0</v>
      </c>
      <c r="L24" s="17">
        <f>6490</f>
        <v>6490</v>
      </c>
      <c r="M24" s="19">
        <v>4520.0</v>
      </c>
      <c r="N24" s="18">
        <f t="shared" si="7"/>
        <v>36915</v>
      </c>
      <c r="O24" s="29">
        <f t="shared" si="8"/>
        <v>0.001856081464</v>
      </c>
    </row>
    <row r="25" ht="15.75" customHeight="1">
      <c r="A25" s="22" t="s">
        <v>29</v>
      </c>
      <c r="B25" s="19">
        <v>8672.82</v>
      </c>
      <c r="C25" s="19">
        <v>6820.51</v>
      </c>
      <c r="D25" s="19">
        <f>17236-9564</f>
        <v>7672</v>
      </c>
      <c r="E25" s="19">
        <v>4093.14</v>
      </c>
      <c r="F25" s="17">
        <f>21278</f>
        <v>21278</v>
      </c>
      <c r="G25" s="19">
        <v>18944.0</v>
      </c>
      <c r="H25" s="19">
        <v>12987.0</v>
      </c>
      <c r="I25" s="19">
        <v>17315.86</v>
      </c>
      <c r="J25" s="19">
        <v>18127.0</v>
      </c>
      <c r="K25" s="19">
        <v>10421.0</v>
      </c>
      <c r="L25" s="19">
        <v>11229.32</v>
      </c>
      <c r="M25" s="19">
        <v>10835.0</v>
      </c>
      <c r="N25" s="18">
        <f t="shared" si="7"/>
        <v>148395.65</v>
      </c>
      <c r="O25" s="29">
        <f t="shared" si="8"/>
        <v>0.007461314244</v>
      </c>
    </row>
    <row r="26" ht="15.75" customHeight="1">
      <c r="A26" s="22" t="s">
        <v>30</v>
      </c>
      <c r="B26" s="19">
        <v>150861.0</v>
      </c>
      <c r="C26" s="19">
        <v>150861.0</v>
      </c>
      <c r="D26" s="19">
        <v>150861.0</v>
      </c>
      <c r="E26" s="19">
        <v>150861.0</v>
      </c>
      <c r="F26" s="19">
        <v>150861.0</v>
      </c>
      <c r="G26" s="19">
        <v>150861.0</v>
      </c>
      <c r="H26" s="19">
        <v>150861.0</v>
      </c>
      <c r="I26" s="19">
        <v>150861.0</v>
      </c>
      <c r="J26" s="19">
        <v>150861.0</v>
      </c>
      <c r="K26" s="19">
        <v>150861.0</v>
      </c>
      <c r="L26" s="19">
        <v>150861.0</v>
      </c>
      <c r="M26" s="19">
        <v>159903.89</v>
      </c>
      <c r="N26" s="18">
        <f t="shared" si="7"/>
        <v>1819374.89</v>
      </c>
      <c r="O26" s="29">
        <f t="shared" si="8"/>
        <v>0.09147793605</v>
      </c>
    </row>
    <row r="27" ht="15.75" customHeight="1">
      <c r="A27" s="22" t="s">
        <v>31</v>
      </c>
      <c r="B27" s="17">
        <f>HO!D39</f>
        <v>282790.1068</v>
      </c>
      <c r="C27" s="17">
        <f>HO!H39</f>
        <v>305869.9725</v>
      </c>
      <c r="D27" s="17">
        <f>HO!L39</f>
        <v>306496.5189</v>
      </c>
      <c r="E27" s="17">
        <f>HO!P39</f>
        <v>327444.7638</v>
      </c>
      <c r="F27" s="17">
        <f>HO!D52</f>
        <v>339888.4037</v>
      </c>
      <c r="G27" s="17">
        <f>HO!H52</f>
        <v>286859.7895</v>
      </c>
      <c r="H27" s="17">
        <f>HO!L52</f>
        <v>290982.9626</v>
      </c>
      <c r="I27" s="17">
        <f>HO!P52</f>
        <v>261202.1578</v>
      </c>
      <c r="J27" s="17">
        <f>HO!D66</f>
        <v>290168.7765</v>
      </c>
      <c r="K27" s="17">
        <f>HO!H66</f>
        <v>259055.0664</v>
      </c>
      <c r="L27" s="17">
        <f>HO!L66</f>
        <v>204821.8342</v>
      </c>
      <c r="M27" s="17">
        <f>HO!P66</f>
        <v>295300.3731</v>
      </c>
      <c r="N27" s="18">
        <f t="shared" si="7"/>
        <v>3450880.726</v>
      </c>
      <c r="O27" s="29">
        <f t="shared" si="8"/>
        <v>0.1735098401</v>
      </c>
    </row>
    <row r="28" ht="15.75" customHeight="1">
      <c r="A28" s="34" t="s">
        <v>32</v>
      </c>
      <c r="B28" s="35">
        <f t="shared" ref="B28:M28" si="20">+SUM(B14:B27)</f>
        <v>1699540.61</v>
      </c>
      <c r="C28" s="35">
        <f t="shared" si="20"/>
        <v>1722356.576</v>
      </c>
      <c r="D28" s="35">
        <f t="shared" si="20"/>
        <v>1762335.722</v>
      </c>
      <c r="E28" s="35">
        <f t="shared" si="20"/>
        <v>1825034.217</v>
      </c>
      <c r="F28" s="36">
        <f t="shared" si="20"/>
        <v>1847260.837</v>
      </c>
      <c r="G28" s="35">
        <f t="shared" si="20"/>
        <v>1669429.999</v>
      </c>
      <c r="H28" s="35">
        <f t="shared" si="20"/>
        <v>1702036.123</v>
      </c>
      <c r="I28" s="35">
        <f t="shared" si="20"/>
        <v>1668635.598</v>
      </c>
      <c r="J28" s="35">
        <f t="shared" si="20"/>
        <v>1769137.3</v>
      </c>
      <c r="K28" s="35">
        <f t="shared" si="20"/>
        <v>1768657.953</v>
      </c>
      <c r="L28" s="35">
        <f t="shared" si="20"/>
        <v>1592070.741</v>
      </c>
      <c r="M28" s="35">
        <f t="shared" si="20"/>
        <v>1837607.34</v>
      </c>
      <c r="N28" s="35">
        <f t="shared" si="7"/>
        <v>20864103.02</v>
      </c>
      <c r="O28" s="37">
        <f t="shared" si="8"/>
        <v>1.049044423</v>
      </c>
    </row>
    <row r="29" ht="15.75" customHeight="1">
      <c r="A29" s="38" t="s">
        <v>33</v>
      </c>
      <c r="B29" s="39">
        <f t="shared" ref="B29:M29" si="21">B13-B28</f>
        <v>-146571.6301</v>
      </c>
      <c r="C29" s="39">
        <f t="shared" si="21"/>
        <v>12126.34421</v>
      </c>
      <c r="D29" s="39">
        <f t="shared" si="21"/>
        <v>14184.29778</v>
      </c>
      <c r="E29" s="39">
        <f t="shared" si="21"/>
        <v>40646.94012</v>
      </c>
      <c r="F29" s="39">
        <f t="shared" si="21"/>
        <v>33491.63295</v>
      </c>
      <c r="G29" s="39">
        <f t="shared" si="21"/>
        <v>-76317.56407</v>
      </c>
      <c r="H29" s="39">
        <f t="shared" si="21"/>
        <v>-189996.715</v>
      </c>
      <c r="I29" s="39">
        <f t="shared" si="21"/>
        <v>-205234.7338</v>
      </c>
      <c r="J29" s="39">
        <f t="shared" si="21"/>
        <v>-130183.4066</v>
      </c>
      <c r="K29" s="39">
        <f t="shared" si="21"/>
        <v>-82758.24287</v>
      </c>
      <c r="L29" s="39">
        <f t="shared" si="21"/>
        <v>-272062.4232</v>
      </c>
      <c r="M29" s="39">
        <f t="shared" si="21"/>
        <v>27246.94067</v>
      </c>
      <c r="N29" s="39">
        <f t="shared" si="7"/>
        <v>-975428.56</v>
      </c>
      <c r="O29" s="40">
        <f t="shared" si="8"/>
        <v>-0.04904442285</v>
      </c>
    </row>
    <row r="30" ht="15.75" customHeight="1">
      <c r="A30" s="41" t="s">
        <v>34</v>
      </c>
      <c r="B30" s="42">
        <f t="shared" ref="B30:M30" si="22">(B14/B13)</f>
        <v>0.2379895315</v>
      </c>
      <c r="C30" s="42">
        <f t="shared" si="22"/>
        <v>0.2081540936</v>
      </c>
      <c r="D30" s="42">
        <f t="shared" si="22"/>
        <v>0.2112384582</v>
      </c>
      <c r="E30" s="42">
        <f t="shared" si="22"/>
        <v>0.2330950164</v>
      </c>
      <c r="F30" s="43">
        <f t="shared" si="22"/>
        <v>0.2094013361</v>
      </c>
      <c r="G30" s="42">
        <f t="shared" si="22"/>
        <v>0.199715295</v>
      </c>
      <c r="H30" s="42">
        <f t="shared" si="22"/>
        <v>0.2327389142</v>
      </c>
      <c r="I30" s="42">
        <f t="shared" si="22"/>
        <v>0.2402257089</v>
      </c>
      <c r="J30" s="42">
        <f t="shared" si="22"/>
        <v>0.2403594339</v>
      </c>
      <c r="K30" s="42">
        <f t="shared" si="22"/>
        <v>0.2509924745</v>
      </c>
      <c r="L30" s="42">
        <f t="shared" si="22"/>
        <v>0.2700549044</v>
      </c>
      <c r="M30" s="42">
        <f t="shared" si="22"/>
        <v>0.2423648726</v>
      </c>
      <c r="N30" s="44"/>
      <c r="O30" s="44"/>
    </row>
    <row r="31" ht="15.75" customHeight="1"/>
    <row r="32" ht="15.75" customHeight="1">
      <c r="B32" s="58">
        <f t="shared" ref="B32:M32" si="23">B29+B27</f>
        <v>136218.4767</v>
      </c>
      <c r="C32" s="58">
        <f t="shared" si="23"/>
        <v>317996.3167</v>
      </c>
      <c r="D32" s="58">
        <f t="shared" si="23"/>
        <v>320680.8167</v>
      </c>
      <c r="E32" s="58">
        <f t="shared" si="23"/>
        <v>368091.7039</v>
      </c>
      <c r="F32" s="58">
        <f t="shared" si="23"/>
        <v>373380.0367</v>
      </c>
      <c r="G32" s="58">
        <f t="shared" si="23"/>
        <v>210542.2254</v>
      </c>
      <c r="H32" s="58">
        <f t="shared" si="23"/>
        <v>100986.2476</v>
      </c>
      <c r="I32" s="58">
        <f t="shared" si="23"/>
        <v>55967.424</v>
      </c>
      <c r="J32" s="58">
        <f t="shared" si="23"/>
        <v>159985.3699</v>
      </c>
      <c r="K32" s="58">
        <f t="shared" si="23"/>
        <v>176296.8235</v>
      </c>
      <c r="L32" s="58">
        <f t="shared" si="23"/>
        <v>-67240.58907</v>
      </c>
      <c r="M32" s="58">
        <f t="shared" si="23"/>
        <v>322547.3137</v>
      </c>
    </row>
    <row r="33" ht="15.75" customHeight="1">
      <c r="B33" s="59">
        <f t="shared" ref="B33:M33" si="24">B32/B13</f>
        <v>0.08771487288</v>
      </c>
      <c r="C33" s="59">
        <f t="shared" si="24"/>
        <v>0.1833378196</v>
      </c>
      <c r="D33" s="59">
        <f t="shared" si="24"/>
        <v>0.1805106686</v>
      </c>
      <c r="E33" s="59">
        <f t="shared" si="24"/>
        <v>0.197296147</v>
      </c>
      <c r="F33" s="59">
        <f t="shared" si="24"/>
        <v>0.1985269421</v>
      </c>
      <c r="G33" s="59">
        <f t="shared" si="24"/>
        <v>0.1321577942</v>
      </c>
      <c r="H33" s="59">
        <f t="shared" si="24"/>
        <v>0.06678810558</v>
      </c>
      <c r="I33" s="59">
        <f t="shared" si="24"/>
        <v>0.03824476627</v>
      </c>
      <c r="J33" s="59">
        <f t="shared" si="24"/>
        <v>0.09761432004</v>
      </c>
      <c r="K33" s="59">
        <f t="shared" si="24"/>
        <v>0.1045713588</v>
      </c>
      <c r="L33" s="59">
        <f t="shared" si="24"/>
        <v>-0.05093951922</v>
      </c>
      <c r="M33" s="59">
        <f t="shared" si="24"/>
        <v>0.1729611354</v>
      </c>
    </row>
    <row r="34" ht="15.75" customHeight="1">
      <c r="B34" s="60"/>
      <c r="C34" s="60"/>
      <c r="D34" s="60"/>
      <c r="E34" s="6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48</v>
      </c>
      <c r="B1" s="4">
        <v>45748.0</v>
      </c>
      <c r="C1" s="4">
        <v>45778.0</v>
      </c>
      <c r="D1" s="4">
        <v>45809.0</v>
      </c>
      <c r="E1" s="4">
        <v>45839.0</v>
      </c>
      <c r="F1" s="5">
        <v>45870.0</v>
      </c>
      <c r="G1" s="4">
        <v>45901.0</v>
      </c>
      <c r="H1" s="4">
        <v>45931.0</v>
      </c>
      <c r="I1" s="4">
        <v>45962.0</v>
      </c>
      <c r="J1" s="4">
        <v>45992.0</v>
      </c>
      <c r="K1" s="4">
        <v>46023.0</v>
      </c>
      <c r="L1" s="4">
        <v>46054.0</v>
      </c>
      <c r="M1" s="4">
        <v>46082.0</v>
      </c>
      <c r="N1" s="7" t="s">
        <v>3</v>
      </c>
      <c r="O1" s="9"/>
    </row>
    <row r="2" ht="15.75" customHeight="1">
      <c r="A2" s="10" t="s">
        <v>4</v>
      </c>
      <c r="B2" s="11"/>
      <c r="C2" s="11"/>
      <c r="D2" s="11"/>
      <c r="E2" s="11"/>
      <c r="F2" s="13"/>
      <c r="G2" s="11"/>
      <c r="H2" s="11"/>
      <c r="I2" s="11"/>
      <c r="J2" s="11"/>
      <c r="K2" s="11"/>
      <c r="L2" s="11"/>
      <c r="M2" s="11"/>
      <c r="N2" s="11"/>
      <c r="O2" s="11"/>
    </row>
    <row r="3" ht="15.75" customHeight="1">
      <c r="A3" s="14" t="s">
        <v>7</v>
      </c>
      <c r="B3" s="16"/>
      <c r="C3" s="23"/>
      <c r="D3" s="23"/>
      <c r="E3" s="17"/>
      <c r="F3" s="17"/>
      <c r="G3" s="17"/>
      <c r="H3" s="17"/>
      <c r="I3" s="17"/>
      <c r="J3" s="17"/>
      <c r="K3" s="17"/>
      <c r="L3" s="17"/>
      <c r="M3" s="19">
        <v>0.0</v>
      </c>
      <c r="N3" s="18">
        <f>+SUM(J3:L3)</f>
        <v>0</v>
      </c>
      <c r="O3" s="20"/>
    </row>
    <row r="4" ht="15.75" customHeight="1">
      <c r="A4" s="14" t="s">
        <v>9</v>
      </c>
      <c r="B4" s="50"/>
      <c r="C4" s="50"/>
      <c r="D4" s="50"/>
      <c r="E4" s="19"/>
      <c r="F4" s="19"/>
      <c r="G4" s="19"/>
      <c r="H4" s="19"/>
      <c r="I4" s="19"/>
      <c r="J4" s="19"/>
      <c r="K4" s="19"/>
      <c r="L4" s="19"/>
      <c r="M4" s="19">
        <v>102302.79</v>
      </c>
      <c r="N4" s="18">
        <f>sum(B4:M4)</f>
        <v>102302.79</v>
      </c>
      <c r="O4" s="20"/>
    </row>
    <row r="5" ht="15.75" customHeight="1">
      <c r="A5" s="14" t="s">
        <v>10</v>
      </c>
      <c r="B5" s="50"/>
      <c r="C5" s="50"/>
      <c r="D5" s="50"/>
      <c r="E5" s="19"/>
      <c r="F5" s="19"/>
      <c r="G5" s="19"/>
      <c r="H5" s="19"/>
      <c r="I5" s="19"/>
      <c r="J5" s="19"/>
      <c r="K5" s="19"/>
      <c r="L5" s="19"/>
      <c r="M5" s="19">
        <v>0.0</v>
      </c>
      <c r="N5" s="18">
        <f t="shared" ref="N5:N6" si="1">+SUM(J5:L5)</f>
        <v>0</v>
      </c>
      <c r="O5" s="20"/>
    </row>
    <row r="6" ht="15.75" customHeight="1">
      <c r="A6" s="14" t="s">
        <v>11</v>
      </c>
      <c r="B6" s="50"/>
      <c r="C6" s="50"/>
      <c r="D6" s="50"/>
      <c r="E6" s="19"/>
      <c r="F6" s="19"/>
      <c r="G6" s="19"/>
      <c r="H6" s="19"/>
      <c r="I6" s="19"/>
      <c r="J6" s="19"/>
      <c r="K6" s="19"/>
      <c r="L6" s="19"/>
      <c r="M6" s="19">
        <v>14352.0</v>
      </c>
      <c r="N6" s="18">
        <f t="shared" si="1"/>
        <v>0</v>
      </c>
      <c r="O6" s="20"/>
    </row>
    <row r="7" ht="15.75" customHeight="1">
      <c r="A7" s="14" t="s">
        <v>12</v>
      </c>
      <c r="B7" s="50"/>
      <c r="C7" s="50"/>
      <c r="D7" s="50"/>
      <c r="E7" s="19"/>
      <c r="F7" s="19"/>
      <c r="G7" s="19"/>
      <c r="H7" s="19"/>
      <c r="I7" s="19"/>
      <c r="J7" s="19"/>
      <c r="K7" s="19"/>
      <c r="L7" s="19"/>
      <c r="M7" s="19">
        <v>32637.96</v>
      </c>
      <c r="N7" s="18">
        <f>sum(B7:M7)</f>
        <v>32637.96</v>
      </c>
      <c r="O7" s="20"/>
    </row>
    <row r="8" ht="15.75" customHeight="1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22" t="s">
        <v>13</v>
      </c>
      <c r="B9" s="17"/>
      <c r="C9" s="17"/>
      <c r="D9" s="17"/>
      <c r="E9" s="17"/>
      <c r="F9" s="17"/>
      <c r="G9" s="17"/>
      <c r="H9" s="17"/>
      <c r="I9" s="17"/>
      <c r="J9" s="17"/>
      <c r="K9" s="19"/>
      <c r="L9" s="17"/>
      <c r="M9" s="17">
        <f>75660.1*1.05</f>
        <v>79443.105</v>
      </c>
      <c r="N9" s="18">
        <f t="shared" ref="N9:N12" si="2">+SUM(B9:M9)</f>
        <v>79443.105</v>
      </c>
      <c r="O9" s="20"/>
    </row>
    <row r="10" ht="15.75" customHeight="1">
      <c r="A10" s="22" t="s">
        <v>14</v>
      </c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9">
        <v>0.0</v>
      </c>
      <c r="N10" s="18">
        <f t="shared" si="2"/>
        <v>0</v>
      </c>
      <c r="O10" s="20"/>
    </row>
    <row r="11" ht="15.75" customHeight="1">
      <c r="A11" s="22" t="s">
        <v>15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>
        <f>(M9+M10)/1.05*0.05</f>
        <v>3783.005</v>
      </c>
      <c r="N11" s="18">
        <f t="shared" si="2"/>
        <v>3783.005</v>
      </c>
      <c r="O11" s="20"/>
    </row>
    <row r="12" ht="15.75" customHeight="1">
      <c r="A12" s="22" t="s">
        <v>16</v>
      </c>
      <c r="B12" s="19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9">
        <v>0.0</v>
      </c>
      <c r="N12" s="18">
        <f t="shared" si="2"/>
        <v>0</v>
      </c>
      <c r="O12" s="20"/>
    </row>
    <row r="13" ht="15.75" customHeight="1">
      <c r="A13" s="24" t="s">
        <v>17</v>
      </c>
      <c r="B13" s="25">
        <f t="shared" ref="B13:M13" si="3">B9+B10-B11-B12</f>
        <v>0</v>
      </c>
      <c r="C13" s="25">
        <f t="shared" si="3"/>
        <v>0</v>
      </c>
      <c r="D13" s="25">
        <f t="shared" si="3"/>
        <v>0</v>
      </c>
      <c r="E13" s="25">
        <f t="shared" si="3"/>
        <v>0</v>
      </c>
      <c r="F13" s="26">
        <f t="shared" si="3"/>
        <v>0</v>
      </c>
      <c r="G13" s="26">
        <f t="shared" si="3"/>
        <v>0</v>
      </c>
      <c r="H13" s="25">
        <f t="shared" si="3"/>
        <v>0</v>
      </c>
      <c r="I13" s="25">
        <f t="shared" si="3"/>
        <v>0</v>
      </c>
      <c r="J13" s="25">
        <f t="shared" si="3"/>
        <v>0</v>
      </c>
      <c r="K13" s="25">
        <f t="shared" si="3"/>
        <v>0</v>
      </c>
      <c r="L13" s="25">
        <f t="shared" si="3"/>
        <v>0</v>
      </c>
      <c r="M13" s="25">
        <f t="shared" si="3"/>
        <v>75660.1</v>
      </c>
      <c r="N13" s="25">
        <f t="shared" ref="N13:N29" si="4">sum(B13:M13)</f>
        <v>75660.1</v>
      </c>
      <c r="O13" s="27">
        <f>N13/$N$7</f>
        <v>2.318162655</v>
      </c>
    </row>
    <row r="14" ht="15.75" customHeight="1">
      <c r="A14" s="22" t="s">
        <v>18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>
        <f>+M3+M4-M5-M7</f>
        <v>69664.83</v>
      </c>
      <c r="N14" s="18">
        <f t="shared" si="4"/>
        <v>69664.83</v>
      </c>
      <c r="O14" s="29">
        <f t="shared" ref="O14:O29" si="5">N14/$N$13</f>
        <v>0.9207604801</v>
      </c>
    </row>
    <row r="15" ht="15.75" customHeight="1">
      <c r="A15" s="22" t="s">
        <v>19</v>
      </c>
      <c r="B15" s="19"/>
      <c r="C15" s="19"/>
      <c r="D15" s="17"/>
      <c r="E15" s="19"/>
      <c r="F15" s="17"/>
      <c r="G15" s="17"/>
      <c r="H15" s="19"/>
      <c r="I15" s="19"/>
      <c r="J15" s="19"/>
      <c r="K15" s="19"/>
      <c r="L15" s="19"/>
      <c r="M15" s="17"/>
      <c r="N15" s="18">
        <f t="shared" si="4"/>
        <v>0</v>
      </c>
      <c r="O15" s="29">
        <f t="shared" si="5"/>
        <v>0</v>
      </c>
    </row>
    <row r="16" ht="15.75" customHeight="1">
      <c r="A16" s="22" t="s">
        <v>20</v>
      </c>
      <c r="B16" s="17"/>
      <c r="C16" s="19"/>
      <c r="D16" s="17"/>
      <c r="E16" s="17"/>
      <c r="F16" s="19"/>
      <c r="G16" s="17"/>
      <c r="H16" s="17"/>
      <c r="I16" s="19"/>
      <c r="J16" s="19"/>
      <c r="K16" s="17"/>
      <c r="L16" s="17"/>
      <c r="M16" s="17"/>
      <c r="N16" s="18">
        <f t="shared" si="4"/>
        <v>0</v>
      </c>
      <c r="O16" s="29">
        <f t="shared" si="5"/>
        <v>0</v>
      </c>
    </row>
    <row r="17" ht="15.75" customHeight="1">
      <c r="A17" s="22" t="s">
        <v>21</v>
      </c>
      <c r="B17" s="50"/>
      <c r="C17" s="19"/>
      <c r="D17" s="19"/>
      <c r="E17" s="19"/>
      <c r="F17" s="19"/>
      <c r="G17" s="17"/>
      <c r="H17" s="19"/>
      <c r="I17" s="19"/>
      <c r="J17" s="17"/>
      <c r="K17" s="19"/>
      <c r="L17" s="19"/>
      <c r="M17" s="17"/>
      <c r="N17" s="18">
        <f t="shared" si="4"/>
        <v>0</v>
      </c>
      <c r="O17" s="29">
        <f t="shared" si="5"/>
        <v>0</v>
      </c>
    </row>
    <row r="18" ht="15.75" customHeight="1">
      <c r="A18" s="22" t="s">
        <v>22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>
        <f>45677</f>
        <v>45677</v>
      </c>
      <c r="N18" s="18">
        <f t="shared" si="4"/>
        <v>45677</v>
      </c>
      <c r="O18" s="29">
        <f t="shared" si="5"/>
        <v>0.6037131857</v>
      </c>
    </row>
    <row r="19" ht="15.75" customHeight="1">
      <c r="A19" s="30" t="s">
        <v>23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8">
        <f t="shared" si="4"/>
        <v>0</v>
      </c>
      <c r="O19" s="29">
        <f t="shared" si="5"/>
        <v>0</v>
      </c>
    </row>
    <row r="20" ht="15.75" customHeight="1">
      <c r="A20" s="22" t="s">
        <v>24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18">
        <f t="shared" si="4"/>
        <v>0</v>
      </c>
      <c r="O20" s="29">
        <f t="shared" si="5"/>
        <v>0</v>
      </c>
    </row>
    <row r="21" ht="15.75" customHeight="1">
      <c r="A21" s="22" t="s">
        <v>25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>
        <f>220354/31*4</f>
        <v>28432.77419</v>
      </c>
      <c r="N21" s="18">
        <f t="shared" si="4"/>
        <v>28432.77419</v>
      </c>
      <c r="O21" s="29">
        <f t="shared" si="5"/>
        <v>0.3757961487</v>
      </c>
    </row>
    <row r="22" ht="15.75" customHeight="1">
      <c r="A22" s="14" t="s">
        <v>26</v>
      </c>
      <c r="B22" s="17"/>
      <c r="C22" s="17"/>
      <c r="D22" s="17"/>
      <c r="E22" s="19"/>
      <c r="F22" s="19"/>
      <c r="G22" s="19"/>
      <c r="H22" s="17"/>
      <c r="I22" s="17"/>
      <c r="J22" s="17"/>
      <c r="K22" s="17"/>
      <c r="L22" s="17"/>
      <c r="M22" s="17"/>
      <c r="N22" s="18">
        <f t="shared" si="4"/>
        <v>0</v>
      </c>
      <c r="O22" s="29">
        <f t="shared" si="5"/>
        <v>0</v>
      </c>
    </row>
    <row r="23" ht="15.75" customHeight="1">
      <c r="A23" s="33" t="s">
        <v>27</v>
      </c>
      <c r="B23" s="19"/>
      <c r="C23" s="19"/>
      <c r="D23" s="19"/>
      <c r="E23" s="19"/>
      <c r="F23" s="19"/>
      <c r="G23" s="19"/>
      <c r="H23" s="19"/>
      <c r="I23" s="19"/>
      <c r="J23" s="19"/>
      <c r="K23" s="17"/>
      <c r="L23" s="17"/>
      <c r="M23" s="17"/>
      <c r="N23" s="18">
        <f t="shared" si="4"/>
        <v>0</v>
      </c>
      <c r="O23" s="29">
        <f t="shared" si="5"/>
        <v>0</v>
      </c>
    </row>
    <row r="24" ht="15.75" customHeight="1">
      <c r="A24" s="22" t="s">
        <v>28</v>
      </c>
      <c r="B24" s="31"/>
      <c r="C24" s="31"/>
      <c r="D24" s="31"/>
      <c r="E24" s="31"/>
      <c r="F24" s="19"/>
      <c r="G24" s="19"/>
      <c r="H24" s="19"/>
      <c r="I24" s="19"/>
      <c r="J24" s="19"/>
      <c r="K24" s="19"/>
      <c r="L24" s="17"/>
      <c r="M24" s="17"/>
      <c r="N24" s="18">
        <f t="shared" si="4"/>
        <v>0</v>
      </c>
      <c r="O24" s="29">
        <f t="shared" si="5"/>
        <v>0</v>
      </c>
    </row>
    <row r="25" ht="15.75" customHeight="1">
      <c r="A25" s="22" t="s">
        <v>29</v>
      </c>
      <c r="B25" s="19"/>
      <c r="C25" s="19"/>
      <c r="D25" s="19"/>
      <c r="E25" s="19"/>
      <c r="F25" s="17"/>
      <c r="G25" s="19"/>
      <c r="H25" s="19"/>
      <c r="I25" s="19"/>
      <c r="J25" s="19"/>
      <c r="K25" s="19"/>
      <c r="L25" s="19"/>
      <c r="M25" s="17"/>
      <c r="N25" s="18">
        <f t="shared" si="4"/>
        <v>0</v>
      </c>
      <c r="O25" s="29">
        <f t="shared" si="5"/>
        <v>0</v>
      </c>
    </row>
    <row r="26" ht="15.75" customHeight="1">
      <c r="A26" s="22" t="s">
        <v>30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7"/>
      <c r="N26" s="18">
        <f t="shared" si="4"/>
        <v>0</v>
      </c>
      <c r="O26" s="29">
        <f t="shared" si="5"/>
        <v>0</v>
      </c>
    </row>
    <row r="27" ht="15.75" customHeight="1">
      <c r="A27" s="22" t="s">
        <v>31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>
        <f>HO!P67</f>
        <v>11980.80514</v>
      </c>
      <c r="N27" s="18">
        <f t="shared" si="4"/>
        <v>11980.80514</v>
      </c>
      <c r="O27" s="29">
        <f t="shared" si="5"/>
        <v>0.1583503742</v>
      </c>
    </row>
    <row r="28" ht="15.75" customHeight="1">
      <c r="A28" s="34" t="s">
        <v>32</v>
      </c>
      <c r="B28" s="35">
        <f t="shared" ref="B28:M28" si="6">+SUM(B14:B27)</f>
        <v>0</v>
      </c>
      <c r="C28" s="35">
        <f t="shared" si="6"/>
        <v>0</v>
      </c>
      <c r="D28" s="35">
        <f t="shared" si="6"/>
        <v>0</v>
      </c>
      <c r="E28" s="35">
        <f t="shared" si="6"/>
        <v>0</v>
      </c>
      <c r="F28" s="36">
        <f t="shared" si="6"/>
        <v>0</v>
      </c>
      <c r="G28" s="35">
        <f t="shared" si="6"/>
        <v>0</v>
      </c>
      <c r="H28" s="35">
        <f t="shared" si="6"/>
        <v>0</v>
      </c>
      <c r="I28" s="35">
        <f t="shared" si="6"/>
        <v>0</v>
      </c>
      <c r="J28" s="35">
        <f t="shared" si="6"/>
        <v>0</v>
      </c>
      <c r="K28" s="35">
        <f t="shared" si="6"/>
        <v>0</v>
      </c>
      <c r="L28" s="35">
        <f t="shared" si="6"/>
        <v>0</v>
      </c>
      <c r="M28" s="35">
        <f t="shared" si="6"/>
        <v>155755.4093</v>
      </c>
      <c r="N28" s="35">
        <f t="shared" si="4"/>
        <v>155755.4093</v>
      </c>
      <c r="O28" s="37">
        <f t="shared" si="5"/>
        <v>2.058620189</v>
      </c>
    </row>
    <row r="29" ht="15.75" customHeight="1">
      <c r="A29" s="38" t="s">
        <v>33</v>
      </c>
      <c r="B29" s="39">
        <f t="shared" ref="B29:M29" si="7">B13-B28</f>
        <v>0</v>
      </c>
      <c r="C29" s="39">
        <f t="shared" si="7"/>
        <v>0</v>
      </c>
      <c r="D29" s="39">
        <f t="shared" si="7"/>
        <v>0</v>
      </c>
      <c r="E29" s="39">
        <f t="shared" si="7"/>
        <v>0</v>
      </c>
      <c r="F29" s="39">
        <f t="shared" si="7"/>
        <v>0</v>
      </c>
      <c r="G29" s="39">
        <f t="shared" si="7"/>
        <v>0</v>
      </c>
      <c r="H29" s="39">
        <f t="shared" si="7"/>
        <v>0</v>
      </c>
      <c r="I29" s="39">
        <f t="shared" si="7"/>
        <v>0</v>
      </c>
      <c r="J29" s="39">
        <f t="shared" si="7"/>
        <v>0</v>
      </c>
      <c r="K29" s="39">
        <f t="shared" si="7"/>
        <v>0</v>
      </c>
      <c r="L29" s="39">
        <f t="shared" si="7"/>
        <v>0</v>
      </c>
      <c r="M29" s="39">
        <f t="shared" si="7"/>
        <v>-80095.30934</v>
      </c>
      <c r="N29" s="39">
        <f t="shared" si="4"/>
        <v>-80095.30934</v>
      </c>
      <c r="O29" s="40">
        <f t="shared" si="5"/>
        <v>-1.058620189</v>
      </c>
    </row>
    <row r="30" ht="15.75" customHeight="1">
      <c r="A30" s="41" t="s">
        <v>34</v>
      </c>
      <c r="B30" s="42" t="str">
        <f t="shared" ref="B30:M30" si="8">(B14/B13)</f>
        <v>#DIV/0!</v>
      </c>
      <c r="C30" s="42" t="str">
        <f t="shared" si="8"/>
        <v>#DIV/0!</v>
      </c>
      <c r="D30" s="42" t="str">
        <f t="shared" si="8"/>
        <v>#DIV/0!</v>
      </c>
      <c r="E30" s="42" t="str">
        <f t="shared" si="8"/>
        <v>#DIV/0!</v>
      </c>
      <c r="F30" s="43" t="str">
        <f t="shared" si="8"/>
        <v>#DIV/0!</v>
      </c>
      <c r="G30" s="42" t="str">
        <f t="shared" si="8"/>
        <v>#DIV/0!</v>
      </c>
      <c r="H30" s="42" t="str">
        <f t="shared" si="8"/>
        <v>#DIV/0!</v>
      </c>
      <c r="I30" s="42" t="str">
        <f t="shared" si="8"/>
        <v>#DIV/0!</v>
      </c>
      <c r="J30" s="42" t="str">
        <f t="shared" si="8"/>
        <v>#DIV/0!</v>
      </c>
      <c r="K30" s="42" t="str">
        <f t="shared" si="8"/>
        <v>#DIV/0!</v>
      </c>
      <c r="L30" s="42" t="str">
        <f t="shared" si="8"/>
        <v>#DIV/0!</v>
      </c>
      <c r="M30" s="42">
        <f t="shared" si="8"/>
        <v>0.9207604801</v>
      </c>
      <c r="N30" s="44"/>
      <c r="O30" s="44"/>
    </row>
    <row r="31" ht="15.75" customHeight="1"/>
    <row r="32" ht="15.75" customHeight="1">
      <c r="B32" s="58">
        <f t="shared" ref="B32:L32" si="9">B29+B27</f>
        <v>0</v>
      </c>
      <c r="C32" s="58">
        <f t="shared" si="9"/>
        <v>0</v>
      </c>
      <c r="D32" s="58">
        <f t="shared" si="9"/>
        <v>0</v>
      </c>
      <c r="E32" s="58">
        <f t="shared" si="9"/>
        <v>0</v>
      </c>
      <c r="F32" s="58">
        <f t="shared" si="9"/>
        <v>0</v>
      </c>
      <c r="G32" s="58">
        <f t="shared" si="9"/>
        <v>0</v>
      </c>
      <c r="H32" s="58">
        <f t="shared" si="9"/>
        <v>0</v>
      </c>
      <c r="I32" s="58">
        <f t="shared" si="9"/>
        <v>0</v>
      </c>
      <c r="J32" s="58">
        <f t="shared" si="9"/>
        <v>0</v>
      </c>
      <c r="K32" s="58">
        <f t="shared" si="9"/>
        <v>0</v>
      </c>
      <c r="L32" s="58">
        <f t="shared" si="9"/>
        <v>0</v>
      </c>
    </row>
    <row r="33" ht="15.75" customHeight="1">
      <c r="B33" s="59" t="str">
        <f t="shared" ref="B33:L33" si="10">B32/B13</f>
        <v>#DIV/0!</v>
      </c>
      <c r="C33" s="59" t="str">
        <f t="shared" si="10"/>
        <v>#DIV/0!</v>
      </c>
      <c r="D33" s="59" t="str">
        <f t="shared" si="10"/>
        <v>#DIV/0!</v>
      </c>
      <c r="E33" s="59" t="str">
        <f t="shared" si="10"/>
        <v>#DIV/0!</v>
      </c>
      <c r="F33" s="59" t="str">
        <f t="shared" si="10"/>
        <v>#DIV/0!</v>
      </c>
      <c r="G33" s="59" t="str">
        <f t="shared" si="10"/>
        <v>#DIV/0!</v>
      </c>
      <c r="H33" s="59" t="str">
        <f t="shared" si="10"/>
        <v>#DIV/0!</v>
      </c>
      <c r="I33" s="59" t="str">
        <f t="shared" si="10"/>
        <v>#DIV/0!</v>
      </c>
      <c r="J33" s="59" t="str">
        <f t="shared" si="10"/>
        <v>#DIV/0!</v>
      </c>
      <c r="K33" s="59" t="str">
        <f t="shared" si="10"/>
        <v>#DIV/0!</v>
      </c>
      <c r="L33" s="59" t="str">
        <f t="shared" si="10"/>
        <v>#DIV/0!</v>
      </c>
    </row>
    <row r="34" ht="15.75" customHeight="1">
      <c r="B34" s="60"/>
      <c r="C34" s="60"/>
      <c r="D34" s="60"/>
      <c r="E34" s="6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6" width="12.63"/>
  </cols>
  <sheetData>
    <row r="1" ht="15.75" customHeight="1">
      <c r="A1" s="3" t="s">
        <v>5</v>
      </c>
      <c r="B1" s="4">
        <v>45770.0</v>
      </c>
      <c r="C1" s="4">
        <v>45800.0</v>
      </c>
      <c r="D1" s="4">
        <v>45831.0</v>
      </c>
      <c r="E1" s="4">
        <v>45861.0</v>
      </c>
      <c r="F1" s="4">
        <v>45900.0</v>
      </c>
      <c r="G1" s="4">
        <v>45925.0</v>
      </c>
      <c r="H1" s="4">
        <v>45953.0</v>
      </c>
      <c r="I1" s="4">
        <v>45984.0</v>
      </c>
      <c r="J1" s="4">
        <v>46014.0</v>
      </c>
      <c r="K1" s="4">
        <v>46046.0</v>
      </c>
      <c r="L1" s="4">
        <v>46077.0</v>
      </c>
      <c r="M1" s="4">
        <v>46105.0</v>
      </c>
      <c r="N1" s="90" t="s">
        <v>49</v>
      </c>
    </row>
    <row r="2" ht="15.75" customHeight="1">
      <c r="A2" s="91" t="s">
        <v>50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>
        <f>+SUM(B2:M2)</f>
        <v>0</v>
      </c>
    </row>
    <row r="3" ht="15.75" customHeight="1">
      <c r="A3" s="92" t="s">
        <v>51</v>
      </c>
      <c r="B3" s="19">
        <f>6644+35000/3</f>
        <v>18310.66667</v>
      </c>
      <c r="C3" s="17">
        <f>77492/3</f>
        <v>25830.66667</v>
      </c>
      <c r="D3" s="17">
        <f>35000/3+10000</f>
        <v>21666.66667</v>
      </c>
      <c r="E3" s="19">
        <f>3540+25000+19829+184881.6</f>
        <v>233250.6</v>
      </c>
      <c r="F3" s="17">
        <f>31513+34567+26000</f>
        <v>92080</v>
      </c>
      <c r="G3" s="19">
        <v>0.0</v>
      </c>
      <c r="H3" s="19">
        <v>30150.0</v>
      </c>
      <c r="I3" s="19">
        <f>134560+35000</f>
        <v>169560</v>
      </c>
      <c r="J3" s="93">
        <f>8500+18050+149652</f>
        <v>176202</v>
      </c>
      <c r="K3" s="94">
        <f>10000+179300</f>
        <v>189300</v>
      </c>
      <c r="L3" s="93">
        <f>269246+177000</f>
        <v>446246</v>
      </c>
      <c r="M3" s="95">
        <f>16000+20025+329156-177000-14160</f>
        <v>174021</v>
      </c>
      <c r="N3" s="18"/>
    </row>
    <row r="4" ht="15.75" customHeight="1">
      <c r="A4" s="92" t="s">
        <v>52</v>
      </c>
      <c r="B4" s="19">
        <v>469670.0</v>
      </c>
      <c r="C4" s="17">
        <f>71493.84+47195+208650.55</f>
        <v>327339.39</v>
      </c>
      <c r="D4" s="19">
        <f>65856+53305+134495</f>
        <v>253656</v>
      </c>
      <c r="E4" s="17">
        <f>53509+21877+151328</f>
        <v>226714</v>
      </c>
      <c r="F4" s="17">
        <f>49234.31+73015.06+128980.32</f>
        <v>251229.69</v>
      </c>
      <c r="G4" s="17">
        <f>48013.93+68747+131764.64</f>
        <v>248525.57</v>
      </c>
      <c r="H4" s="17">
        <f>49103.24+64893.93*1.18+91395*1.18</f>
        <v>233524.1774</v>
      </c>
      <c r="I4" s="17">
        <f>83703.93+69599.95+49697.31</f>
        <v>203001.19</v>
      </c>
      <c r="J4" s="95">
        <f>19832*1.18+61548+11078.64+78247+14084</f>
        <v>188359.4</v>
      </c>
      <c r="K4" s="94">
        <f>42038.73+73952.4+13311.43+77934.14</f>
        <v>207236.7</v>
      </c>
      <c r="L4" s="95">
        <f>46087*1.18+93225.63*1.18+85096.35*1.18</f>
        <v>264802.5964</v>
      </c>
      <c r="M4" s="95">
        <f>58196.44*1.18+113445.14*1.18+117805.31*1.18</f>
        <v>341547.3302</v>
      </c>
      <c r="N4" s="18"/>
    </row>
    <row r="5" ht="15.75" customHeight="1">
      <c r="A5" s="92" t="s">
        <v>53</v>
      </c>
      <c r="B5" s="19">
        <v>285746.0</v>
      </c>
      <c r="C5" s="17">
        <f>79437.5+76361+123625</f>
        <v>279423.5</v>
      </c>
      <c r="D5" s="19">
        <f>48786.6+21253+8781+3874+83360.39+10504.88+103775.8+18677</f>
        <v>299012.67</v>
      </c>
      <c r="E5" s="17">
        <f>17350+3123+3753+675+53135+9564.3</f>
        <v>87600.3</v>
      </c>
      <c r="F5" s="17">
        <f>48619+5062.92+80527+14224.87+112014+64798</f>
        <v>325245.79</v>
      </c>
      <c r="G5" s="17">
        <f>24920+7412+4485.61+1334.16+36230+10285+6526.99+1851.3+50508+16836+9091.45+3030.48</f>
        <v>172510.99</v>
      </c>
      <c r="H5" s="17">
        <f>42206*1.18+50723*1.18+97913*1.18</f>
        <v>225193.56</v>
      </c>
      <c r="I5" s="17">
        <f>31858+5734.46+28962.5+5213+15765.58+6399.14+8623.44+19256.5+3466</f>
        <v>125278.62</v>
      </c>
      <c r="J5" s="95">
        <f>54678+9842+48979+8816+82560+14860</f>
        <v>219735</v>
      </c>
      <c r="K5" s="94">
        <f>29289.94*1.05+12839.17+45538.78+6369.99+59090.66+21397+14487.89</f>
        <v>190477.927</v>
      </c>
      <c r="L5" s="95">
        <f>20215*1.18+18131.9*1.18+44940.78*1.18</f>
        <v>98279.4624</v>
      </c>
      <c r="M5" s="95">
        <f>32513.04*1.18+43386.97*1.18+90310.2*1.18</f>
        <v>196128.0478</v>
      </c>
      <c r="N5" s="18"/>
    </row>
    <row r="6" ht="15.75" customHeight="1">
      <c r="A6" s="34" t="s">
        <v>54</v>
      </c>
      <c r="B6" s="96">
        <f t="shared" ref="B6:M6" si="1">sum(B3:B5)</f>
        <v>773726.6667</v>
      </c>
      <c r="C6" s="96">
        <f t="shared" si="1"/>
        <v>632593.5567</v>
      </c>
      <c r="D6" s="96">
        <f t="shared" si="1"/>
        <v>574335.3367</v>
      </c>
      <c r="E6" s="96">
        <f t="shared" si="1"/>
        <v>547564.9</v>
      </c>
      <c r="F6" s="96">
        <f t="shared" si="1"/>
        <v>668555.48</v>
      </c>
      <c r="G6" s="96">
        <f t="shared" si="1"/>
        <v>421036.56</v>
      </c>
      <c r="H6" s="96">
        <f t="shared" si="1"/>
        <v>488867.7374</v>
      </c>
      <c r="I6" s="96">
        <f t="shared" si="1"/>
        <v>497839.81</v>
      </c>
      <c r="J6" s="96">
        <f t="shared" si="1"/>
        <v>584296.4</v>
      </c>
      <c r="K6" s="96">
        <f t="shared" si="1"/>
        <v>587014.627</v>
      </c>
      <c r="L6" s="96">
        <f t="shared" si="1"/>
        <v>809328.0588</v>
      </c>
      <c r="M6" s="96">
        <f t="shared" si="1"/>
        <v>711696.378</v>
      </c>
      <c r="N6" s="34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15.75" customHeight="1"/>
    <row r="8" ht="15.75" customHeight="1">
      <c r="C8" s="98"/>
    </row>
    <row r="9" ht="15.75" customHeight="1">
      <c r="B9" s="98"/>
      <c r="C9" s="98"/>
    </row>
    <row r="10" ht="15.75" customHeight="1">
      <c r="B10" s="98"/>
      <c r="C10" s="9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</cols>
  <sheetData>
    <row r="1">
      <c r="B1" s="99" t="s">
        <v>56</v>
      </c>
      <c r="C1" s="99" t="s">
        <v>57</v>
      </c>
      <c r="D1" s="99" t="s">
        <v>58</v>
      </c>
      <c r="E1" s="99" t="s">
        <v>59</v>
      </c>
      <c r="F1" s="99" t="s">
        <v>60</v>
      </c>
      <c r="G1" s="100" t="s">
        <v>61</v>
      </c>
      <c r="H1" s="99" t="s">
        <v>62</v>
      </c>
      <c r="I1" s="99" t="s">
        <v>63</v>
      </c>
      <c r="J1" s="99" t="s">
        <v>64</v>
      </c>
      <c r="K1" s="99" t="s">
        <v>65</v>
      </c>
      <c r="L1" s="99" t="s">
        <v>66</v>
      </c>
      <c r="M1" s="99" t="s">
        <v>67</v>
      </c>
      <c r="N1" s="99" t="s">
        <v>68</v>
      </c>
      <c r="O1" s="99" t="s">
        <v>54</v>
      </c>
    </row>
    <row r="2">
      <c r="A2" s="101" t="s">
        <v>69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</row>
    <row r="3">
      <c r="A3" s="104" t="s">
        <v>71</v>
      </c>
      <c r="B3" s="106">
        <v>0.0</v>
      </c>
      <c r="C3" s="106">
        <v>0.0</v>
      </c>
      <c r="D3" s="106">
        <v>0.0</v>
      </c>
      <c r="E3" s="106">
        <v>0.0</v>
      </c>
      <c r="F3" s="106">
        <v>0.0</v>
      </c>
      <c r="G3" s="106">
        <v>0.0</v>
      </c>
      <c r="H3" s="106">
        <v>0.0</v>
      </c>
      <c r="I3" s="106">
        <v>8136.0</v>
      </c>
      <c r="J3" s="106">
        <v>491.0</v>
      </c>
      <c r="K3" s="106">
        <v>5181.0</v>
      </c>
      <c r="L3" s="106">
        <v>0.0</v>
      </c>
      <c r="M3" s="106">
        <v>0.0</v>
      </c>
      <c r="N3" s="106">
        <v>0.0</v>
      </c>
      <c r="O3" s="106">
        <f t="shared" ref="O3:O24" si="1">sum(B3:N3)</f>
        <v>13808</v>
      </c>
    </row>
    <row r="4">
      <c r="A4" s="104" t="s">
        <v>72</v>
      </c>
      <c r="B4" s="106">
        <v>0.0</v>
      </c>
      <c r="C4" s="106">
        <v>0.0</v>
      </c>
      <c r="D4" s="106">
        <v>0.0</v>
      </c>
      <c r="E4" s="106">
        <v>0.0</v>
      </c>
      <c r="F4" s="106">
        <v>0.0</v>
      </c>
      <c r="G4" s="106">
        <v>0.0</v>
      </c>
      <c r="H4" s="106">
        <v>0.0</v>
      </c>
      <c r="I4" s="106">
        <v>0.0</v>
      </c>
      <c r="J4" s="106">
        <v>0.0</v>
      </c>
      <c r="K4" s="106">
        <v>0.0</v>
      </c>
      <c r="L4" s="106">
        <v>0.0</v>
      </c>
      <c r="M4" s="106">
        <v>0.0</v>
      </c>
      <c r="N4" s="106">
        <v>0.0</v>
      </c>
      <c r="O4" s="106">
        <f t="shared" si="1"/>
        <v>0</v>
      </c>
    </row>
    <row r="5">
      <c r="A5" s="104" t="s">
        <v>73</v>
      </c>
      <c r="B5" s="109"/>
      <c r="C5" s="106">
        <v>12634.0</v>
      </c>
      <c r="D5" s="109"/>
      <c r="E5" s="106">
        <v>682.0</v>
      </c>
      <c r="F5" s="106">
        <v>367.0</v>
      </c>
      <c r="G5" s="109"/>
      <c r="H5" s="109"/>
      <c r="I5" s="109"/>
      <c r="J5" s="109"/>
      <c r="K5" s="109"/>
      <c r="L5" s="109"/>
      <c r="M5" s="109"/>
      <c r="N5" s="106">
        <v>160.0</v>
      </c>
      <c r="O5" s="106">
        <f t="shared" si="1"/>
        <v>13843</v>
      </c>
    </row>
    <row r="6">
      <c r="A6" s="104" t="s">
        <v>75</v>
      </c>
      <c r="B6" s="109"/>
      <c r="C6" s="109"/>
      <c r="D6" s="109"/>
      <c r="E6" s="109"/>
      <c r="F6" s="109"/>
      <c r="G6" s="109"/>
      <c r="H6" s="109"/>
      <c r="I6" s="109"/>
      <c r="J6" s="109"/>
      <c r="K6" s="106">
        <v>21240.0</v>
      </c>
      <c r="L6" s="106">
        <v>21240.0</v>
      </c>
      <c r="M6" s="109"/>
      <c r="N6" s="109"/>
      <c r="O6" s="106">
        <f t="shared" si="1"/>
        <v>42480</v>
      </c>
    </row>
    <row r="7">
      <c r="A7" s="104" t="s">
        <v>76</v>
      </c>
      <c r="B7" s="109"/>
      <c r="C7" s="106">
        <v>22750.0</v>
      </c>
      <c r="D7" s="109"/>
      <c r="E7" s="109"/>
      <c r="F7" s="106">
        <v>3150.0</v>
      </c>
      <c r="G7" s="109"/>
      <c r="H7" s="109"/>
      <c r="I7" s="109"/>
      <c r="J7" s="109"/>
      <c r="K7" s="109"/>
      <c r="L7" s="109"/>
      <c r="M7" s="109"/>
      <c r="N7" s="109"/>
      <c r="O7" s="106">
        <f t="shared" si="1"/>
        <v>25900</v>
      </c>
    </row>
    <row r="8">
      <c r="A8" s="104" t="s">
        <v>77</v>
      </c>
      <c r="B8" s="109"/>
      <c r="C8" s="109"/>
      <c r="D8" s="109"/>
      <c r="E8" s="109"/>
      <c r="F8" s="109"/>
      <c r="G8" s="109"/>
      <c r="H8" s="109"/>
      <c r="I8" s="106">
        <v>713.68</v>
      </c>
      <c r="J8" s="106">
        <v>302.4</v>
      </c>
      <c r="K8" s="106">
        <v>1029.13</v>
      </c>
      <c r="L8" s="106">
        <v>2195.37</v>
      </c>
      <c r="M8" s="106">
        <v>1907.67</v>
      </c>
      <c r="N8" s="109"/>
      <c r="O8" s="106">
        <f t="shared" si="1"/>
        <v>6148.25</v>
      </c>
    </row>
    <row r="9">
      <c r="A9" s="104" t="s">
        <v>78</v>
      </c>
      <c r="B9" s="109"/>
      <c r="C9" s="109"/>
      <c r="D9" s="109"/>
      <c r="E9" s="109"/>
      <c r="F9" s="109"/>
      <c r="G9" s="109"/>
      <c r="H9" s="109"/>
      <c r="I9" s="106">
        <v>1080.71</v>
      </c>
      <c r="J9" s="106">
        <v>1715.6</v>
      </c>
      <c r="K9" s="106">
        <v>2816.0</v>
      </c>
      <c r="L9" s="106">
        <v>1238.0</v>
      </c>
      <c r="M9" s="106">
        <v>1271.0</v>
      </c>
      <c r="N9" s="109"/>
      <c r="O9" s="106">
        <f t="shared" si="1"/>
        <v>8121.31</v>
      </c>
    </row>
    <row r="10">
      <c r="A10" s="104" t="s">
        <v>79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6">
        <v>527.23</v>
      </c>
      <c r="O10" s="106">
        <f t="shared" si="1"/>
        <v>527.23</v>
      </c>
    </row>
    <row r="11">
      <c r="A11" s="104" t="s">
        <v>80</v>
      </c>
      <c r="B11" s="109"/>
      <c r="C11" s="109"/>
      <c r="D11" s="109"/>
      <c r="E11" s="109"/>
      <c r="F11" s="109"/>
      <c r="G11" s="109"/>
      <c r="H11" s="109"/>
      <c r="I11" s="106">
        <v>1400.0</v>
      </c>
      <c r="J11" s="106">
        <v>2950.0</v>
      </c>
      <c r="K11" s="106">
        <v>1400.0</v>
      </c>
      <c r="L11" s="106">
        <v>4455.0</v>
      </c>
      <c r="M11" s="106">
        <v>1000.0</v>
      </c>
      <c r="N11" s="109"/>
      <c r="O11" s="106">
        <f t="shared" si="1"/>
        <v>11205</v>
      </c>
    </row>
    <row r="12">
      <c r="A12" s="104" t="s">
        <v>81</v>
      </c>
      <c r="B12" s="106">
        <v>4562.0</v>
      </c>
      <c r="C12" s="106">
        <v>4562.0</v>
      </c>
      <c r="D12" s="106">
        <v>4562.0</v>
      </c>
      <c r="E12" s="106">
        <v>4562.0</v>
      </c>
      <c r="F12" s="106">
        <v>4562.0</v>
      </c>
      <c r="G12" s="106">
        <v>4562.0</v>
      </c>
      <c r="H12" s="106">
        <v>4562.0</v>
      </c>
      <c r="I12" s="109"/>
      <c r="J12" s="109"/>
      <c r="K12" s="109"/>
      <c r="L12" s="109"/>
      <c r="M12" s="109"/>
      <c r="N12" s="109"/>
      <c r="O12" s="106">
        <f t="shared" si="1"/>
        <v>31934</v>
      </c>
    </row>
    <row r="13">
      <c r="A13" s="104" t="s">
        <v>82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6">
        <v>800.0</v>
      </c>
      <c r="L13" s="109"/>
      <c r="M13" s="109"/>
      <c r="N13" s="109"/>
      <c r="O13" s="106">
        <f t="shared" si="1"/>
        <v>800</v>
      </c>
    </row>
    <row r="14">
      <c r="A14" s="104" t="s">
        <v>83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6">
        <v>1900.0</v>
      </c>
      <c r="M14" s="109"/>
      <c r="N14" s="109"/>
      <c r="O14" s="106">
        <f t="shared" si="1"/>
        <v>1900</v>
      </c>
    </row>
    <row r="15">
      <c r="A15" s="104" t="s">
        <v>84</v>
      </c>
      <c r="B15" s="106">
        <v>5000.0</v>
      </c>
      <c r="C15" s="106">
        <v>700.0</v>
      </c>
      <c r="D15" s="106">
        <v>3000.0</v>
      </c>
      <c r="E15" s="106">
        <v>3000.0</v>
      </c>
      <c r="F15" s="109"/>
      <c r="G15" s="106">
        <v>5000.0</v>
      </c>
      <c r="H15" s="106">
        <v>4000.0</v>
      </c>
      <c r="I15" s="109"/>
      <c r="J15" s="109"/>
      <c r="K15" s="109"/>
      <c r="L15" s="106">
        <v>4000.0</v>
      </c>
      <c r="M15" s="109"/>
      <c r="N15" s="109"/>
      <c r="O15" s="106">
        <f t="shared" si="1"/>
        <v>24700</v>
      </c>
    </row>
    <row r="16">
      <c r="A16" s="104" t="s">
        <v>85</v>
      </c>
      <c r="B16" s="106">
        <v>95.0</v>
      </c>
      <c r="C16" s="106">
        <v>2367.0</v>
      </c>
      <c r="D16" s="106">
        <v>7770.0</v>
      </c>
      <c r="E16" s="106">
        <v>9400.0</v>
      </c>
      <c r="F16" s="106">
        <v>2630.0</v>
      </c>
      <c r="G16" s="106">
        <v>4721.0</v>
      </c>
      <c r="H16" s="106">
        <v>200.0</v>
      </c>
      <c r="I16" s="109"/>
      <c r="J16" s="109"/>
      <c r="K16" s="109"/>
      <c r="L16" s="106">
        <v>7353.0</v>
      </c>
      <c r="M16" s="109"/>
      <c r="N16" s="109"/>
      <c r="O16" s="106">
        <f t="shared" si="1"/>
        <v>34536</v>
      </c>
    </row>
    <row r="17">
      <c r="A17" s="104" t="s">
        <v>86</v>
      </c>
      <c r="B17" s="106">
        <v>1014.0</v>
      </c>
      <c r="C17" s="106">
        <v>4840.0</v>
      </c>
      <c r="D17" s="106">
        <v>900.0</v>
      </c>
      <c r="E17" s="106">
        <v>529.0</v>
      </c>
      <c r="F17" s="106">
        <v>1818.0</v>
      </c>
      <c r="G17" s="106">
        <v>5047.0</v>
      </c>
      <c r="H17" s="106">
        <v>1500.0</v>
      </c>
      <c r="I17" s="109"/>
      <c r="J17" s="109"/>
      <c r="K17" s="109"/>
      <c r="L17" s="109"/>
      <c r="M17" s="109"/>
      <c r="N17" s="109"/>
      <c r="O17" s="106">
        <f t="shared" si="1"/>
        <v>15648</v>
      </c>
    </row>
    <row r="18">
      <c r="A18" s="104" t="s">
        <v>87</v>
      </c>
      <c r="B18" s="109"/>
      <c r="C18" s="109"/>
      <c r="D18" s="109"/>
      <c r="E18" s="109"/>
      <c r="F18" s="109"/>
      <c r="G18" s="109"/>
      <c r="H18" s="109"/>
      <c r="I18" s="106">
        <v>1975.0</v>
      </c>
      <c r="J18" s="106">
        <v>325.0</v>
      </c>
      <c r="K18" s="106">
        <v>3634.0</v>
      </c>
      <c r="L18" s="106">
        <v>1136.0</v>
      </c>
      <c r="M18" s="106">
        <v>1213.0</v>
      </c>
      <c r="N18" s="109"/>
      <c r="O18" s="106">
        <f t="shared" si="1"/>
        <v>8283</v>
      </c>
    </row>
    <row r="19">
      <c r="A19" s="104" t="s">
        <v>88</v>
      </c>
      <c r="B19" s="106">
        <v>1494.19</v>
      </c>
      <c r="C19" s="109"/>
      <c r="D19" s="106">
        <v>2804.19</v>
      </c>
      <c r="E19" s="106">
        <v>915.02</v>
      </c>
      <c r="F19" s="106">
        <v>3924.0</v>
      </c>
      <c r="G19" s="106">
        <v>167.53</v>
      </c>
      <c r="H19" s="106">
        <v>1393.4</v>
      </c>
      <c r="I19" s="106">
        <v>933.66</v>
      </c>
      <c r="J19" s="106">
        <v>2500.53</v>
      </c>
      <c r="K19" s="106">
        <v>3427.31</v>
      </c>
      <c r="L19" s="106">
        <v>9458.88</v>
      </c>
      <c r="M19" s="106">
        <v>1304.0</v>
      </c>
      <c r="N19" s="109"/>
      <c r="O19" s="106">
        <f t="shared" si="1"/>
        <v>28322.71</v>
      </c>
    </row>
    <row r="20">
      <c r="A20" s="104" t="s">
        <v>89</v>
      </c>
      <c r="B20" s="106">
        <v>70.0</v>
      </c>
      <c r="C20" s="106">
        <v>160.0</v>
      </c>
      <c r="D20" s="106">
        <v>5019.0</v>
      </c>
      <c r="E20" s="106">
        <v>1156.0</v>
      </c>
      <c r="F20" s="106">
        <v>3467.0</v>
      </c>
      <c r="G20" s="106">
        <v>1070.0</v>
      </c>
      <c r="H20" s="106">
        <v>3175.0</v>
      </c>
      <c r="I20" s="109"/>
      <c r="J20" s="109"/>
      <c r="K20" s="109"/>
      <c r="L20" s="106">
        <v>570.0</v>
      </c>
      <c r="M20" s="106">
        <v>413.0</v>
      </c>
      <c r="N20" s="109"/>
      <c r="O20" s="106">
        <f t="shared" si="1"/>
        <v>15100</v>
      </c>
    </row>
    <row r="21">
      <c r="A21" s="104" t="s">
        <v>90</v>
      </c>
      <c r="B21" s="106">
        <v>1000.0</v>
      </c>
      <c r="C21" s="106">
        <v>9000.0</v>
      </c>
      <c r="D21" s="106">
        <v>2300.0</v>
      </c>
      <c r="E21" s="106">
        <v>1400.0</v>
      </c>
      <c r="F21" s="109"/>
      <c r="G21" s="106">
        <v>3609.0</v>
      </c>
      <c r="H21" s="106">
        <v>4000.0</v>
      </c>
      <c r="I21" s="106">
        <v>6986.0</v>
      </c>
      <c r="J21" s="111"/>
      <c r="K21" s="106">
        <v>3300.0</v>
      </c>
      <c r="L21" s="106">
        <v>3963.0</v>
      </c>
      <c r="M21" s="106">
        <v>779.0</v>
      </c>
      <c r="N21" s="106">
        <v>150.0</v>
      </c>
      <c r="O21" s="106">
        <f t="shared" si="1"/>
        <v>36487</v>
      </c>
    </row>
    <row r="22">
      <c r="A22" s="104" t="s">
        <v>91</v>
      </c>
      <c r="B22" s="106">
        <v>515.0</v>
      </c>
      <c r="C22" s="106">
        <v>25550.0</v>
      </c>
      <c r="D22" s="106">
        <v>645.0</v>
      </c>
      <c r="E22" s="106">
        <v>1239.0</v>
      </c>
      <c r="F22" s="106">
        <v>1360.0</v>
      </c>
      <c r="G22" s="106">
        <v>2942.0</v>
      </c>
      <c r="H22" s="106">
        <v>600.0</v>
      </c>
      <c r="I22" s="106">
        <v>970.0</v>
      </c>
      <c r="J22" s="106">
        <v>870.0</v>
      </c>
      <c r="K22" s="106">
        <v>815.0</v>
      </c>
      <c r="L22" s="106">
        <v>700.0</v>
      </c>
      <c r="M22" s="106">
        <v>1210.0</v>
      </c>
      <c r="N22" s="109"/>
      <c r="O22" s="106">
        <f t="shared" si="1"/>
        <v>37416</v>
      </c>
    </row>
    <row r="23">
      <c r="A23" s="104" t="s">
        <v>89</v>
      </c>
      <c r="B23" s="109"/>
      <c r="C23" s="109"/>
      <c r="D23" s="109"/>
      <c r="E23" s="109"/>
      <c r="F23" s="109"/>
      <c r="G23" s="109"/>
      <c r="H23" s="109"/>
      <c r="I23" s="106">
        <v>1300.0</v>
      </c>
      <c r="J23" s="106">
        <v>661.0</v>
      </c>
      <c r="K23" s="106">
        <v>3662.0</v>
      </c>
      <c r="L23" s="109"/>
      <c r="M23" s="109"/>
      <c r="N23" s="109"/>
      <c r="O23" s="106">
        <f t="shared" si="1"/>
        <v>5623</v>
      </c>
    </row>
    <row r="24">
      <c r="A24" s="104" t="s">
        <v>92</v>
      </c>
      <c r="B24" s="109"/>
      <c r="C24" s="109"/>
      <c r="D24" s="109"/>
      <c r="E24" s="109"/>
      <c r="F24" s="109"/>
      <c r="G24" s="109"/>
      <c r="H24" s="109"/>
      <c r="I24" s="106">
        <v>196.66</v>
      </c>
      <c r="J24" s="106">
        <v>1227.52</v>
      </c>
      <c r="K24" s="106">
        <v>1183.95</v>
      </c>
      <c r="L24" s="106">
        <v>657.33</v>
      </c>
      <c r="M24" s="106">
        <v>299.85</v>
      </c>
      <c r="N24" s="109"/>
      <c r="O24" s="106">
        <f t="shared" si="1"/>
        <v>3565.31</v>
      </c>
    </row>
    <row r="25">
      <c r="A25" s="102"/>
      <c r="B25" s="117">
        <f t="shared" ref="B25:O25" si="2">sum(B2:B24)</f>
        <v>13750.19</v>
      </c>
      <c r="C25" s="117">
        <f t="shared" si="2"/>
        <v>82563</v>
      </c>
      <c r="D25" s="117">
        <f t="shared" si="2"/>
        <v>27000.19</v>
      </c>
      <c r="E25" s="117">
        <f t="shared" si="2"/>
        <v>22883.02</v>
      </c>
      <c r="F25" s="117">
        <f t="shared" si="2"/>
        <v>21278</v>
      </c>
      <c r="G25" s="117">
        <f t="shared" si="2"/>
        <v>27118.53</v>
      </c>
      <c r="H25" s="117">
        <f t="shared" si="2"/>
        <v>19430.4</v>
      </c>
      <c r="I25" s="117">
        <f t="shared" si="2"/>
        <v>23691.71</v>
      </c>
      <c r="J25" s="117">
        <f t="shared" si="2"/>
        <v>11043.05</v>
      </c>
      <c r="K25" s="117">
        <f t="shared" si="2"/>
        <v>48488.39</v>
      </c>
      <c r="L25" s="117">
        <f t="shared" si="2"/>
        <v>58866.58</v>
      </c>
      <c r="M25" s="117">
        <f t="shared" si="2"/>
        <v>9397.52</v>
      </c>
      <c r="N25" s="117">
        <f t="shared" si="2"/>
        <v>837.23</v>
      </c>
      <c r="O25" s="117">
        <f t="shared" si="2"/>
        <v>366347.81</v>
      </c>
    </row>
    <row r="26">
      <c r="A26" s="102"/>
      <c r="B26" s="120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</row>
    <row r="27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</row>
    <row r="28">
      <c r="A28" s="101" t="s">
        <v>28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</row>
    <row r="29">
      <c r="A29" s="125" t="s">
        <v>28</v>
      </c>
      <c r="B29" s="102"/>
      <c r="C29" s="102"/>
      <c r="D29" s="126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</row>
    <row r="30">
      <c r="A30" s="104" t="s">
        <v>94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4" t="s">
        <v>95</v>
      </c>
    </row>
    <row r="31">
      <c r="A31" s="104" t="s">
        <v>96</v>
      </c>
      <c r="B31" s="106">
        <v>7846.0</v>
      </c>
      <c r="C31" s="106">
        <f>5192+24072+225+400+5739+8354+11186+802+17708</f>
        <v>73678</v>
      </c>
      <c r="D31" s="106">
        <v>24576.0</v>
      </c>
      <c r="E31" s="106">
        <v>11605.0</v>
      </c>
      <c r="F31" s="106">
        <v>5930.0</v>
      </c>
      <c r="G31" s="106">
        <v>33346.0</v>
      </c>
      <c r="H31" s="106">
        <v>14602.0</v>
      </c>
      <c r="I31" s="106">
        <v>15099.0</v>
      </c>
      <c r="J31" s="106">
        <v>5260.0</v>
      </c>
      <c r="K31" s="106">
        <v>5357.0</v>
      </c>
      <c r="L31" s="106">
        <v>10980.0</v>
      </c>
      <c r="M31" s="106">
        <v>8800.0</v>
      </c>
      <c r="N31" s="104">
        <v>0.0</v>
      </c>
      <c r="O31" s="106">
        <f>sum(B31:N31)</f>
        <v>217079</v>
      </c>
    </row>
    <row r="32">
      <c r="A32" s="102"/>
      <c r="B32" s="117">
        <f t="shared" ref="B32:N32" si="3">sum(B30:B31)</f>
        <v>7846</v>
      </c>
      <c r="C32" s="117">
        <f t="shared" si="3"/>
        <v>73678</v>
      </c>
      <c r="D32" s="117">
        <f t="shared" si="3"/>
        <v>24576</v>
      </c>
      <c r="E32" s="117">
        <f t="shared" si="3"/>
        <v>11605</v>
      </c>
      <c r="F32" s="117">
        <f t="shared" si="3"/>
        <v>5930</v>
      </c>
      <c r="G32" s="117">
        <f t="shared" si="3"/>
        <v>33346</v>
      </c>
      <c r="H32" s="117">
        <f t="shared" si="3"/>
        <v>14602</v>
      </c>
      <c r="I32" s="117">
        <f t="shared" si="3"/>
        <v>15099</v>
      </c>
      <c r="J32" s="117">
        <f t="shared" si="3"/>
        <v>5260</v>
      </c>
      <c r="K32" s="117">
        <f t="shared" si="3"/>
        <v>5357</v>
      </c>
      <c r="L32" s="117">
        <f t="shared" si="3"/>
        <v>10980</v>
      </c>
      <c r="M32" s="117">
        <f t="shared" si="3"/>
        <v>8800</v>
      </c>
      <c r="N32" s="117">
        <f t="shared" si="3"/>
        <v>0</v>
      </c>
      <c r="O32" s="130">
        <f>sum(O31)</f>
        <v>217079</v>
      </c>
    </row>
  </sheetData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6" width="12.63"/>
  </cols>
  <sheetData>
    <row r="1" ht="15.75" customHeight="1">
      <c r="A1" s="103" t="s">
        <v>70</v>
      </c>
      <c r="B1" s="105"/>
      <c r="C1" s="105"/>
      <c r="D1" s="105"/>
      <c r="E1" s="107"/>
      <c r="F1" s="107"/>
      <c r="G1" s="107"/>
      <c r="H1" s="107"/>
      <c r="I1" s="107"/>
      <c r="J1" s="107"/>
      <c r="K1" s="107"/>
      <c r="L1" s="107"/>
      <c r="M1" s="107"/>
      <c r="N1" s="108"/>
    </row>
    <row r="2" ht="15.75" customHeight="1">
      <c r="A2" s="105"/>
      <c r="B2" s="4">
        <v>45748.0</v>
      </c>
      <c r="C2" s="4">
        <v>45778.0</v>
      </c>
      <c r="D2" s="4">
        <v>45809.0</v>
      </c>
      <c r="E2" s="4">
        <v>45839.0</v>
      </c>
      <c r="F2" s="5">
        <v>45870.0</v>
      </c>
      <c r="G2" s="4">
        <v>45901.0</v>
      </c>
      <c r="H2" s="4">
        <v>45931.0</v>
      </c>
      <c r="I2" s="4">
        <v>45962.0</v>
      </c>
      <c r="J2" s="4">
        <v>45992.0</v>
      </c>
      <c r="K2" s="4">
        <v>46023.0</v>
      </c>
      <c r="L2" s="4">
        <v>46054.0</v>
      </c>
      <c r="M2" s="4">
        <v>46082.0</v>
      </c>
      <c r="N2" s="110" t="s">
        <v>74</v>
      </c>
    </row>
    <row r="3" ht="15.75" customHeight="1">
      <c r="A3" s="112" t="s">
        <v>4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</row>
    <row r="4" ht="15.75" customHeight="1">
      <c r="A4" s="115" t="s">
        <v>7</v>
      </c>
      <c r="B4" s="118">
        <v>2933146.19</v>
      </c>
      <c r="C4" s="122">
        <f t="shared" ref="C4:M4" si="1">B7</f>
        <v>2891332.91</v>
      </c>
      <c r="D4" s="122">
        <f t="shared" si="1"/>
        <v>3379383.54</v>
      </c>
      <c r="E4" s="122">
        <f t="shared" si="1"/>
        <v>2966407</v>
      </c>
      <c r="F4" s="122">
        <f t="shared" si="1"/>
        <v>3056346</v>
      </c>
      <c r="G4" s="122">
        <f t="shared" si="1"/>
        <v>2433562.45</v>
      </c>
      <c r="H4" s="122">
        <f t="shared" si="1"/>
        <v>2497822.98</v>
      </c>
      <c r="I4" s="122">
        <f t="shared" si="1"/>
        <v>2959165.09</v>
      </c>
      <c r="J4" s="122">
        <f t="shared" si="1"/>
        <v>2347751.27</v>
      </c>
      <c r="K4" s="122">
        <f t="shared" si="1"/>
        <v>1801443</v>
      </c>
      <c r="L4" s="122">
        <f t="shared" si="1"/>
        <v>1557901.27</v>
      </c>
      <c r="M4" s="122">
        <f t="shared" si="1"/>
        <v>1456275.18</v>
      </c>
      <c r="N4" s="127"/>
    </row>
    <row r="5" ht="15.75" customHeight="1">
      <c r="A5" s="115" t="s">
        <v>9</v>
      </c>
      <c r="B5" s="118">
        <f>4123389.06+129854.85</f>
        <v>4253243.91</v>
      </c>
      <c r="C5" s="122">
        <f>4778522.13+400709</f>
        <v>5179231.13</v>
      </c>
      <c r="D5" s="122">
        <f>3898241.18+219009</f>
        <v>4117250.18</v>
      </c>
      <c r="E5" s="122">
        <f>4905526+77907</f>
        <v>4983433</v>
      </c>
      <c r="F5" s="122">
        <f>3770435.4+219224</f>
        <v>3989659.4</v>
      </c>
      <c r="G5" s="122">
        <f>4187600.86+319939</f>
        <v>4507539.86</v>
      </c>
      <c r="H5" s="122">
        <f>4378931.29</f>
        <v>4378931.29</v>
      </c>
      <c r="I5" s="122">
        <f>3446086.26</f>
        <v>3446086.26</v>
      </c>
      <c r="J5" s="122">
        <f>3933774.29</f>
        <v>3933774.29</v>
      </c>
      <c r="K5" s="122">
        <f>4600274.18</f>
        <v>4600274.18</v>
      </c>
      <c r="L5" s="122">
        <f>4862265.14+2812+605</f>
        <v>4865682.14</v>
      </c>
      <c r="M5" s="122">
        <f>5597455.7</f>
        <v>5597455.7</v>
      </c>
      <c r="N5" s="133">
        <f t="shared" ref="N5:N6" si="2">SUM(B5:M5)</f>
        <v>53852561.34</v>
      </c>
    </row>
    <row r="6" ht="15.75" customHeight="1">
      <c r="A6" s="115" t="s">
        <v>10</v>
      </c>
      <c r="B6" s="118">
        <f>4451303.19+30882</f>
        <v>4482185.19</v>
      </c>
      <c r="C6" s="122">
        <f>4644293.38+44290.58</f>
        <v>4688583.96</v>
      </c>
      <c r="D6" s="122">
        <f>4591421</f>
        <v>4591421</v>
      </c>
      <c r="E6" s="122">
        <f>4774983</f>
        <v>4774983</v>
      </c>
      <c r="F6" s="122">
        <f>4583558.93</f>
        <v>4583558.93</v>
      </c>
      <c r="G6" s="118">
        <v>4537718.55</v>
      </c>
      <c r="H6" s="118">
        <v>4023434.91</v>
      </c>
      <c r="I6" s="122">
        <f>4064636.63</f>
        <v>4064636.63</v>
      </c>
      <c r="J6" s="122">
        <f>4965652-38545.77-411631</f>
        <v>4515475.23</v>
      </c>
      <c r="K6" s="122">
        <f>4986541.8-184706</f>
        <v>4801835.8</v>
      </c>
      <c r="L6" s="118">
        <v>5216369.66</v>
      </c>
      <c r="M6" s="118">
        <v>5701018.67</v>
      </c>
      <c r="N6" s="133">
        <f t="shared" si="2"/>
        <v>55981221.53</v>
      </c>
    </row>
    <row r="7" ht="15.75" customHeight="1">
      <c r="A7" s="115" t="s">
        <v>12</v>
      </c>
      <c r="B7" s="118">
        <f>2565799.5+325533.41</f>
        <v>2891332.91</v>
      </c>
      <c r="C7" s="122">
        <f>3182236.6+197146.94</f>
        <v>3379383.54</v>
      </c>
      <c r="D7" s="134">
        <f>2661902+304505</f>
        <v>2966407</v>
      </c>
      <c r="E7" s="134">
        <f>2836804+219542</f>
        <v>3056346</v>
      </c>
      <c r="F7" s="134">
        <f>2261900.52+171661.93</f>
        <v>2433562.45</v>
      </c>
      <c r="G7" s="136">
        <f>2150288.03+347534.95</f>
        <v>2497822.98</v>
      </c>
      <c r="H7" s="134">
        <f>2696627.59+262537.5</f>
        <v>2959165.09</v>
      </c>
      <c r="I7" s="134">
        <f>2207781.84+139969.43</f>
        <v>2347751.27</v>
      </c>
      <c r="J7" s="134">
        <f>1651715+149728</f>
        <v>1801443</v>
      </c>
      <c r="K7" s="134">
        <f>1362715.27+195186</f>
        <v>1557901.27</v>
      </c>
      <c r="L7" s="134">
        <f>1233873.18+222402</f>
        <v>1456275.18</v>
      </c>
      <c r="M7" s="122">
        <f>1185355.13+126339</f>
        <v>1311694.13</v>
      </c>
      <c r="N7" s="127"/>
      <c r="P7" s="138"/>
    </row>
    <row r="8" ht="15.75" customHeight="1">
      <c r="A8" s="113"/>
      <c r="B8" s="113"/>
      <c r="C8" s="113"/>
      <c r="D8" s="113"/>
      <c r="E8" s="113"/>
      <c r="F8" s="113"/>
      <c r="G8" s="113"/>
      <c r="H8" s="139"/>
      <c r="I8" s="139"/>
      <c r="J8" s="139"/>
      <c r="K8" s="139"/>
      <c r="L8" s="139"/>
      <c r="M8" s="139"/>
      <c r="N8" s="113"/>
    </row>
    <row r="9" ht="15.75" customHeight="1">
      <c r="A9" s="140" t="s">
        <v>102</v>
      </c>
      <c r="B9" s="122">
        <f t="shared" ref="B9:M9" si="3">B4+B5-B6-B7</f>
        <v>-187128</v>
      </c>
      <c r="C9" s="122">
        <f t="shared" si="3"/>
        <v>2596.54</v>
      </c>
      <c r="D9" s="122">
        <f t="shared" si="3"/>
        <v>-61194.28</v>
      </c>
      <c r="E9" s="122">
        <f t="shared" si="3"/>
        <v>118511</v>
      </c>
      <c r="F9" s="122">
        <f t="shared" si="3"/>
        <v>28884.02</v>
      </c>
      <c r="G9" s="122">
        <f t="shared" si="3"/>
        <v>-94439.22</v>
      </c>
      <c r="H9" s="122">
        <f t="shared" si="3"/>
        <v>-105845.73</v>
      </c>
      <c r="I9" s="122">
        <f t="shared" si="3"/>
        <v>-7136.55</v>
      </c>
      <c r="J9" s="122">
        <f t="shared" si="3"/>
        <v>-35392.67</v>
      </c>
      <c r="K9" s="122">
        <f t="shared" si="3"/>
        <v>41980.11</v>
      </c>
      <c r="L9" s="122">
        <f t="shared" si="3"/>
        <v>-249061.43</v>
      </c>
      <c r="M9" s="122">
        <f t="shared" si="3"/>
        <v>41018.08</v>
      </c>
      <c r="N9" s="133">
        <f t="shared" ref="N9:N26" si="4">sum(B9:M9)</f>
        <v>-507208.13</v>
      </c>
    </row>
    <row r="10" ht="15.75" customHeight="1">
      <c r="A10" s="140" t="s">
        <v>104</v>
      </c>
      <c r="B10" s="118">
        <f>10411.24+94864</f>
        <v>105275.24</v>
      </c>
      <c r="C10" s="118">
        <f>106519+10529</f>
        <v>117048</v>
      </c>
      <c r="D10" s="122">
        <f>8401+81508</f>
        <v>89909</v>
      </c>
      <c r="E10" s="122">
        <f>100108+8818</f>
        <v>108926</v>
      </c>
      <c r="F10" s="122">
        <f>7935.76+91537.74</f>
        <v>99473.5</v>
      </c>
      <c r="G10" s="122">
        <f>10002+88001</f>
        <v>98003</v>
      </c>
      <c r="H10" s="122">
        <f>8243.81+86358.72</f>
        <v>94602.53</v>
      </c>
      <c r="I10" s="122">
        <f>7781.61+89249.73</f>
        <v>97031.34</v>
      </c>
      <c r="J10" s="122">
        <f>5416+87394</f>
        <v>92810</v>
      </c>
      <c r="K10" s="122">
        <f>7721+79048</f>
        <v>86769</v>
      </c>
      <c r="L10" s="122">
        <f>4453.99+80620</f>
        <v>85073.99</v>
      </c>
      <c r="M10" s="122">
        <f>15526.09</f>
        <v>15526.09</v>
      </c>
      <c r="N10" s="133">
        <f t="shared" si="4"/>
        <v>1090447.69</v>
      </c>
    </row>
    <row r="11" ht="15.75" customHeight="1">
      <c r="A11" s="140" t="s">
        <v>19</v>
      </c>
      <c r="B11" s="118">
        <f>191320+14033+42100/3</f>
        <v>219386.3333</v>
      </c>
      <c r="C11" s="118">
        <f>220030+14033+42100/3</f>
        <v>248096.3333</v>
      </c>
      <c r="D11" s="118">
        <f>218940+14033+42100/3</f>
        <v>247006.3333</v>
      </c>
      <c r="E11" s="118">
        <f>15236+218940</f>
        <v>234176</v>
      </c>
      <c r="F11" s="122">
        <f>244020+10362</f>
        <v>254382</v>
      </c>
      <c r="G11" s="122">
        <f>10266+193720</f>
        <v>203986</v>
      </c>
      <c r="H11" s="122">
        <f>195780+12571.01</f>
        <v>208351.01</v>
      </c>
      <c r="I11" s="118">
        <f>117400+4905</f>
        <v>122305</v>
      </c>
      <c r="J11" s="118">
        <f>140350+5000</f>
        <v>145350</v>
      </c>
      <c r="K11" s="118">
        <f>121370+7744</f>
        <v>129114</v>
      </c>
      <c r="L11" s="122">
        <f>163500+13362</f>
        <v>176862</v>
      </c>
      <c r="M11" s="133">
        <f>8890+175000</f>
        <v>183890</v>
      </c>
      <c r="N11" s="133">
        <f t="shared" si="4"/>
        <v>2372905.01</v>
      </c>
    </row>
    <row r="12" ht="15.75" customHeight="1">
      <c r="A12" s="140" t="s">
        <v>117</v>
      </c>
      <c r="B12" s="118">
        <v>46500.0</v>
      </c>
      <c r="C12" s="118">
        <v>46500.0</v>
      </c>
      <c r="D12" s="118">
        <v>45000.0</v>
      </c>
      <c r="E12" s="122">
        <f>43500</f>
        <v>43500</v>
      </c>
      <c r="F12" s="118">
        <v>46500.0</v>
      </c>
      <c r="G12" s="118">
        <v>46500.0</v>
      </c>
      <c r="H12" s="118">
        <v>48000.0</v>
      </c>
      <c r="I12" s="122">
        <f>45000</f>
        <v>45000</v>
      </c>
      <c r="J12" s="118">
        <v>45000.0</v>
      </c>
      <c r="K12" s="118">
        <v>45000.0</v>
      </c>
      <c r="L12" s="118">
        <v>43500.0</v>
      </c>
      <c r="M12" s="122">
        <f>46500</f>
        <v>46500</v>
      </c>
      <c r="N12" s="133">
        <f t="shared" si="4"/>
        <v>547500</v>
      </c>
    </row>
    <row r="13" ht="15.75" customHeight="1">
      <c r="A13" s="140" t="s">
        <v>20</v>
      </c>
      <c r="B13" s="118">
        <v>600.0</v>
      </c>
      <c r="C13" s="122">
        <f>4136</f>
        <v>4136</v>
      </c>
      <c r="D13" s="122">
        <f>2875+600</f>
        <v>3475</v>
      </c>
      <c r="E13" s="122">
        <f>5310/3+600</f>
        <v>2370</v>
      </c>
      <c r="F13" s="133">
        <f>5310/3+4160</f>
        <v>5930</v>
      </c>
      <c r="G13" s="122">
        <f>5310/3</f>
        <v>1770</v>
      </c>
      <c r="H13" s="122">
        <f>600</f>
        <v>600</v>
      </c>
      <c r="I13" s="145">
        <v>600.0</v>
      </c>
      <c r="J13" s="122">
        <f t="shared" ref="J13:L13" si="5">4134/3+2828/3+600</f>
        <v>2920.666667</v>
      </c>
      <c r="K13" s="122">
        <f t="shared" si="5"/>
        <v>2920.666667</v>
      </c>
      <c r="L13" s="122">
        <f t="shared" si="5"/>
        <v>2920.666667</v>
      </c>
      <c r="M13" s="122">
        <f>2828+600</f>
        <v>3428</v>
      </c>
      <c r="N13" s="133">
        <f t="shared" si="4"/>
        <v>31671</v>
      </c>
    </row>
    <row r="14" ht="15.75" customHeight="1">
      <c r="A14" s="140" t="s">
        <v>21</v>
      </c>
      <c r="B14" s="122">
        <f>47754+122664</f>
        <v>170418</v>
      </c>
      <c r="C14" s="122">
        <f>33193+130059.89</f>
        <v>163252.89</v>
      </c>
      <c r="D14" s="122">
        <f>31014+133378.79</f>
        <v>164392.79</v>
      </c>
      <c r="E14" s="122">
        <f>139346.88+34965</f>
        <v>174311.88</v>
      </c>
      <c r="F14" s="122">
        <f>135061.34+27735</f>
        <v>162796.34</v>
      </c>
      <c r="G14" s="122">
        <f>111777.6+28440</f>
        <v>140217.6</v>
      </c>
      <c r="H14" s="118">
        <f>107670+28440</f>
        <v>136110</v>
      </c>
      <c r="I14" s="122">
        <f>27285+99892</f>
        <v>127177</v>
      </c>
      <c r="J14" s="122">
        <f>28890+106540</f>
        <v>135430</v>
      </c>
      <c r="K14" s="118">
        <f>122498+35511</f>
        <v>158009</v>
      </c>
      <c r="L14" s="118">
        <f>118305.01+41784</f>
        <v>160089.01</v>
      </c>
      <c r="M14" s="133">
        <f>14816+45000+120000</f>
        <v>179816</v>
      </c>
      <c r="N14" s="133">
        <f t="shared" si="4"/>
        <v>1872020.51</v>
      </c>
    </row>
    <row r="15" ht="15.75" customHeight="1">
      <c r="A15" s="140" t="s">
        <v>127</v>
      </c>
      <c r="B15" s="153">
        <v>0.0</v>
      </c>
      <c r="C15" s="154">
        <f t="shared" ref="C15:J15" si="6">20822/12</f>
        <v>1735.166667</v>
      </c>
      <c r="D15" s="154">
        <f t="shared" si="6"/>
        <v>1735.166667</v>
      </c>
      <c r="E15" s="154">
        <f t="shared" si="6"/>
        <v>1735.166667</v>
      </c>
      <c r="F15" s="154">
        <f t="shared" si="6"/>
        <v>1735.166667</v>
      </c>
      <c r="G15" s="154">
        <f t="shared" si="6"/>
        <v>1735.166667</v>
      </c>
      <c r="H15" s="154">
        <f t="shared" si="6"/>
        <v>1735.166667</v>
      </c>
      <c r="I15" s="154">
        <f t="shared" si="6"/>
        <v>1735.166667</v>
      </c>
      <c r="J15" s="154">
        <f t="shared" si="6"/>
        <v>1735.166667</v>
      </c>
      <c r="K15" s="154">
        <f t="shared" ref="K15:M15" si="7">20822/12+21800/12</f>
        <v>3551.833333</v>
      </c>
      <c r="L15" s="154">
        <f t="shared" si="7"/>
        <v>3551.833333</v>
      </c>
      <c r="M15" s="154">
        <f t="shared" si="7"/>
        <v>3551.833333</v>
      </c>
      <c r="N15" s="133">
        <f t="shared" si="4"/>
        <v>24536.83333</v>
      </c>
    </row>
    <row r="16" ht="15.75" customHeight="1">
      <c r="A16" s="140" t="s">
        <v>128</v>
      </c>
      <c r="B16" s="122">
        <f t="shared" ref="B16:M16" si="8">284970</f>
        <v>284970</v>
      </c>
      <c r="C16" s="122">
        <f t="shared" si="8"/>
        <v>284970</v>
      </c>
      <c r="D16" s="122">
        <f t="shared" si="8"/>
        <v>284970</v>
      </c>
      <c r="E16" s="122">
        <f t="shared" si="8"/>
        <v>284970</v>
      </c>
      <c r="F16" s="122">
        <f t="shared" si="8"/>
        <v>284970</v>
      </c>
      <c r="G16" s="122">
        <f t="shared" si="8"/>
        <v>284970</v>
      </c>
      <c r="H16" s="122">
        <f t="shared" si="8"/>
        <v>284970</v>
      </c>
      <c r="I16" s="122">
        <f t="shared" si="8"/>
        <v>284970</v>
      </c>
      <c r="J16" s="122">
        <f t="shared" si="8"/>
        <v>284970</v>
      </c>
      <c r="K16" s="122">
        <f t="shared" si="8"/>
        <v>284970</v>
      </c>
      <c r="L16" s="122">
        <f t="shared" si="8"/>
        <v>284970</v>
      </c>
      <c r="M16" s="122">
        <f t="shared" si="8"/>
        <v>284970</v>
      </c>
      <c r="N16" s="133">
        <f t="shared" si="4"/>
        <v>3419640</v>
      </c>
    </row>
    <row r="17" ht="15.75" customHeight="1">
      <c r="A17" s="140" t="s">
        <v>24</v>
      </c>
      <c r="B17" s="122">
        <f t="shared" ref="B17:M17" si="9">100300/12</f>
        <v>8358.333333</v>
      </c>
      <c r="C17" s="122">
        <f t="shared" si="9"/>
        <v>8358.333333</v>
      </c>
      <c r="D17" s="122">
        <f t="shared" si="9"/>
        <v>8358.333333</v>
      </c>
      <c r="E17" s="122">
        <f t="shared" si="9"/>
        <v>8358.333333</v>
      </c>
      <c r="F17" s="122">
        <f t="shared" si="9"/>
        <v>8358.333333</v>
      </c>
      <c r="G17" s="122">
        <f t="shared" si="9"/>
        <v>8358.333333</v>
      </c>
      <c r="H17" s="122">
        <f t="shared" si="9"/>
        <v>8358.333333</v>
      </c>
      <c r="I17" s="122">
        <f t="shared" si="9"/>
        <v>8358.333333</v>
      </c>
      <c r="J17" s="122">
        <f t="shared" si="9"/>
        <v>8358.333333</v>
      </c>
      <c r="K17" s="122">
        <f t="shared" si="9"/>
        <v>8358.333333</v>
      </c>
      <c r="L17" s="122">
        <f t="shared" si="9"/>
        <v>8358.333333</v>
      </c>
      <c r="M17" s="122">
        <f t="shared" si="9"/>
        <v>8358.333333</v>
      </c>
      <c r="N17" s="133">
        <f t="shared" si="4"/>
        <v>100300</v>
      </c>
    </row>
    <row r="18" ht="15.75" customHeight="1">
      <c r="A18" s="140" t="s">
        <v>25</v>
      </c>
      <c r="B18" s="122">
        <f>22000+22420+2516+682535.77+56230/12+258567/12</f>
        <v>755704.8533</v>
      </c>
      <c r="C18" s="122">
        <f>677655+22000+22420+3412++56230/12+258567/12</f>
        <v>751720.0833</v>
      </c>
      <c r="D18" s="122">
        <f>664272.18+22000+22420+3372+56230/12+258567/12</f>
        <v>738297.2633</v>
      </c>
      <c r="E18" s="122">
        <f>667187+22000+22420+4284+56230/12+258567/12</f>
        <v>742124.0833</v>
      </c>
      <c r="F18" s="122">
        <f>693558.01+22000+22420+56230/12+258567/12</f>
        <v>764211.0933</v>
      </c>
      <c r="G18" s="122">
        <f>650002.38+56230/12+22000+22420+3972+258567/12</f>
        <v>724627.4633</v>
      </c>
      <c r="H18" s="122">
        <f>56230/12+258567/12+660685+22000+22420</f>
        <v>731338.0833</v>
      </c>
      <c r="I18" s="122">
        <f>56230/12+258567/12+22000+22420+622783</f>
        <v>693436.0833</v>
      </c>
      <c r="J18" s="122">
        <f>56230/12+258567/12+613742+22000+22420+14000</f>
        <v>698395.0833</v>
      </c>
      <c r="K18" s="122">
        <f>56230/12+258567/12+22000+22420+14000+635419</f>
        <v>720072.0833</v>
      </c>
      <c r="L18" s="122">
        <f>56230/12+258567/12+588980+22000+22420</f>
        <v>659633.0833</v>
      </c>
      <c r="M18" s="122">
        <f>56230/12+258567/12+22000+3500+22420+616790</f>
        <v>690943.0833</v>
      </c>
      <c r="N18" s="133">
        <f t="shared" si="4"/>
        <v>8670502.34</v>
      </c>
    </row>
    <row r="19" ht="15.75" customHeight="1">
      <c r="A19" s="140" t="s">
        <v>80</v>
      </c>
      <c r="B19" s="122"/>
      <c r="C19" s="122"/>
      <c r="D19" s="122"/>
      <c r="E19" s="155"/>
      <c r="F19" s="155"/>
      <c r="G19" s="155"/>
      <c r="H19" s="155"/>
      <c r="I19" s="155"/>
      <c r="J19" s="155"/>
      <c r="K19" s="155"/>
      <c r="L19" s="155"/>
      <c r="M19" s="155"/>
      <c r="N19" s="133">
        <f t="shared" si="4"/>
        <v>0</v>
      </c>
    </row>
    <row r="20" ht="15.75" customHeight="1">
      <c r="A20" s="140" t="s">
        <v>28</v>
      </c>
      <c r="B20" s="153">
        <v>29330.0</v>
      </c>
      <c r="C20" s="156">
        <v>5757.0</v>
      </c>
      <c r="D20" s="156">
        <v>5510.0</v>
      </c>
      <c r="E20" s="156">
        <v>13614.0</v>
      </c>
      <c r="F20" s="118">
        <v>73678.0</v>
      </c>
      <c r="G20" s="118">
        <v>80573.0</v>
      </c>
      <c r="H20" s="118">
        <v>85300.0</v>
      </c>
      <c r="I20" s="118">
        <v>49692.0</v>
      </c>
      <c r="J20" s="118">
        <v>31273.0</v>
      </c>
      <c r="K20" s="118">
        <v>113570.0</v>
      </c>
      <c r="L20" s="118">
        <v>72337.0</v>
      </c>
      <c r="M20" s="122">
        <f>159859</f>
        <v>159859</v>
      </c>
      <c r="N20" s="133">
        <f t="shared" si="4"/>
        <v>720493</v>
      </c>
    </row>
    <row r="21" ht="15.75" customHeight="1">
      <c r="A21" s="140" t="s">
        <v>132</v>
      </c>
      <c r="B21" s="122"/>
      <c r="C21" s="122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33">
        <f t="shared" si="4"/>
        <v>0</v>
      </c>
    </row>
    <row r="22" ht="15.75" customHeight="1">
      <c r="A22" s="140" t="s">
        <v>26</v>
      </c>
      <c r="B22" s="118">
        <v>14160.0</v>
      </c>
      <c r="C22" s="118">
        <f>14160+7080</f>
        <v>21240</v>
      </c>
      <c r="D22" s="118">
        <f>14632+8850</f>
        <v>23482</v>
      </c>
      <c r="E22" s="122">
        <f>8850+14632</f>
        <v>23482</v>
      </c>
      <c r="F22" s="122">
        <f t="shared" ref="F22:G22" si="10">14632+8850</f>
        <v>23482</v>
      </c>
      <c r="G22" s="122">
        <f t="shared" si="10"/>
        <v>23482</v>
      </c>
      <c r="H22" s="122">
        <f>8850+14632</f>
        <v>23482</v>
      </c>
      <c r="I22" s="122">
        <f>14160+8850</f>
        <v>23010</v>
      </c>
      <c r="J22" s="122">
        <f>8850+14160</f>
        <v>23010</v>
      </c>
      <c r="K22" s="122">
        <f t="shared" ref="K22:L22" si="11">14160+8850</f>
        <v>23010</v>
      </c>
      <c r="L22" s="122">
        <f t="shared" si="11"/>
        <v>23010</v>
      </c>
      <c r="M22" s="122">
        <f>8850</f>
        <v>8850</v>
      </c>
      <c r="N22" s="133">
        <f t="shared" si="4"/>
        <v>253700</v>
      </c>
    </row>
    <row r="23" ht="15.75" customHeight="1">
      <c r="A23" s="140" t="s">
        <v>29</v>
      </c>
      <c r="B23" s="153">
        <v>32215.0</v>
      </c>
      <c r="C23" s="118">
        <v>46084.0</v>
      </c>
      <c r="D23" s="118">
        <v>83404.0</v>
      </c>
      <c r="E23" s="118">
        <v>53000.0</v>
      </c>
      <c r="F23" s="118">
        <v>82563.0</v>
      </c>
      <c r="G23" s="118">
        <v>101211.0</v>
      </c>
      <c r="H23" s="118">
        <v>81655.0</v>
      </c>
      <c r="I23" s="118">
        <v>42035.0</v>
      </c>
      <c r="J23" s="118">
        <v>102206.0</v>
      </c>
      <c r="K23" s="118">
        <v>66192.0</v>
      </c>
      <c r="L23" s="122">
        <f>96567</f>
        <v>96567</v>
      </c>
      <c r="M23" s="118">
        <v>109034.78</v>
      </c>
      <c r="N23" s="133">
        <f t="shared" si="4"/>
        <v>896166.78</v>
      </c>
    </row>
    <row r="24" ht="15.75" customHeight="1">
      <c r="A24" s="140" t="s">
        <v>133</v>
      </c>
      <c r="B24" s="118">
        <v>0.0</v>
      </c>
      <c r="C24" s="122">
        <f>900+1700</f>
        <v>2600</v>
      </c>
      <c r="D24" s="122"/>
      <c r="E24" s="155"/>
      <c r="F24" s="155"/>
      <c r="G24" s="155"/>
      <c r="H24" s="155"/>
      <c r="I24" s="155"/>
      <c r="J24" s="155"/>
      <c r="K24" s="155"/>
      <c r="L24" s="155"/>
      <c r="M24" s="155"/>
      <c r="N24" s="133">
        <f t="shared" si="4"/>
        <v>2600</v>
      </c>
    </row>
    <row r="25" ht="15.75" customHeight="1">
      <c r="A25" s="140" t="s">
        <v>134</v>
      </c>
      <c r="B25" s="122">
        <f>123480+122304+70514</f>
        <v>316298</v>
      </c>
      <c r="C25" s="122">
        <f>157447+107632+92305</f>
        <v>357384</v>
      </c>
      <c r="D25" s="122">
        <f>92400+76450+74631</f>
        <v>243481</v>
      </c>
      <c r="E25" s="122">
        <f>117600+80114+67043</f>
        <v>264757</v>
      </c>
      <c r="F25" s="122">
        <f>101584+96810+102097</f>
        <v>300491</v>
      </c>
      <c r="G25" s="122">
        <f>6615+96760+139176.5+69036</f>
        <v>311587.5</v>
      </c>
      <c r="H25" s="122">
        <f>94872+141967+120439</f>
        <v>357278</v>
      </c>
      <c r="I25" s="155">
        <f>73780+145140+100117</f>
        <v>319037</v>
      </c>
      <c r="J25" s="155">
        <f>121894+147840+103786</f>
        <v>373520</v>
      </c>
      <c r="K25" s="155">
        <f>141002+86610+122602</f>
        <v>350214</v>
      </c>
      <c r="L25" s="155">
        <f>165033+179832+111807</f>
        <v>456672</v>
      </c>
      <c r="M25" s="155">
        <f>166498+195982+129062</f>
        <v>491542</v>
      </c>
      <c r="N25" s="133">
        <f t="shared" si="4"/>
        <v>4142261.5</v>
      </c>
    </row>
    <row r="26" ht="15.75" customHeight="1">
      <c r="A26" s="157" t="s">
        <v>32</v>
      </c>
      <c r="B26" s="61">
        <f t="shared" ref="B26:F26" si="12">SUM(B10:B25)</f>
        <v>1983215.76</v>
      </c>
      <c r="C26" s="61">
        <f t="shared" si="12"/>
        <v>2058881.807</v>
      </c>
      <c r="D26" s="61">
        <f t="shared" si="12"/>
        <v>1939020.887</v>
      </c>
      <c r="E26" s="61">
        <f t="shared" si="12"/>
        <v>1955324.463</v>
      </c>
      <c r="F26" s="158">
        <f t="shared" si="12"/>
        <v>2108570.433</v>
      </c>
      <c r="G26" s="158">
        <f t="shared" ref="G26:M26" si="13">SUM(G11:G25)</f>
        <v>1929018.063</v>
      </c>
      <c r="H26" s="158">
        <f t="shared" si="13"/>
        <v>1967177.593</v>
      </c>
      <c r="I26" s="158">
        <f t="shared" si="13"/>
        <v>1717355.583</v>
      </c>
      <c r="J26" s="158">
        <f t="shared" si="13"/>
        <v>1852168.25</v>
      </c>
      <c r="K26" s="158">
        <f t="shared" si="13"/>
        <v>1904981.917</v>
      </c>
      <c r="L26" s="158">
        <f t="shared" si="13"/>
        <v>1988470.927</v>
      </c>
      <c r="M26" s="158">
        <f t="shared" si="13"/>
        <v>2170743.03</v>
      </c>
      <c r="N26" s="61">
        <f t="shared" si="4"/>
        <v>23574928.71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6" width="12.63"/>
    <col customWidth="1" min="15" max="15" width="11.13"/>
  </cols>
  <sheetData>
    <row r="1" ht="15.75" customHeight="1">
      <c r="A1" s="114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9"/>
      <c r="O1" s="119"/>
    </row>
    <row r="2" ht="15.75" customHeight="1">
      <c r="A2" s="38" t="s">
        <v>93</v>
      </c>
      <c r="B2" s="121">
        <v>45748.0</v>
      </c>
      <c r="C2" s="121">
        <v>45778.0</v>
      </c>
      <c r="D2" s="121">
        <v>45809.0</v>
      </c>
      <c r="E2" s="121">
        <v>45839.0</v>
      </c>
      <c r="F2" s="124">
        <v>45870.0</v>
      </c>
      <c r="G2" s="121">
        <v>45901.0</v>
      </c>
      <c r="H2" s="121">
        <v>45931.0</v>
      </c>
      <c r="I2" s="121">
        <v>45962.0</v>
      </c>
      <c r="J2" s="121">
        <v>45992.0</v>
      </c>
      <c r="K2" s="121">
        <v>46023.0</v>
      </c>
      <c r="L2" s="121">
        <v>46054.0</v>
      </c>
      <c r="M2" s="121">
        <v>46082.0</v>
      </c>
      <c r="N2" s="128" t="s">
        <v>74</v>
      </c>
      <c r="O2" s="129"/>
    </row>
    <row r="3" ht="15.75" customHeight="1">
      <c r="A3" s="92" t="s">
        <v>97</v>
      </c>
      <c r="B3" s="50">
        <f>CK!B26</f>
        <v>1983215.76</v>
      </c>
      <c r="C3" s="50">
        <f>CK!C26</f>
        <v>2058881.807</v>
      </c>
      <c r="D3" s="50">
        <f>CK!D26</f>
        <v>1939020.887</v>
      </c>
      <c r="E3" s="50">
        <f>CK!E26</f>
        <v>1955324.463</v>
      </c>
      <c r="F3" s="50">
        <f>CK!F26</f>
        <v>2108570.433</v>
      </c>
      <c r="G3" s="50">
        <f>CK!G26</f>
        <v>1929018.063</v>
      </c>
      <c r="H3" s="50">
        <f>CK!H26</f>
        <v>1967177.593</v>
      </c>
      <c r="I3" s="50">
        <f>CK!I26</f>
        <v>1717355.583</v>
      </c>
      <c r="J3" s="50">
        <f>CK!J26</f>
        <v>1852168.25</v>
      </c>
      <c r="K3" s="50">
        <f>CK!K26</f>
        <v>1904981.917</v>
      </c>
      <c r="L3" s="50">
        <f>CK!L26</f>
        <v>1988470.927</v>
      </c>
      <c r="M3" s="50">
        <f>CK!M26</f>
        <v>2170743.03</v>
      </c>
      <c r="N3" s="131">
        <f t="shared" ref="N3:N14" si="2">sum(B3:M3)</f>
        <v>23574928.71</v>
      </c>
      <c r="O3" s="108"/>
    </row>
    <row r="4" ht="15.75" customHeight="1">
      <c r="A4" s="132" t="s">
        <v>98</v>
      </c>
      <c r="B4" s="50">
        <f>150+2428+3000+23600+23600</f>
        <v>52778</v>
      </c>
      <c r="C4" s="50">
        <f>+150+2428+3000+23600+23600</f>
        <v>52778</v>
      </c>
      <c r="D4" s="50">
        <f>23600+23600+150+3000+2428</f>
        <v>52778</v>
      </c>
      <c r="E4" s="50">
        <f>23600+23600+150+2428+3000</f>
        <v>52778</v>
      </c>
      <c r="F4" s="50">
        <f>150+2428+3000+23600+23600</f>
        <v>52778</v>
      </c>
      <c r="G4" s="50">
        <f>150+3028+3000+3000+23600+23600</f>
        <v>56378</v>
      </c>
      <c r="H4" s="50">
        <f>23600+23600+150+2428+3000</f>
        <v>52778</v>
      </c>
      <c r="I4" s="50">
        <f>24780+24780+8030+2428+3000+150</f>
        <v>63168</v>
      </c>
      <c r="J4" s="50">
        <f>23600+23600+150+2428+3000</f>
        <v>52778</v>
      </c>
      <c r="K4" s="50">
        <f>24780+24780+2428+3350+150</f>
        <v>55488</v>
      </c>
      <c r="L4" s="50">
        <f t="shared" ref="L4:M4" si="1">24780+24780+150+2428+3000</f>
        <v>55138</v>
      </c>
      <c r="M4" s="50">
        <f t="shared" si="1"/>
        <v>55138</v>
      </c>
      <c r="N4" s="131">
        <f t="shared" si="2"/>
        <v>654756</v>
      </c>
      <c r="O4" s="108"/>
    </row>
    <row r="5" ht="15.75" customHeight="1">
      <c r="A5" s="132" t="s">
        <v>99</v>
      </c>
      <c r="B5" s="50">
        <f>45000</f>
        <v>45000</v>
      </c>
      <c r="C5" s="50">
        <f t="shared" ref="C5:J5" si="3">53100</f>
        <v>53100</v>
      </c>
      <c r="D5" s="50">
        <f t="shared" si="3"/>
        <v>53100</v>
      </c>
      <c r="E5" s="50">
        <f t="shared" si="3"/>
        <v>53100</v>
      </c>
      <c r="F5" s="50">
        <f t="shared" si="3"/>
        <v>53100</v>
      </c>
      <c r="G5" s="50">
        <f t="shared" si="3"/>
        <v>53100</v>
      </c>
      <c r="H5" s="50">
        <f t="shared" si="3"/>
        <v>53100</v>
      </c>
      <c r="I5" s="50">
        <f t="shared" si="3"/>
        <v>53100</v>
      </c>
      <c r="J5" s="50">
        <f t="shared" si="3"/>
        <v>53100</v>
      </c>
      <c r="K5" s="50">
        <f t="shared" ref="K5:M5" si="4">55755</f>
        <v>55755</v>
      </c>
      <c r="L5" s="50">
        <f t="shared" si="4"/>
        <v>55755</v>
      </c>
      <c r="M5" s="50">
        <f t="shared" si="4"/>
        <v>55755</v>
      </c>
      <c r="N5" s="131">
        <f t="shared" si="2"/>
        <v>637065</v>
      </c>
      <c r="O5" s="108"/>
    </row>
    <row r="6" ht="15.75" customHeight="1">
      <c r="A6" s="92" t="s">
        <v>89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131">
        <f t="shared" si="2"/>
        <v>0</v>
      </c>
      <c r="O6" s="108"/>
    </row>
    <row r="7" ht="15.75" customHeight="1">
      <c r="A7" s="135" t="s">
        <v>41</v>
      </c>
      <c r="B7" s="50">
        <v>0.0</v>
      </c>
      <c r="C7" s="50">
        <f t="shared" ref="C7:M7" si="5">22302/12</f>
        <v>1858.5</v>
      </c>
      <c r="D7" s="50">
        <f t="shared" si="5"/>
        <v>1858.5</v>
      </c>
      <c r="E7" s="50">
        <f t="shared" si="5"/>
        <v>1858.5</v>
      </c>
      <c r="F7" s="50">
        <f t="shared" si="5"/>
        <v>1858.5</v>
      </c>
      <c r="G7" s="50">
        <f t="shared" si="5"/>
        <v>1858.5</v>
      </c>
      <c r="H7" s="50">
        <f t="shared" si="5"/>
        <v>1858.5</v>
      </c>
      <c r="I7" s="50">
        <f t="shared" si="5"/>
        <v>1858.5</v>
      </c>
      <c r="J7" s="50">
        <f t="shared" si="5"/>
        <v>1858.5</v>
      </c>
      <c r="K7" s="50">
        <f t="shared" si="5"/>
        <v>1858.5</v>
      </c>
      <c r="L7" s="50">
        <f t="shared" si="5"/>
        <v>1858.5</v>
      </c>
      <c r="M7" s="50">
        <f t="shared" si="5"/>
        <v>1858.5</v>
      </c>
      <c r="N7" s="131">
        <f t="shared" si="2"/>
        <v>20443.5</v>
      </c>
      <c r="O7" s="137"/>
    </row>
    <row r="8" ht="15.75" customHeight="1">
      <c r="A8" s="92" t="s">
        <v>100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>
        <v>3536.0</v>
      </c>
      <c r="N8" s="131">
        <f t="shared" si="2"/>
        <v>3536</v>
      </c>
      <c r="O8" s="137"/>
    </row>
    <row r="9" ht="15.75" customHeight="1">
      <c r="A9" s="92" t="s">
        <v>101</v>
      </c>
      <c r="B9" s="50">
        <f>419266+6000+224921/12+66000/12</f>
        <v>449509.4167</v>
      </c>
      <c r="C9" s="50">
        <f>480066+224921/12+66000/12</f>
        <v>504309.4167</v>
      </c>
      <c r="D9" s="50">
        <f>478499.33+224921/12+66000/12</f>
        <v>502742.7467</v>
      </c>
      <c r="E9" s="50">
        <f t="shared" ref="E9:G9" si="6">349357+130709+224921/12+66000/12</f>
        <v>504309.4167</v>
      </c>
      <c r="F9" s="50">
        <f t="shared" si="6"/>
        <v>504309.4167</v>
      </c>
      <c r="G9" s="50">
        <f t="shared" si="6"/>
        <v>504309.4167</v>
      </c>
      <c r="H9" s="50">
        <f>224921/12+349357+130709+66000/12</f>
        <v>504309.4167</v>
      </c>
      <c r="I9" s="50">
        <f>224921/12+476419.33+76679+66000/12</f>
        <v>577341.7467</v>
      </c>
      <c r="J9" s="50">
        <f>224921/12+349357+138739+79278+66000/12</f>
        <v>591617.4167</v>
      </c>
      <c r="K9" s="50">
        <f>224921/12+480066+79278+66000/12</f>
        <v>583587.4167</v>
      </c>
      <c r="L9" s="50">
        <f>224921/12+479012+66000/12+54385</f>
        <v>557640.4167</v>
      </c>
      <c r="M9" s="50">
        <f>224921/12+66000/12+459266+55074</f>
        <v>538583.4167</v>
      </c>
      <c r="N9" s="131">
        <f t="shared" si="2"/>
        <v>6322569.66</v>
      </c>
      <c r="O9" s="137"/>
    </row>
    <row r="10" ht="15.75" customHeight="1">
      <c r="A10" s="92" t="s">
        <v>103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131">
        <f t="shared" si="2"/>
        <v>0</v>
      </c>
      <c r="O10" s="108"/>
    </row>
    <row r="11" ht="15.75" customHeight="1">
      <c r="A11" s="92" t="s">
        <v>29</v>
      </c>
      <c r="B11" s="50">
        <v>18384.22</v>
      </c>
      <c r="C11" s="50">
        <v>25286.45</v>
      </c>
      <c r="D11" s="50">
        <f>52318-40125+33795</f>
        <v>45988</v>
      </c>
      <c r="E11" s="50">
        <f>9344+33512</f>
        <v>42856</v>
      </c>
      <c r="F11" s="50">
        <f>837+33158</f>
        <v>33995</v>
      </c>
      <c r="G11" s="50">
        <f>22457.27+33158</f>
        <v>55615.27</v>
      </c>
      <c r="H11" s="50">
        <f>33158+13163</f>
        <v>46321</v>
      </c>
      <c r="I11" s="50">
        <f>489</f>
        <v>489</v>
      </c>
      <c r="J11" s="50">
        <v>6929.0</v>
      </c>
      <c r="K11" s="50">
        <v>-1595.0</v>
      </c>
      <c r="L11" s="50">
        <v>1332.27</v>
      </c>
      <c r="M11" s="50">
        <f>98502</f>
        <v>98502</v>
      </c>
      <c r="N11" s="131">
        <f t="shared" si="2"/>
        <v>374103.21</v>
      </c>
      <c r="O11" s="108"/>
    </row>
    <row r="12" ht="15.75" customHeight="1">
      <c r="A12" s="92" t="s">
        <v>105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131">
        <f t="shared" si="2"/>
        <v>0</v>
      </c>
      <c r="O12" s="108"/>
    </row>
    <row r="13" ht="15.75" customHeight="1">
      <c r="A13" s="92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131">
        <f t="shared" si="2"/>
        <v>0</v>
      </c>
      <c r="O13" s="108"/>
    </row>
    <row r="14" ht="15.75" customHeight="1">
      <c r="A14" s="92" t="s">
        <v>107</v>
      </c>
      <c r="B14" s="50">
        <f t="shared" ref="B14:C14" si="7">52510</f>
        <v>52510</v>
      </c>
      <c r="C14" s="50">
        <f t="shared" si="7"/>
        <v>52510</v>
      </c>
      <c r="D14" s="50">
        <f>52510+7080+7080</f>
        <v>66670</v>
      </c>
      <c r="E14" s="50">
        <f>52510+7080+7080+21240</f>
        <v>87910</v>
      </c>
      <c r="F14" s="50">
        <f>52510+23400</f>
        <v>75910</v>
      </c>
      <c r="G14" s="50">
        <f>+52510</f>
        <v>52510</v>
      </c>
      <c r="H14" s="50">
        <v>52510.0</v>
      </c>
      <c r="I14" s="50">
        <v>52510.0</v>
      </c>
      <c r="J14" s="50">
        <v>52510.0</v>
      </c>
      <c r="K14" s="50">
        <v>52510.0</v>
      </c>
      <c r="L14" s="50">
        <f t="shared" ref="L14:M14" si="8">52510</f>
        <v>52510</v>
      </c>
      <c r="M14" s="50">
        <f t="shared" si="8"/>
        <v>52510</v>
      </c>
      <c r="N14" s="131">
        <f t="shared" si="2"/>
        <v>703080</v>
      </c>
      <c r="O14" s="108"/>
    </row>
    <row r="15" ht="15.75" customHeight="1">
      <c r="A15" s="135" t="s">
        <v>108</v>
      </c>
      <c r="B15" s="50">
        <f t="shared" ref="B15:J15" si="9">60180/3</f>
        <v>20060</v>
      </c>
      <c r="C15" s="50">
        <f t="shared" si="9"/>
        <v>20060</v>
      </c>
      <c r="D15" s="50">
        <f t="shared" si="9"/>
        <v>20060</v>
      </c>
      <c r="E15" s="50">
        <f t="shared" si="9"/>
        <v>20060</v>
      </c>
      <c r="F15" s="50">
        <f t="shared" si="9"/>
        <v>20060</v>
      </c>
      <c r="G15" s="50">
        <f t="shared" si="9"/>
        <v>20060</v>
      </c>
      <c r="H15" s="50">
        <f t="shared" si="9"/>
        <v>20060</v>
      </c>
      <c r="I15" s="50">
        <f t="shared" si="9"/>
        <v>20060</v>
      </c>
      <c r="J15" s="50">
        <f t="shared" si="9"/>
        <v>20060</v>
      </c>
      <c r="K15" s="50">
        <v>21240.0</v>
      </c>
      <c r="L15" s="50">
        <v>21240.0</v>
      </c>
      <c r="M15" s="50">
        <v>21240.0</v>
      </c>
      <c r="N15" s="131"/>
      <c r="O15" s="108"/>
    </row>
    <row r="16" ht="15.75" customHeight="1">
      <c r="A16" s="92" t="s">
        <v>109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131">
        <f t="shared" ref="N16:N25" si="10">sum(B16:M16)</f>
        <v>0</v>
      </c>
      <c r="O16" s="108"/>
    </row>
    <row r="17" ht="15.75" customHeight="1">
      <c r="A17" s="92" t="s">
        <v>110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131">
        <f t="shared" si="10"/>
        <v>0</v>
      </c>
      <c r="O17" s="108"/>
    </row>
    <row r="18" ht="15.75" customHeight="1">
      <c r="A18" s="92" t="s">
        <v>111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131">
        <f t="shared" si="10"/>
        <v>0</v>
      </c>
      <c r="O18" s="108"/>
    </row>
    <row r="19" ht="15.75" customHeight="1">
      <c r="A19" s="92" t="s">
        <v>112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131">
        <f t="shared" si="10"/>
        <v>0</v>
      </c>
      <c r="O19" s="108"/>
    </row>
    <row r="20" ht="15.75" customHeight="1">
      <c r="A20" s="92" t="s">
        <v>113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131">
        <f t="shared" si="10"/>
        <v>0</v>
      </c>
      <c r="O20" s="108"/>
    </row>
    <row r="21" ht="15.75" customHeight="1">
      <c r="A21" s="92" t="s">
        <v>114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131">
        <f t="shared" si="10"/>
        <v>0</v>
      </c>
      <c r="O21" s="108"/>
    </row>
    <row r="22" ht="15.75" customHeight="1">
      <c r="A22" s="92" t="s">
        <v>115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131">
        <f t="shared" si="10"/>
        <v>0</v>
      </c>
      <c r="O22" s="108"/>
    </row>
    <row r="23" ht="15.75" customHeight="1">
      <c r="A23" s="92" t="s">
        <v>116</v>
      </c>
      <c r="B23" s="50">
        <v>55807.0</v>
      </c>
      <c r="C23" s="50">
        <f>16961</f>
        <v>16961</v>
      </c>
      <c r="D23" s="50">
        <v>40125.0</v>
      </c>
      <c r="E23" s="50">
        <f>181982.26</f>
        <v>181982.26</v>
      </c>
      <c r="F23" s="50">
        <v>120891.0</v>
      </c>
      <c r="G23" s="141">
        <v>0.0</v>
      </c>
      <c r="H23" s="50">
        <v>50488.0</v>
      </c>
      <c r="I23" s="50">
        <v>55542.0</v>
      </c>
      <c r="J23" s="50">
        <v>41273.0</v>
      </c>
      <c r="K23" s="50">
        <v>56161.0</v>
      </c>
      <c r="L23" s="50">
        <f>45018</f>
        <v>45018</v>
      </c>
      <c r="M23" s="50">
        <f>245006</f>
        <v>245006</v>
      </c>
      <c r="N23" s="131">
        <f t="shared" si="10"/>
        <v>909254.26</v>
      </c>
      <c r="O23" s="108"/>
    </row>
    <row r="24" ht="15.75" customHeight="1">
      <c r="A24" s="142" t="s">
        <v>118</v>
      </c>
      <c r="B24" s="50"/>
      <c r="C24" s="50"/>
      <c r="D24" s="50">
        <v>-12429.0</v>
      </c>
      <c r="E24" s="50"/>
      <c r="F24" s="50"/>
      <c r="G24" s="50">
        <v>-7869.0</v>
      </c>
      <c r="H24" s="50"/>
      <c r="I24" s="50"/>
      <c r="J24" s="50"/>
      <c r="K24" s="50"/>
      <c r="L24" s="50"/>
      <c r="M24" s="50"/>
      <c r="N24" s="131">
        <f t="shared" si="10"/>
        <v>-20298</v>
      </c>
      <c r="O24" s="143"/>
    </row>
    <row r="25" ht="15.75" customHeight="1">
      <c r="A25" s="107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131">
        <f t="shared" si="10"/>
        <v>0</v>
      </c>
      <c r="O25" s="143"/>
    </row>
    <row r="26" ht="15.75" customHeight="1">
      <c r="A26" s="38" t="s">
        <v>119</v>
      </c>
      <c r="B26" s="144">
        <f t="shared" ref="B26:G26" si="11">+SUM(B3:B24)</f>
        <v>2677264.397</v>
      </c>
      <c r="C26" s="144">
        <f t="shared" si="11"/>
        <v>2785745.173</v>
      </c>
      <c r="D26" s="144">
        <f t="shared" si="11"/>
        <v>2709914.133</v>
      </c>
      <c r="E26" s="144">
        <f t="shared" si="11"/>
        <v>2900178.64</v>
      </c>
      <c r="F26" s="144">
        <f t="shared" si="11"/>
        <v>2971472.35</v>
      </c>
      <c r="G26" s="144">
        <f t="shared" si="11"/>
        <v>2664980.25</v>
      </c>
      <c r="H26" s="144">
        <f t="shared" ref="H26:K26" si="12">+SUM(H3:H23)</f>
        <v>2748602.51</v>
      </c>
      <c r="I26" s="144">
        <f t="shared" si="12"/>
        <v>2541424.83</v>
      </c>
      <c r="J26" s="144">
        <f t="shared" si="12"/>
        <v>2672294.167</v>
      </c>
      <c r="K26" s="144">
        <f t="shared" si="12"/>
        <v>2729986.833</v>
      </c>
      <c r="L26" s="144">
        <f t="shared" ref="L26:M26" si="13">+SUM(L3:L24)</f>
        <v>2778963.113</v>
      </c>
      <c r="M26" s="144">
        <f t="shared" si="13"/>
        <v>3242871.947</v>
      </c>
      <c r="N26" s="146"/>
      <c r="O26" s="146"/>
    </row>
    <row r="27" ht="15.75" customHeight="1">
      <c r="A27" s="147"/>
      <c r="B27" s="147"/>
      <c r="C27" s="69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</row>
    <row r="28" ht="15.75" customHeight="1">
      <c r="A28" s="148"/>
      <c r="B28" s="38" t="s">
        <v>120</v>
      </c>
      <c r="C28" s="38" t="s">
        <v>121</v>
      </c>
      <c r="D28" s="38" t="s">
        <v>122</v>
      </c>
      <c r="E28" s="149"/>
      <c r="F28" s="38" t="s">
        <v>123</v>
      </c>
      <c r="G28" s="38" t="s">
        <v>121</v>
      </c>
      <c r="H28" s="38" t="s">
        <v>122</v>
      </c>
      <c r="I28" s="149"/>
      <c r="J28" s="38" t="s">
        <v>124</v>
      </c>
      <c r="K28" s="38" t="s">
        <v>121</v>
      </c>
      <c r="L28" s="38" t="s">
        <v>122</v>
      </c>
      <c r="M28" s="149"/>
      <c r="N28" s="38" t="s">
        <v>125</v>
      </c>
      <c r="O28" s="38" t="s">
        <v>121</v>
      </c>
      <c r="P28" s="38" t="s">
        <v>122</v>
      </c>
    </row>
    <row r="29" ht="15.75" customHeight="1">
      <c r="A29" s="135" t="s">
        <v>126</v>
      </c>
      <c r="B29" s="150">
        <f>'Noida Sec - 18'!B13</f>
        <v>1660914.15</v>
      </c>
      <c r="C29" s="151">
        <f t="shared" ref="C29:C39" si="14">B29/$B$40</f>
        <v>0.1129684977</v>
      </c>
      <c r="D29" s="150">
        <f t="shared" ref="D29:D39" si="15">C29*$B$26</f>
        <v>302446.5369</v>
      </c>
      <c r="E29" s="152"/>
      <c r="F29" s="150">
        <f>'Noida Sec - 18'!C13</f>
        <v>1537840.19</v>
      </c>
      <c r="G29" s="151">
        <f t="shared" ref="G29:G39" si="16">F29/$F$40</f>
        <v>0.09735015252</v>
      </c>
      <c r="H29" s="150">
        <f t="shared" ref="H29:H39" si="17">G29*$C$26</f>
        <v>271192.7175</v>
      </c>
      <c r="I29" s="152"/>
      <c r="J29" s="150">
        <f>'Noida Sec - 18'!D13</f>
        <v>1445142.58</v>
      </c>
      <c r="K29" s="151">
        <f t="shared" ref="K29:K39" si="18">J29/$J$40</f>
        <v>0.09200482586</v>
      </c>
      <c r="L29" s="150">
        <f t="shared" ref="L29:L39" si="19">K29*$D$26</f>
        <v>249325.1779</v>
      </c>
      <c r="M29" s="152"/>
      <c r="N29" s="150">
        <f>'Noida Sec - 18'!E13</f>
        <v>1662636.87</v>
      </c>
      <c r="O29" s="151">
        <f t="shared" ref="O29:O39" si="20">N29/$N$40</f>
        <v>0.1006174443</v>
      </c>
      <c r="P29" s="150">
        <f t="shared" ref="P29:P39" si="21">O29*$E$26</f>
        <v>291808.5628</v>
      </c>
    </row>
    <row r="30" ht="15.75" customHeight="1">
      <c r="A30" s="135" t="s">
        <v>129</v>
      </c>
      <c r="B30" s="150">
        <f>'Noida Sec -143'!B13</f>
        <v>751304.82</v>
      </c>
      <c r="C30" s="151">
        <f t="shared" si="14"/>
        <v>0.05110064047</v>
      </c>
      <c r="D30" s="150">
        <f t="shared" si="15"/>
        <v>136809.9254</v>
      </c>
      <c r="E30" s="152"/>
      <c r="F30" s="150">
        <f>'Noida Sec -143'!C13</f>
        <v>827129.87</v>
      </c>
      <c r="G30" s="151">
        <f t="shared" si="16"/>
        <v>0.0523599393</v>
      </c>
      <c r="H30" s="150">
        <f t="shared" si="17"/>
        <v>145861.4482</v>
      </c>
      <c r="I30" s="152"/>
      <c r="J30" s="150">
        <f>'Noida Sec -143'!D13</f>
        <v>779292.22</v>
      </c>
      <c r="K30" s="151">
        <f t="shared" si="18"/>
        <v>0.04961354401</v>
      </c>
      <c r="L30" s="150">
        <f t="shared" si="19"/>
        <v>134448.4441</v>
      </c>
      <c r="M30" s="152"/>
      <c r="N30" s="150">
        <f>'Noida Sec -143'!E13</f>
        <v>876540.72</v>
      </c>
      <c r="O30" s="151">
        <f t="shared" si="20"/>
        <v>0.05304542962</v>
      </c>
      <c r="P30" s="150">
        <f t="shared" si="21"/>
        <v>153841.2219</v>
      </c>
    </row>
    <row r="31" ht="15.75" customHeight="1">
      <c r="A31" s="135" t="s">
        <v>131</v>
      </c>
      <c r="B31" s="150">
        <f>'Faridabad Sec15'!B13</f>
        <v>841692.16</v>
      </c>
      <c r="C31" s="151">
        <f t="shared" si="14"/>
        <v>0.05724841278</v>
      </c>
      <c r="D31" s="150">
        <f t="shared" si="15"/>
        <v>153269.1373</v>
      </c>
      <c r="E31" s="152"/>
      <c r="F31" s="150">
        <f>'Faridabad Sec15'!C13</f>
        <v>923105.5</v>
      </c>
      <c r="G31" s="151">
        <f t="shared" si="16"/>
        <v>0.05843550052</v>
      </c>
      <c r="H31" s="150">
        <f t="shared" si="17"/>
        <v>162786.4135</v>
      </c>
      <c r="I31" s="152"/>
      <c r="J31" s="150">
        <f>'Faridabad Sec15'!D13</f>
        <v>847004.13</v>
      </c>
      <c r="K31" s="151">
        <f t="shared" si="18"/>
        <v>0.05392441449</v>
      </c>
      <c r="L31" s="150">
        <f t="shared" si="19"/>
        <v>146130.533</v>
      </c>
      <c r="M31" s="152"/>
      <c r="N31" s="150">
        <f>'Faridabad Sec15'!E13</f>
        <v>853396.21</v>
      </c>
      <c r="O31" s="151">
        <f t="shared" si="20"/>
        <v>0.0516447982</v>
      </c>
      <c r="P31" s="150">
        <f t="shared" si="21"/>
        <v>149779.1406</v>
      </c>
    </row>
    <row r="32" ht="15.75" customHeight="1">
      <c r="A32" s="135" t="s">
        <v>64</v>
      </c>
      <c r="B32" s="150">
        <f>DLF!B13</f>
        <v>1066885.23</v>
      </c>
      <c r="C32" s="151">
        <f t="shared" si="14"/>
        <v>0.0725651122</v>
      </c>
      <c r="D32" s="150">
        <f t="shared" si="15"/>
        <v>194275.9913</v>
      </c>
      <c r="E32" s="152"/>
      <c r="F32" s="150">
        <f>DLF!C13</f>
        <v>1026250.46</v>
      </c>
      <c r="G32" s="151">
        <f t="shared" si="16"/>
        <v>0.06496490302</v>
      </c>
      <c r="H32" s="150">
        <f t="shared" si="17"/>
        <v>180975.665</v>
      </c>
      <c r="I32" s="152"/>
      <c r="J32" s="150">
        <f>DLF!D13</f>
        <v>1066871.29</v>
      </c>
      <c r="K32" s="151">
        <f t="shared" si="18"/>
        <v>0.06792223038</v>
      </c>
      <c r="L32" s="150">
        <f t="shared" si="19"/>
        <v>184063.4121</v>
      </c>
      <c r="M32" s="152"/>
      <c r="N32" s="150">
        <f>DLF!E13</f>
        <v>1280850.73</v>
      </c>
      <c r="O32" s="151">
        <f t="shared" si="20"/>
        <v>0.07751297311</v>
      </c>
      <c r="P32" s="150">
        <f t="shared" si="21"/>
        <v>224801.4689</v>
      </c>
    </row>
    <row r="33" ht="15.75" customHeight="1">
      <c r="A33" s="135" t="s">
        <v>65</v>
      </c>
      <c r="B33" s="150">
        <f>'Gurgaon Sec-15'!B13</f>
        <v>1450448.01</v>
      </c>
      <c r="C33" s="151">
        <f t="shared" si="14"/>
        <v>0.09865346303</v>
      </c>
      <c r="D33" s="150">
        <f t="shared" si="15"/>
        <v>264121.4042</v>
      </c>
      <c r="E33" s="152"/>
      <c r="F33" s="150">
        <f>'Gurgaon Sec-15'!C13</f>
        <v>1680005.72</v>
      </c>
      <c r="G33" s="151">
        <f t="shared" si="16"/>
        <v>0.1063496806</v>
      </c>
      <c r="H33" s="150">
        <f t="shared" si="17"/>
        <v>296263.1095</v>
      </c>
      <c r="I33" s="152"/>
      <c r="J33" s="150">
        <f>'Gurgaon Sec-15'!D13</f>
        <v>1810328.24</v>
      </c>
      <c r="K33" s="151">
        <f t="shared" si="18"/>
        <v>0.1152543263</v>
      </c>
      <c r="L33" s="150">
        <f t="shared" si="19"/>
        <v>312329.3278</v>
      </c>
      <c r="M33" s="152"/>
      <c r="N33" s="150">
        <f>'Gurgaon Sec-15'!E13</f>
        <v>1824736.76</v>
      </c>
      <c r="O33" s="151">
        <f t="shared" si="20"/>
        <v>0.1104272091</v>
      </c>
      <c r="P33" s="150">
        <f t="shared" si="21"/>
        <v>320258.6331</v>
      </c>
    </row>
    <row r="34" ht="15.75" customHeight="1">
      <c r="A34" s="135" t="s">
        <v>56</v>
      </c>
      <c r="B34" s="150">
        <f>'Paschim Vihar'!B13</f>
        <v>1028808.33</v>
      </c>
      <c r="C34" s="151">
        <f t="shared" si="14"/>
        <v>0.06997527926</v>
      </c>
      <c r="D34" s="150">
        <f t="shared" si="15"/>
        <v>187342.3238</v>
      </c>
      <c r="E34" s="152"/>
      <c r="F34" s="150">
        <f>'Paschim Vihar'!C13</f>
        <v>1162224.47</v>
      </c>
      <c r="G34" s="151">
        <f t="shared" si="16"/>
        <v>0.07357248832</v>
      </c>
      <c r="H34" s="150">
        <f t="shared" si="17"/>
        <v>204954.2042</v>
      </c>
      <c r="I34" s="152"/>
      <c r="J34" s="150">
        <f>'Paschim Vihar'!D13</f>
        <v>1134578.49</v>
      </c>
      <c r="K34" s="151">
        <f t="shared" si="18"/>
        <v>0.072232801</v>
      </c>
      <c r="L34" s="150">
        <f t="shared" si="19"/>
        <v>195744.6883</v>
      </c>
      <c r="M34" s="152"/>
      <c r="N34" s="150">
        <f>'Paschim Vihar'!E13</f>
        <v>1141532.854</v>
      </c>
      <c r="O34" s="151">
        <f t="shared" si="20"/>
        <v>0.06908190265</v>
      </c>
      <c r="P34" s="150">
        <f t="shared" si="21"/>
        <v>200349.8585</v>
      </c>
    </row>
    <row r="35" ht="15.75" customHeight="1">
      <c r="A35" s="135" t="s">
        <v>59</v>
      </c>
      <c r="B35" s="150">
        <f>Kalkaji!B13</f>
        <v>851679.11</v>
      </c>
      <c r="C35" s="151">
        <f t="shared" si="14"/>
        <v>0.05792768373</v>
      </c>
      <c r="D35" s="150">
        <f t="shared" si="15"/>
        <v>155087.7252</v>
      </c>
      <c r="E35" s="152"/>
      <c r="F35" s="150">
        <f>Kalkaji!C13</f>
        <v>947000.26</v>
      </c>
      <c r="G35" s="151">
        <f t="shared" si="16"/>
        <v>0.05994811447</v>
      </c>
      <c r="H35" s="150">
        <f t="shared" si="17"/>
        <v>167000.1705</v>
      </c>
      <c r="I35" s="152"/>
      <c r="J35" s="150">
        <f>Kalkaji!D13</f>
        <v>859601.93</v>
      </c>
      <c r="K35" s="151">
        <f t="shared" si="18"/>
        <v>0.05472645189</v>
      </c>
      <c r="L35" s="150">
        <f t="shared" si="19"/>
        <v>148303.9854</v>
      </c>
      <c r="M35" s="152"/>
      <c r="N35" s="150">
        <f>Kalkaji!E13</f>
        <v>996370.7992</v>
      </c>
      <c r="O35" s="151">
        <f t="shared" si="20"/>
        <v>0.06029716122</v>
      </c>
      <c r="P35" s="150">
        <f t="shared" si="21"/>
        <v>174872.539</v>
      </c>
    </row>
    <row r="36" ht="15.75" customHeight="1">
      <c r="A36" s="135" t="s">
        <v>135</v>
      </c>
      <c r="B36" s="150">
        <f>CP!B13</f>
        <v>2396470.97</v>
      </c>
      <c r="C36" s="151">
        <f t="shared" si="14"/>
        <v>0.1629980245</v>
      </c>
      <c r="D36" s="150">
        <f t="shared" si="15"/>
        <v>436388.8077</v>
      </c>
      <c r="E36" s="152"/>
      <c r="F36" s="150">
        <f>CP!C13</f>
        <v>2312263.56</v>
      </c>
      <c r="G36" s="151">
        <f t="shared" si="16"/>
        <v>0.1463736035</v>
      </c>
      <c r="H36" s="150">
        <f t="shared" si="17"/>
        <v>407759.5595</v>
      </c>
      <c r="I36" s="152"/>
      <c r="J36" s="150">
        <f>CP!D13</f>
        <v>2579131.19</v>
      </c>
      <c r="K36" s="151">
        <f t="shared" si="18"/>
        <v>0.1642000722</v>
      </c>
      <c r="L36" s="150">
        <f t="shared" si="19"/>
        <v>444968.0964</v>
      </c>
      <c r="M36" s="152"/>
      <c r="N36" s="150">
        <f>CP!E13</f>
        <v>2651545.293</v>
      </c>
      <c r="O36" s="151">
        <f t="shared" si="20"/>
        <v>0.1604630065</v>
      </c>
      <c r="P36" s="150">
        <f t="shared" si="21"/>
        <v>465371.3839</v>
      </c>
    </row>
    <row r="37" ht="15.75" customHeight="1">
      <c r="A37" s="135" t="s">
        <v>58</v>
      </c>
      <c r="B37" s="150">
        <f>Rohini!B13</f>
        <v>1320067.34</v>
      </c>
      <c r="C37" s="151">
        <f t="shared" si="14"/>
        <v>0.08978551015</v>
      </c>
      <c r="D37" s="150">
        <f t="shared" si="15"/>
        <v>240379.5497</v>
      </c>
      <c r="E37" s="152"/>
      <c r="F37" s="150">
        <f>Rohini!C13</f>
        <v>1635838.71</v>
      </c>
      <c r="G37" s="151">
        <f t="shared" si="16"/>
        <v>0.1035537691</v>
      </c>
      <c r="H37" s="150">
        <f t="shared" si="17"/>
        <v>288474.4124</v>
      </c>
      <c r="I37" s="152"/>
      <c r="J37" s="150">
        <f>Rohini!D13</f>
        <v>1583020.66</v>
      </c>
      <c r="K37" s="151">
        <f t="shared" si="18"/>
        <v>0.100782817</v>
      </c>
      <c r="L37" s="150">
        <f t="shared" si="19"/>
        <v>273112.7801</v>
      </c>
      <c r="M37" s="152"/>
      <c r="N37" s="150">
        <f>Rohini!E13</f>
        <v>1551051.069</v>
      </c>
      <c r="O37" s="151">
        <f t="shared" si="20"/>
        <v>0.09386462993</v>
      </c>
      <c r="P37" s="150">
        <f t="shared" si="21"/>
        <v>272224.1948</v>
      </c>
    </row>
    <row r="38" ht="15.75" customHeight="1">
      <c r="A38" s="135" t="s">
        <v>62</v>
      </c>
      <c r="B38" s="150">
        <f>'Model Town'!B13</f>
        <v>1781214.98</v>
      </c>
      <c r="C38" s="151">
        <f t="shared" si="14"/>
        <v>0.1211508616</v>
      </c>
      <c r="D38" s="150">
        <f t="shared" si="15"/>
        <v>324352.8885</v>
      </c>
      <c r="E38" s="152"/>
      <c r="F38" s="150">
        <f>'Model Town'!C13</f>
        <v>2010856.6</v>
      </c>
      <c r="G38" s="151">
        <f t="shared" si="16"/>
        <v>0.1272935888</v>
      </c>
      <c r="H38" s="150">
        <f t="shared" si="17"/>
        <v>354607.5005</v>
      </c>
      <c r="I38" s="152"/>
      <c r="J38" s="150">
        <f>'Model Town'!D13</f>
        <v>1825756.849</v>
      </c>
      <c r="K38" s="151">
        <f t="shared" si="18"/>
        <v>0.1162365868</v>
      </c>
      <c r="L38" s="150">
        <f t="shared" si="19"/>
        <v>314991.1694</v>
      </c>
      <c r="M38" s="152"/>
      <c r="N38" s="150">
        <f>'Model Town'!E13</f>
        <v>1819997.641</v>
      </c>
      <c r="O38" s="151">
        <f t="shared" si="20"/>
        <v>0.1101404128</v>
      </c>
      <c r="P38" s="150">
        <f t="shared" si="21"/>
        <v>319426.8727</v>
      </c>
    </row>
    <row r="39" ht="15.75" customHeight="1">
      <c r="A39" s="135" t="s">
        <v>60</v>
      </c>
      <c r="B39" s="150">
        <f>'Pacific Mall'!B13</f>
        <v>1552968.98</v>
      </c>
      <c r="C39" s="151">
        <f t="shared" si="14"/>
        <v>0.1056265146</v>
      </c>
      <c r="D39" s="150">
        <f t="shared" si="15"/>
        <v>282790.1068</v>
      </c>
      <c r="E39" s="152"/>
      <c r="F39" s="150">
        <f>'Pacific Mall'!C13</f>
        <v>1734482.92</v>
      </c>
      <c r="G39" s="151">
        <f t="shared" si="16"/>
        <v>0.1097982599</v>
      </c>
      <c r="H39" s="150">
        <f t="shared" si="17"/>
        <v>305869.9725</v>
      </c>
      <c r="I39" s="152"/>
      <c r="J39" s="150">
        <f>'Pacific Mall'!D13</f>
        <v>1776520.02</v>
      </c>
      <c r="K39" s="151">
        <f t="shared" si="18"/>
        <v>0.1131019301</v>
      </c>
      <c r="L39" s="150">
        <f t="shared" si="19"/>
        <v>306496.5189</v>
      </c>
      <c r="M39" s="152"/>
      <c r="N39" s="159">
        <f>'Pacific Mall'!E13</f>
        <v>1865681.157</v>
      </c>
      <c r="O39" s="151">
        <f t="shared" si="20"/>
        <v>0.1129050326</v>
      </c>
      <c r="P39" s="150">
        <f t="shared" si="21"/>
        <v>327444.7638</v>
      </c>
    </row>
    <row r="40" ht="15.75" customHeight="1">
      <c r="A40" s="152"/>
      <c r="B40" s="160">
        <f t="shared" ref="B40:D40" si="22">sum(B29:B39)</f>
        <v>14702454.08</v>
      </c>
      <c r="C40" s="161">
        <f t="shared" si="22"/>
        <v>1</v>
      </c>
      <c r="D40" s="160">
        <f t="shared" si="22"/>
        <v>2677264.397</v>
      </c>
      <c r="E40" s="152"/>
      <c r="F40" s="160">
        <f t="shared" ref="F40:H40" si="23">sum(F29:F39)</f>
        <v>15796998.26</v>
      </c>
      <c r="G40" s="161">
        <f t="shared" si="23"/>
        <v>1</v>
      </c>
      <c r="H40" s="160">
        <f t="shared" si="23"/>
        <v>2785745.173</v>
      </c>
      <c r="I40" s="152"/>
      <c r="J40" s="160">
        <f t="shared" ref="J40:L40" si="24">sum(J29:J39)</f>
        <v>15707247.6</v>
      </c>
      <c r="K40" s="160">
        <f t="shared" si="24"/>
        <v>1</v>
      </c>
      <c r="L40" s="160">
        <f t="shared" si="24"/>
        <v>2709914.133</v>
      </c>
      <c r="M40" s="152"/>
      <c r="N40" s="161">
        <f>sum(N29:N39)</f>
        <v>16524340.1</v>
      </c>
      <c r="O40" s="152"/>
      <c r="P40" s="161">
        <f>sum(P29:P39)</f>
        <v>2900178.64</v>
      </c>
    </row>
    <row r="41" ht="15.75" customHeight="1">
      <c r="A41" s="148"/>
      <c r="B41" s="38" t="s">
        <v>136</v>
      </c>
      <c r="C41" s="38" t="s">
        <v>121</v>
      </c>
      <c r="D41" s="38" t="s">
        <v>122</v>
      </c>
      <c r="E41" s="152"/>
      <c r="F41" s="38" t="s">
        <v>137</v>
      </c>
      <c r="G41" s="38" t="s">
        <v>121</v>
      </c>
      <c r="H41" s="38" t="s">
        <v>122</v>
      </c>
      <c r="I41" s="152"/>
      <c r="J41" s="38" t="s">
        <v>138</v>
      </c>
      <c r="K41" s="38" t="s">
        <v>121</v>
      </c>
      <c r="L41" s="38" t="s">
        <v>122</v>
      </c>
      <c r="M41" s="152"/>
      <c r="N41" s="38" t="s">
        <v>139</v>
      </c>
      <c r="O41" s="38" t="s">
        <v>121</v>
      </c>
      <c r="P41" s="38" t="s">
        <v>122</v>
      </c>
    </row>
    <row r="42" ht="15.75" customHeight="1">
      <c r="A42" s="135" t="s">
        <v>126</v>
      </c>
      <c r="B42" s="23">
        <f>'Noida Sec - 18'!F13</f>
        <v>1611721.284</v>
      </c>
      <c r="C42" s="23">
        <f t="shared" ref="C42:C52" si="25">B42/$B$53</f>
        <v>0.09802186346</v>
      </c>
      <c r="D42" s="23">
        <f t="shared" ref="D42:D52" si="26">C42*$F$26</f>
        <v>291269.257</v>
      </c>
      <c r="E42" s="162"/>
      <c r="F42" s="23">
        <f>'Noida Sec - 18'!G13</f>
        <v>1423418.44</v>
      </c>
      <c r="G42" s="151">
        <f t="shared" ref="G42:G52" si="27">F42/$F$53</f>
        <v>0.09617492151</v>
      </c>
      <c r="H42" s="23">
        <f t="shared" ref="H42:H52" si="28">G42*$G$26</f>
        <v>256304.2664</v>
      </c>
      <c r="I42" s="152"/>
      <c r="J42" s="23">
        <f>'Noida Sec - 18'!H13</f>
        <v>1412557.888</v>
      </c>
      <c r="K42" s="151">
        <f t="shared" ref="K42:K52" si="29">J42/$J$53</f>
        <v>0.09890056372</v>
      </c>
      <c r="L42" s="150">
        <f t="shared" ref="L42:L52" si="30">K42*$H$26</f>
        <v>271838.3377</v>
      </c>
      <c r="M42" s="152"/>
      <c r="N42" s="150">
        <f>'Noida Sec - 18'!I13</f>
        <v>1338940.194</v>
      </c>
      <c r="O42" s="151">
        <f t="shared" ref="O42:O52" si="31">N42/$N$53</f>
        <v>0.09403669635</v>
      </c>
      <c r="P42" s="150">
        <f t="shared" ref="P42:P52" si="32">O42*$I$26</f>
        <v>238987.195</v>
      </c>
    </row>
    <row r="43" ht="15.75" customHeight="1">
      <c r="A43" s="135" t="s">
        <v>129</v>
      </c>
      <c r="B43" s="23">
        <f>'Noida Sec -143'!F13</f>
        <v>860504.91</v>
      </c>
      <c r="C43" s="23">
        <f t="shared" si="25"/>
        <v>0.05233429355</v>
      </c>
      <c r="D43" s="23">
        <f t="shared" si="26"/>
        <v>155509.9062</v>
      </c>
      <c r="E43" s="162"/>
      <c r="F43" s="23">
        <f>'Noida Sec -143'!G13</f>
        <v>807896.35</v>
      </c>
      <c r="G43" s="151">
        <f t="shared" si="27"/>
        <v>0.05458645601</v>
      </c>
      <c r="H43" s="23">
        <f t="shared" si="28"/>
        <v>145471.8272</v>
      </c>
      <c r="I43" s="152"/>
      <c r="J43" s="23">
        <f>'Noida Sec -143'!H13</f>
        <v>763611.205</v>
      </c>
      <c r="K43" s="151">
        <f t="shared" si="29"/>
        <v>0.05346441324</v>
      </c>
      <c r="L43" s="150">
        <f t="shared" si="30"/>
        <v>146952.4204</v>
      </c>
      <c r="M43" s="152"/>
      <c r="N43" s="23">
        <f>'Noida Sec -143'!I13</f>
        <v>772804.5126</v>
      </c>
      <c r="O43" s="151">
        <f t="shared" si="31"/>
        <v>0.05427575006</v>
      </c>
      <c r="P43" s="150">
        <f t="shared" si="32"/>
        <v>137937.7389</v>
      </c>
    </row>
    <row r="44" ht="15.75" customHeight="1">
      <c r="A44" s="135" t="s">
        <v>131</v>
      </c>
      <c r="B44" s="23">
        <f>'Faridabad Sec15'!F13</f>
        <v>821998.45</v>
      </c>
      <c r="C44" s="23">
        <f t="shared" si="25"/>
        <v>0.04999240292</v>
      </c>
      <c r="D44" s="23">
        <f t="shared" si="26"/>
        <v>148551.043</v>
      </c>
      <c r="E44" s="162"/>
      <c r="F44" s="23">
        <f>'Faridabad Sec15'!G13</f>
        <v>750160.3</v>
      </c>
      <c r="G44" s="151">
        <f t="shared" si="27"/>
        <v>0.05068545267</v>
      </c>
      <c r="H44" s="23">
        <f t="shared" si="28"/>
        <v>135075.7303</v>
      </c>
      <c r="I44" s="152"/>
      <c r="J44" s="23">
        <f>'Faridabad Sec15'!H13</f>
        <v>749850.9296</v>
      </c>
      <c r="K44" s="151">
        <f t="shared" si="29"/>
        <v>0.05250098441</v>
      </c>
      <c r="L44" s="150">
        <f t="shared" si="30"/>
        <v>144304.3375</v>
      </c>
      <c r="M44" s="152"/>
      <c r="N44" s="23">
        <f>'Faridabad Sec15'!I13</f>
        <v>662172.3502</v>
      </c>
      <c r="O44" s="151">
        <f t="shared" si="31"/>
        <v>0.04650581148</v>
      </c>
      <c r="P44" s="150">
        <f t="shared" si="32"/>
        <v>118191.024</v>
      </c>
    </row>
    <row r="45" ht="15.75" customHeight="1">
      <c r="A45" s="135" t="s">
        <v>64</v>
      </c>
      <c r="B45" s="23">
        <f>DLF!F13</f>
        <v>1072661.58</v>
      </c>
      <c r="C45" s="23">
        <f t="shared" si="25"/>
        <v>0.06523726402</v>
      </c>
      <c r="D45" s="23">
        <f t="shared" si="26"/>
        <v>193850.7262</v>
      </c>
      <c r="E45" s="162"/>
      <c r="F45" s="23">
        <f>DLF!G13</f>
        <v>1051001.96</v>
      </c>
      <c r="G45" s="151">
        <f t="shared" si="27"/>
        <v>0.07101216914</v>
      </c>
      <c r="H45" s="23">
        <f t="shared" si="28"/>
        <v>189246.0283</v>
      </c>
      <c r="I45" s="152"/>
      <c r="J45" s="23">
        <f>DLF!H13</f>
        <v>926108.8304</v>
      </c>
      <c r="K45" s="151">
        <f t="shared" si="29"/>
        <v>0.06484172166</v>
      </c>
      <c r="L45" s="150">
        <f t="shared" si="30"/>
        <v>178224.1189</v>
      </c>
      <c r="M45" s="152"/>
      <c r="N45" s="23">
        <f>DLF!I13</f>
        <v>963348.4266</v>
      </c>
      <c r="O45" s="151">
        <f t="shared" si="31"/>
        <v>0.06765806561</v>
      </c>
      <c r="P45" s="150">
        <f t="shared" si="32"/>
        <v>171947.8879</v>
      </c>
    </row>
    <row r="46" ht="15.75" customHeight="1">
      <c r="A46" s="135" t="s">
        <v>65</v>
      </c>
      <c r="B46" s="23">
        <f>'Gurgaon Sec-15'!F13</f>
        <v>1861538.31</v>
      </c>
      <c r="C46" s="23">
        <f t="shared" si="25"/>
        <v>0.1132152661</v>
      </c>
      <c r="D46" s="23">
        <f t="shared" si="26"/>
        <v>336416.0328</v>
      </c>
      <c r="E46" s="162"/>
      <c r="F46" s="23">
        <f>'Gurgaon Sec-15'!G13</f>
        <v>1743347.97</v>
      </c>
      <c r="G46" s="151">
        <f t="shared" si="27"/>
        <v>0.1177913321</v>
      </c>
      <c r="H46" s="23">
        <f t="shared" si="28"/>
        <v>313911.5737</v>
      </c>
      <c r="I46" s="152"/>
      <c r="J46" s="23">
        <f>'Gurgaon Sec-15'!H13</f>
        <v>1698288.633</v>
      </c>
      <c r="K46" s="151">
        <f t="shared" si="29"/>
        <v>0.1189060672</v>
      </c>
      <c r="L46" s="150">
        <f t="shared" si="30"/>
        <v>326825.5147</v>
      </c>
      <c r="M46" s="152"/>
      <c r="N46" s="23">
        <f>'Gurgaon Sec-15'!I13</f>
        <v>1596336.786</v>
      </c>
      <c r="O46" s="151">
        <f t="shared" si="31"/>
        <v>0.1121142217</v>
      </c>
      <c r="P46" s="150">
        <f t="shared" si="32"/>
        <v>284929.8667</v>
      </c>
    </row>
    <row r="47" ht="15.75" customHeight="1">
      <c r="A47" s="135" t="s">
        <v>56</v>
      </c>
      <c r="B47" s="23">
        <f>'Paschim Vihar'!F13</f>
        <v>1179754.19</v>
      </c>
      <c r="C47" s="23">
        <f t="shared" si="25"/>
        <v>0.07175043556</v>
      </c>
      <c r="D47" s="23">
        <f t="shared" si="26"/>
        <v>213204.4354</v>
      </c>
      <c r="E47" s="162"/>
      <c r="F47" s="23">
        <f>'Paschim Vihar'!G13</f>
        <v>986618.3202</v>
      </c>
      <c r="G47" s="151">
        <f t="shared" si="27"/>
        <v>0.06666201367</v>
      </c>
      <c r="H47" s="23">
        <f t="shared" si="28"/>
        <v>177652.9499</v>
      </c>
      <c r="I47" s="152"/>
      <c r="J47" s="23">
        <f>'Paschim Vihar'!H13</f>
        <v>1013150.758</v>
      </c>
      <c r="K47" s="151">
        <f t="shared" si="29"/>
        <v>0.07093598215</v>
      </c>
      <c r="L47" s="150">
        <f t="shared" si="30"/>
        <v>194974.8186</v>
      </c>
      <c r="M47" s="152"/>
      <c r="N47" s="23">
        <f>'Paschim Vihar'!I13</f>
        <v>928584.8568</v>
      </c>
      <c r="O47" s="151">
        <f t="shared" si="31"/>
        <v>0.06521654412</v>
      </c>
      <c r="P47" s="150">
        <f t="shared" si="32"/>
        <v>165742.9446</v>
      </c>
    </row>
    <row r="48" ht="15.75" customHeight="1">
      <c r="A48" s="135" t="s">
        <v>59</v>
      </c>
      <c r="B48" s="23">
        <f>Kalkaji!F13</f>
        <v>922563.61</v>
      </c>
      <c r="C48" s="23">
        <f t="shared" si="25"/>
        <v>0.0561085872</v>
      </c>
      <c r="D48" s="23">
        <f t="shared" si="26"/>
        <v>166725.1155</v>
      </c>
      <c r="E48" s="162"/>
      <c r="F48" s="23">
        <f>Kalkaji!G13</f>
        <v>922140.289</v>
      </c>
      <c r="G48" s="151">
        <f t="shared" si="27"/>
        <v>0.06230548054</v>
      </c>
      <c r="H48" s="23">
        <f t="shared" si="28"/>
        <v>166042.8751</v>
      </c>
      <c r="I48" s="152"/>
      <c r="J48" s="23">
        <f>Kalkaji!H13</f>
        <v>863191.6648</v>
      </c>
      <c r="K48" s="151">
        <f t="shared" si="29"/>
        <v>0.06043656191</v>
      </c>
      <c r="L48" s="150">
        <f t="shared" si="30"/>
        <v>166116.0858</v>
      </c>
      <c r="M48" s="152"/>
      <c r="N48" s="23">
        <f>Kalkaji!I13</f>
        <v>813598.5386</v>
      </c>
      <c r="O48" s="151">
        <f t="shared" si="31"/>
        <v>0.05714080367</v>
      </c>
      <c r="P48" s="150">
        <f t="shared" si="32"/>
        <v>145219.0572</v>
      </c>
    </row>
    <row r="49" ht="15.75" customHeight="1">
      <c r="A49" s="135" t="s">
        <v>135</v>
      </c>
      <c r="B49" s="23">
        <f>CP!F13</f>
        <v>2767826.66</v>
      </c>
      <c r="C49" s="23">
        <f t="shared" si="25"/>
        <v>0.1683340225</v>
      </c>
      <c r="D49" s="23">
        <f t="shared" si="26"/>
        <v>500199.8935</v>
      </c>
      <c r="E49" s="162"/>
      <c r="F49" s="23">
        <f>CP!G13</f>
        <v>2504373.215</v>
      </c>
      <c r="G49" s="151">
        <f t="shared" si="27"/>
        <v>0.1692108874</v>
      </c>
      <c r="H49" s="23">
        <f t="shared" si="28"/>
        <v>450943.673</v>
      </c>
      <c r="I49" s="152"/>
      <c r="J49" s="23">
        <f>CP!H13</f>
        <v>2107998.616</v>
      </c>
      <c r="K49" s="151">
        <f t="shared" si="29"/>
        <v>0.1475920054</v>
      </c>
      <c r="L49" s="150">
        <f t="shared" si="30"/>
        <v>405671.7566</v>
      </c>
      <c r="M49" s="152"/>
      <c r="N49" s="23">
        <f>CP!I13</f>
        <v>2510009.388</v>
      </c>
      <c r="O49" s="151">
        <f t="shared" si="31"/>
        <v>0.1762834455</v>
      </c>
      <c r="P49" s="150">
        <f t="shared" si="32"/>
        <v>448011.1255</v>
      </c>
    </row>
    <row r="50" ht="15.75" customHeight="1">
      <c r="A50" s="135" t="s">
        <v>58</v>
      </c>
      <c r="B50" s="23">
        <f>Rohini!F13</f>
        <v>1635521.77</v>
      </c>
      <c r="C50" s="23">
        <f t="shared" si="25"/>
        <v>0.09946936435</v>
      </c>
      <c r="D50" s="23">
        <f t="shared" si="26"/>
        <v>295570.4658</v>
      </c>
      <c r="E50" s="162"/>
      <c r="F50" s="23">
        <f>Rohini!G13</f>
        <v>1334157.533</v>
      </c>
      <c r="G50" s="151">
        <f t="shared" si="27"/>
        <v>0.09014390456</v>
      </c>
      <c r="H50" s="23">
        <f t="shared" si="28"/>
        <v>240231.7253</v>
      </c>
      <c r="I50" s="152"/>
      <c r="J50" s="23">
        <f>Rohini!H13</f>
        <v>1489641.884</v>
      </c>
      <c r="K50" s="151">
        <f t="shared" si="29"/>
        <v>0.1042976173</v>
      </c>
      <c r="L50" s="150">
        <f t="shared" si="30"/>
        <v>286672.6927</v>
      </c>
      <c r="M50" s="152"/>
      <c r="N50" s="23">
        <f>Rohini!I13</f>
        <v>1517152.57</v>
      </c>
      <c r="O50" s="151">
        <f t="shared" si="31"/>
        <v>0.106552941</v>
      </c>
      <c r="P50" s="150">
        <f t="shared" si="32"/>
        <v>270796.2901</v>
      </c>
    </row>
    <row r="51" ht="15.75" customHeight="1">
      <c r="A51" s="135" t="s">
        <v>62</v>
      </c>
      <c r="B51" s="23">
        <f>'Model Town'!F13</f>
        <v>1827624.06</v>
      </c>
      <c r="C51" s="23">
        <f t="shared" si="25"/>
        <v>0.1111526651</v>
      </c>
      <c r="D51" s="23">
        <f t="shared" si="26"/>
        <v>330287.0709</v>
      </c>
      <c r="E51" s="162"/>
      <c r="F51" s="23">
        <f>'Model Town'!G13</f>
        <v>1684080.977</v>
      </c>
      <c r="G51" s="151">
        <f t="shared" si="27"/>
        <v>0.1137868888</v>
      </c>
      <c r="H51" s="23">
        <f t="shared" si="28"/>
        <v>303239.8114</v>
      </c>
      <c r="I51" s="152"/>
      <c r="J51" s="23">
        <f>'Model Town'!H13</f>
        <v>1746167.226</v>
      </c>
      <c r="K51" s="151">
        <f t="shared" si="29"/>
        <v>0.1222582979</v>
      </c>
      <c r="L51" s="150">
        <f t="shared" si="30"/>
        <v>336039.4644</v>
      </c>
      <c r="M51" s="152"/>
      <c r="N51" s="23">
        <f>'Model Town'!I13</f>
        <v>1672137.611</v>
      </c>
      <c r="O51" s="151">
        <f t="shared" si="31"/>
        <v>0.1174378793</v>
      </c>
      <c r="P51" s="150">
        <f t="shared" si="32"/>
        <v>298459.5424</v>
      </c>
    </row>
    <row r="52" ht="15.75" customHeight="1">
      <c r="A52" s="135" t="s">
        <v>60</v>
      </c>
      <c r="B52" s="23">
        <f>'Pacific Mall'!F13</f>
        <v>1880752.47</v>
      </c>
      <c r="C52" s="23">
        <f t="shared" si="25"/>
        <v>0.1143838352</v>
      </c>
      <c r="D52" s="23">
        <f t="shared" si="26"/>
        <v>339888.4037</v>
      </c>
      <c r="E52" s="162"/>
      <c r="F52" s="23">
        <f>'Pacific Mall'!G13</f>
        <v>1593112.435</v>
      </c>
      <c r="G52" s="151">
        <f t="shared" si="27"/>
        <v>0.1076404936</v>
      </c>
      <c r="H52" s="23">
        <f t="shared" si="28"/>
        <v>286859.7895</v>
      </c>
      <c r="I52" s="152"/>
      <c r="J52" s="23">
        <f>'Pacific Mall'!H13</f>
        <v>1512039.408</v>
      </c>
      <c r="K52" s="151">
        <f t="shared" si="29"/>
        <v>0.1058657851</v>
      </c>
      <c r="L52" s="150">
        <f t="shared" si="30"/>
        <v>290982.9626</v>
      </c>
      <c r="M52" s="152"/>
      <c r="N52" s="23">
        <f>'Pacific Mall'!I13</f>
        <v>1463400.864</v>
      </c>
      <c r="O52" s="151">
        <f t="shared" si="31"/>
        <v>0.1027778413</v>
      </c>
      <c r="P52" s="150">
        <f t="shared" si="32"/>
        <v>261202.1578</v>
      </c>
    </row>
    <row r="53" ht="15.75" customHeight="1">
      <c r="A53" s="152"/>
      <c r="B53" s="163">
        <f>sum(B42:B52)</f>
        <v>16442467.29</v>
      </c>
      <c r="C53" s="164"/>
      <c r="D53" s="163">
        <f>sum(D42:D52)</f>
        <v>2971472.35</v>
      </c>
      <c r="E53" s="162"/>
      <c r="F53" s="163">
        <f>sum(F42:F52)</f>
        <v>14800307.79</v>
      </c>
      <c r="G53" s="164"/>
      <c r="H53" s="163">
        <f>sum(H42:H52)</f>
        <v>2664980.25</v>
      </c>
      <c r="I53" s="152"/>
      <c r="J53" s="160">
        <f>sum(J42:J52)</f>
        <v>14282607.04</v>
      </c>
      <c r="K53" s="165"/>
      <c r="L53" s="160">
        <f>sum(L42:L52)</f>
        <v>2748602.51</v>
      </c>
      <c r="M53" s="152"/>
      <c r="N53" s="160">
        <f>sum(N42:N52)</f>
        <v>14238486.1</v>
      </c>
      <c r="O53" s="152"/>
      <c r="P53" s="160">
        <f>sum(P42:P52)</f>
        <v>2541424.83</v>
      </c>
    </row>
    <row r="54" ht="15.75" customHeight="1">
      <c r="A54" s="148"/>
      <c r="B54" s="38" t="s">
        <v>140</v>
      </c>
      <c r="C54" s="38" t="s">
        <v>121</v>
      </c>
      <c r="D54" s="38" t="s">
        <v>122</v>
      </c>
      <c r="E54" s="152"/>
      <c r="F54" s="166" t="s">
        <v>141</v>
      </c>
      <c r="G54" s="38" t="s">
        <v>121</v>
      </c>
      <c r="H54" s="38" t="s">
        <v>122</v>
      </c>
      <c r="I54" s="152"/>
      <c r="J54" s="38" t="s">
        <v>142</v>
      </c>
      <c r="K54" s="38" t="s">
        <v>121</v>
      </c>
      <c r="L54" s="38" t="s">
        <v>122</v>
      </c>
      <c r="M54" s="152"/>
      <c r="N54" s="38" t="s">
        <v>143</v>
      </c>
      <c r="O54" s="38" t="s">
        <v>121</v>
      </c>
      <c r="P54" s="38" t="s">
        <v>122</v>
      </c>
    </row>
    <row r="55" ht="15.75" customHeight="1">
      <c r="A55" s="135" t="s">
        <v>126</v>
      </c>
      <c r="B55" s="23">
        <f>'Noida Sec - 18'!J13</f>
        <v>1324055.79</v>
      </c>
      <c r="C55" s="151">
        <f t="shared" ref="C55:C66" si="33">B55/$B$68</f>
        <v>0.08772148264</v>
      </c>
      <c r="D55" s="23">
        <f t="shared" ref="D55:D66" si="34">C55*$J$26</f>
        <v>234417.6064</v>
      </c>
      <c r="E55" s="152"/>
      <c r="F55" s="23">
        <f>'Noida Sec - 18'!K13</f>
        <v>1593794.442</v>
      </c>
      <c r="G55" s="151">
        <f t="shared" ref="G55:G66" si="35">F55/$F$68</f>
        <v>0.08970819321</v>
      </c>
      <c r="H55" s="150">
        <f t="shared" ref="H55:H66" si="36">G55*$K$26</f>
        <v>244902.1863</v>
      </c>
      <c r="I55" s="152"/>
      <c r="J55" s="23">
        <f>'Noida Sec - 18'!L13</f>
        <v>1428250.688</v>
      </c>
      <c r="K55" s="151">
        <f t="shared" ref="K55:K66" si="37">J55/$J$68</f>
        <v>0.07974826491</v>
      </c>
      <c r="L55" s="150">
        <f t="shared" ref="L55:L66" si="38">K55*$L$26</f>
        <v>221617.4865</v>
      </c>
      <c r="M55" s="152"/>
      <c r="N55" s="23">
        <f>'Noida Sec - 18'!M13</f>
        <v>1623497.376</v>
      </c>
      <c r="O55" s="151">
        <f t="shared" ref="O55:O67" si="39">N55/$N$68</f>
        <v>0.07927584596</v>
      </c>
      <c r="P55" s="23">
        <f t="shared" ref="P55:P67" si="40">O55*$M$26</f>
        <v>257081.4169</v>
      </c>
    </row>
    <row r="56" ht="15.75" customHeight="1">
      <c r="A56" s="135" t="s">
        <v>129</v>
      </c>
      <c r="B56" s="23">
        <f>'Noida Sec -143'!J13</f>
        <v>747142.44</v>
      </c>
      <c r="C56" s="151">
        <f t="shared" si="33"/>
        <v>0.04949975906</v>
      </c>
      <c r="D56" s="23">
        <f t="shared" si="34"/>
        <v>132277.9174</v>
      </c>
      <c r="E56" s="152"/>
      <c r="F56" s="23">
        <f>'Noida Sec -143'!K13</f>
        <v>815562.8066</v>
      </c>
      <c r="G56" s="151">
        <f t="shared" si="35"/>
        <v>0.04590470635</v>
      </c>
      <c r="H56" s="150">
        <f t="shared" si="36"/>
        <v>125319.2439</v>
      </c>
      <c r="I56" s="152"/>
      <c r="J56" s="23">
        <f>'Noida Sec -143'!L13</f>
        <v>760024.9332</v>
      </c>
      <c r="K56" s="151">
        <f t="shared" si="37"/>
        <v>0.04243699669</v>
      </c>
      <c r="L56" s="150">
        <f t="shared" si="38"/>
        <v>117930.8484</v>
      </c>
      <c r="M56" s="152"/>
      <c r="N56" s="23">
        <f>'Noida Sec -143'!M13</f>
        <v>841352.6754</v>
      </c>
      <c r="O56" s="151">
        <f t="shared" si="39"/>
        <v>0.04108349424</v>
      </c>
      <c r="P56" s="23">
        <f t="shared" si="40"/>
        <v>133228.511</v>
      </c>
    </row>
    <row r="57" ht="15.75" customHeight="1">
      <c r="A57" s="135" t="s">
        <v>131</v>
      </c>
      <c r="B57" s="23">
        <f>'Faridabad Sec15'!J13</f>
        <v>701530.02</v>
      </c>
      <c r="C57" s="151">
        <f t="shared" si="33"/>
        <v>0.04647784024</v>
      </c>
      <c r="D57" s="23">
        <f t="shared" si="34"/>
        <v>124202.4613</v>
      </c>
      <c r="E57" s="152"/>
      <c r="F57" s="23">
        <f>'Faridabad Sec15'!K13</f>
        <v>910153.8116</v>
      </c>
      <c r="G57" s="151">
        <f t="shared" si="35"/>
        <v>0.05122884849</v>
      </c>
      <c r="H57" s="150">
        <f t="shared" si="36"/>
        <v>139854.0819</v>
      </c>
      <c r="I57" s="152"/>
      <c r="J57" s="23">
        <f>'Faridabad Sec15'!L13</f>
        <v>740653.7478</v>
      </c>
      <c r="K57" s="151">
        <f t="shared" si="37"/>
        <v>0.04135538095</v>
      </c>
      <c r="L57" s="150">
        <f t="shared" si="38"/>
        <v>114925.0782</v>
      </c>
      <c r="M57" s="152"/>
      <c r="N57" s="23">
        <f>'Faridabad Sec15'!M13</f>
        <v>963357.3488</v>
      </c>
      <c r="O57" s="151">
        <f t="shared" si="39"/>
        <v>0.0470410177</v>
      </c>
      <c r="P57" s="23">
        <f t="shared" si="40"/>
        <v>152547.9966</v>
      </c>
    </row>
    <row r="58" ht="15.75" customHeight="1">
      <c r="A58" s="135" t="s">
        <v>64</v>
      </c>
      <c r="B58" s="23">
        <f>DLF!J13</f>
        <v>850667.8</v>
      </c>
      <c r="C58" s="151">
        <f t="shared" si="33"/>
        <v>0.05635853203</v>
      </c>
      <c r="D58" s="23">
        <f t="shared" si="34"/>
        <v>150606.5764</v>
      </c>
      <c r="E58" s="152"/>
      <c r="F58" s="23">
        <f>DLF!K13</f>
        <v>1090888.02</v>
      </c>
      <c r="G58" s="151">
        <f t="shared" si="35"/>
        <v>0.06140164045</v>
      </c>
      <c r="H58" s="150">
        <f t="shared" si="36"/>
        <v>167625.67</v>
      </c>
      <c r="I58" s="152"/>
      <c r="J58" s="23">
        <f>DLF!L13</f>
        <v>1181711.03</v>
      </c>
      <c r="K58" s="151">
        <f t="shared" si="37"/>
        <v>0.06598239724</v>
      </c>
      <c r="L58" s="150">
        <f t="shared" si="38"/>
        <v>183362.6481</v>
      </c>
      <c r="M58" s="152"/>
      <c r="N58" s="23">
        <f>DLF!M13</f>
        <v>1458351.046</v>
      </c>
      <c r="O58" s="151">
        <f t="shared" si="39"/>
        <v>0.07121170296</v>
      </c>
      <c r="P58" s="23">
        <f t="shared" si="40"/>
        <v>230930.4338</v>
      </c>
    </row>
    <row r="59" ht="15.75" customHeight="1">
      <c r="A59" s="135" t="s">
        <v>65</v>
      </c>
      <c r="B59" s="23">
        <f>'Gurgaon Sec-15'!J13</f>
        <v>1677724.95</v>
      </c>
      <c r="C59" s="151">
        <f t="shared" si="33"/>
        <v>0.1111528088</v>
      </c>
      <c r="D59" s="23">
        <f t="shared" si="34"/>
        <v>297033.0026</v>
      </c>
      <c r="E59" s="152"/>
      <c r="F59" s="23">
        <f>'Gurgaon Sec-15'!K13</f>
        <v>1753870.673</v>
      </c>
      <c r="G59" s="151">
        <f t="shared" si="35"/>
        <v>0.09871823186</v>
      </c>
      <c r="H59" s="150">
        <f t="shared" si="36"/>
        <v>269499.4732</v>
      </c>
      <c r="I59" s="152"/>
      <c r="J59" s="23">
        <f>'Gurgaon Sec-15'!L13</f>
        <v>1565311.88</v>
      </c>
      <c r="K59" s="151">
        <f t="shared" si="37"/>
        <v>0.08740125771</v>
      </c>
      <c r="L59" s="150">
        <f t="shared" si="38"/>
        <v>242884.8712</v>
      </c>
      <c r="M59" s="152"/>
      <c r="N59" s="23">
        <f>'Gurgaon Sec-15'!M13</f>
        <v>1824243.446</v>
      </c>
      <c r="O59" s="151">
        <f t="shared" si="39"/>
        <v>0.08907833455</v>
      </c>
      <c r="P59" s="23">
        <f t="shared" si="40"/>
        <v>288869.6322</v>
      </c>
    </row>
    <row r="60" ht="15.75" customHeight="1">
      <c r="A60" s="135" t="s">
        <v>144</v>
      </c>
      <c r="B60" s="23">
        <f>'Gurgaon Sec - 10'!J13</f>
        <v>255028.81</v>
      </c>
      <c r="C60" s="151">
        <f t="shared" si="33"/>
        <v>0.01689619539</v>
      </c>
      <c r="D60" s="23">
        <f t="shared" si="34"/>
        <v>45151.60437</v>
      </c>
      <c r="E60" s="152"/>
      <c r="F60" s="23">
        <f>'Gurgaon Sec - 10'!K13</f>
        <v>615904.3368</v>
      </c>
      <c r="G60" s="151">
        <f t="shared" si="35"/>
        <v>0.03466674484</v>
      </c>
      <c r="H60" s="150">
        <f t="shared" si="36"/>
        <v>94639.75698</v>
      </c>
      <c r="I60" s="152"/>
      <c r="J60" s="23">
        <f>'Gurgaon Sec - 10'!L13</f>
        <v>588516.8757</v>
      </c>
      <c r="K60" s="151">
        <f t="shared" si="37"/>
        <v>0.03286061761</v>
      </c>
      <c r="L60" s="150">
        <f t="shared" si="38"/>
        <v>91318.44422</v>
      </c>
      <c r="M60" s="152"/>
      <c r="N60" s="23">
        <f>'Gurgaon Sec - 10'!M13</f>
        <v>724082.7494</v>
      </c>
      <c r="O60" s="151">
        <f t="shared" si="39"/>
        <v>0.03535716987</v>
      </c>
      <c r="P60" s="23">
        <f t="shared" si="40"/>
        <v>114658.7743</v>
      </c>
    </row>
    <row r="61" ht="15.75" customHeight="1">
      <c r="A61" s="135" t="s">
        <v>56</v>
      </c>
      <c r="B61" s="23">
        <f>'Paschim Vihar'!J13</f>
        <v>1017162.195</v>
      </c>
      <c r="C61" s="151">
        <f t="shared" si="33"/>
        <v>0.0673891361</v>
      </c>
      <c r="D61" s="23">
        <f t="shared" si="34"/>
        <v>180083.5953</v>
      </c>
      <c r="E61" s="152"/>
      <c r="F61" s="23">
        <f>'Paschim Vihar'!K13</f>
        <v>1228166.516</v>
      </c>
      <c r="G61" s="151">
        <f t="shared" si="35"/>
        <v>0.06912848747</v>
      </c>
      <c r="H61" s="150">
        <f t="shared" si="36"/>
        <v>188719.8606</v>
      </c>
      <c r="I61" s="152"/>
      <c r="J61" s="23">
        <f>'Paschim Vihar'!L13</f>
        <v>1028280.603</v>
      </c>
      <c r="K61" s="151">
        <f t="shared" si="37"/>
        <v>0.05741540655</v>
      </c>
      <c r="L61" s="150">
        <f t="shared" si="38"/>
        <v>159555.2969</v>
      </c>
      <c r="M61" s="152"/>
      <c r="N61" s="23">
        <f>'Paschim Vihar'!M13</f>
        <v>1220290.185</v>
      </c>
      <c r="O61" s="151">
        <f t="shared" si="39"/>
        <v>0.05958712231</v>
      </c>
      <c r="P61" s="23">
        <f t="shared" si="40"/>
        <v>193233.4073</v>
      </c>
    </row>
    <row r="62" ht="15.75" customHeight="1">
      <c r="A62" s="135" t="s">
        <v>59</v>
      </c>
      <c r="B62" s="23">
        <f>Kalkaji!J13</f>
        <v>851865.4862</v>
      </c>
      <c r="C62" s="151">
        <f t="shared" si="33"/>
        <v>0.05643788126</v>
      </c>
      <c r="D62" s="23">
        <f t="shared" si="34"/>
        <v>150818.6209</v>
      </c>
      <c r="E62" s="152"/>
      <c r="F62" s="23">
        <f>Kalkaji!K13</f>
        <v>1052686.706</v>
      </c>
      <c r="G62" s="151">
        <f t="shared" si="35"/>
        <v>0.05925144417</v>
      </c>
      <c r="H62" s="150">
        <f t="shared" si="36"/>
        <v>161755.6624</v>
      </c>
      <c r="I62" s="152"/>
      <c r="J62" s="23">
        <f>Kalkaji!L13</f>
        <v>1109270.689</v>
      </c>
      <c r="K62" s="151">
        <f t="shared" si="37"/>
        <v>0.06193759508</v>
      </c>
      <c r="L62" s="150">
        <f t="shared" si="38"/>
        <v>172122.292</v>
      </c>
      <c r="M62" s="152"/>
      <c r="N62" s="23">
        <f>Kalkaji!M13</f>
        <v>1341362.317</v>
      </c>
      <c r="O62" s="151">
        <f t="shared" si="39"/>
        <v>0.06549910952</v>
      </c>
      <c r="P62" s="23">
        <f t="shared" si="40"/>
        <v>212405.2248</v>
      </c>
    </row>
    <row r="63" ht="15.75" customHeight="1">
      <c r="A63" s="135" t="s">
        <v>135</v>
      </c>
      <c r="B63" s="23">
        <f>CP!J13</f>
        <v>2849882.45</v>
      </c>
      <c r="C63" s="151">
        <f t="shared" si="33"/>
        <v>0.1888107101</v>
      </c>
      <c r="D63" s="23">
        <f t="shared" si="34"/>
        <v>504557.7591</v>
      </c>
      <c r="E63" s="152"/>
      <c r="F63" s="23">
        <f>CP!K13</f>
        <v>3146506.83</v>
      </c>
      <c r="G63" s="151">
        <f t="shared" si="35"/>
        <v>0.1771040451</v>
      </c>
      <c r="H63" s="150">
        <f t="shared" si="36"/>
        <v>483491.7111</v>
      </c>
      <c r="I63" s="152"/>
      <c r="J63" s="23">
        <f>CP!L13</f>
        <v>4468954.549</v>
      </c>
      <c r="K63" s="151">
        <f t="shared" si="37"/>
        <v>0.249529984</v>
      </c>
      <c r="L63" s="150">
        <f t="shared" si="38"/>
        <v>693434.6211</v>
      </c>
      <c r="M63" s="152"/>
      <c r="N63" s="23">
        <f>CP!M13</f>
        <v>4099860.4</v>
      </c>
      <c r="O63" s="151">
        <f t="shared" si="39"/>
        <v>0.200197368</v>
      </c>
      <c r="P63" s="23">
        <f t="shared" si="40"/>
        <v>649214.4283</v>
      </c>
    </row>
    <row r="64" ht="15.75" customHeight="1">
      <c r="A64" s="135" t="s">
        <v>58</v>
      </c>
      <c r="B64" s="23">
        <f>Rohini!J13</f>
        <v>1465932.915</v>
      </c>
      <c r="C64" s="151">
        <f t="shared" si="33"/>
        <v>0.09712114079</v>
      </c>
      <c r="D64" s="23">
        <f t="shared" si="34"/>
        <v>259536.258</v>
      </c>
      <c r="E64" s="152"/>
      <c r="F64" s="23">
        <f>Rohini!K13</f>
        <v>1795062.47</v>
      </c>
      <c r="G64" s="151">
        <f t="shared" si="35"/>
        <v>0.1010367502</v>
      </c>
      <c r="H64" s="150">
        <f t="shared" si="36"/>
        <v>275828.9978</v>
      </c>
      <c r="I64" s="152"/>
      <c r="J64" s="23">
        <f>Rohini!L13</f>
        <v>1669778.428</v>
      </c>
      <c r="K64" s="151">
        <f t="shared" si="37"/>
        <v>0.09323428553</v>
      </c>
      <c r="L64" s="150">
        <f t="shared" si="38"/>
        <v>259094.6404</v>
      </c>
      <c r="M64" s="152"/>
      <c r="N64" s="23">
        <f>Rohini!M13</f>
        <v>1959912.241</v>
      </c>
      <c r="O64" s="151">
        <f t="shared" si="39"/>
        <v>0.09570308105</v>
      </c>
      <c r="P64" s="23">
        <f t="shared" si="40"/>
        <v>310352.8368</v>
      </c>
    </row>
    <row r="65" ht="15.75" customHeight="1">
      <c r="A65" s="135" t="s">
        <v>62</v>
      </c>
      <c r="B65" s="23">
        <f>'Model Town'!J13</f>
        <v>1713913.387</v>
      </c>
      <c r="C65" s="151">
        <f t="shared" si="33"/>
        <v>0.1135503689</v>
      </c>
      <c r="D65" s="23">
        <f t="shared" si="34"/>
        <v>303439.9885</v>
      </c>
      <c r="E65" s="152"/>
      <c r="F65" s="23">
        <f>'Model Town'!K13</f>
        <v>2077934.867</v>
      </c>
      <c r="G65" s="151">
        <f t="shared" si="35"/>
        <v>0.1169584845</v>
      </c>
      <c r="H65" s="150">
        <f t="shared" si="36"/>
        <v>319295.1227</v>
      </c>
      <c r="I65" s="152"/>
      <c r="J65" s="23">
        <f>'Model Town'!L13</f>
        <v>2048727.444</v>
      </c>
      <c r="K65" s="151">
        <f t="shared" si="37"/>
        <v>0.1143934047</v>
      </c>
      <c r="L65" s="150">
        <f t="shared" si="38"/>
        <v>317895.052</v>
      </c>
      <c r="M65" s="152"/>
      <c r="N65" s="23">
        <f>'Model Town'!M13</f>
        <v>2482268.252</v>
      </c>
      <c r="O65" s="151">
        <f t="shared" si="39"/>
        <v>0.121209876</v>
      </c>
      <c r="P65" s="23">
        <f t="shared" si="40"/>
        <v>393068.1065</v>
      </c>
    </row>
    <row r="66" ht="15.75" customHeight="1">
      <c r="A66" s="135" t="s">
        <v>60</v>
      </c>
      <c r="B66" s="23">
        <f>'Pacific Mall'!J13</f>
        <v>1638953.893</v>
      </c>
      <c r="C66" s="151">
        <f t="shared" si="33"/>
        <v>0.1085841447</v>
      </c>
      <c r="D66" s="23">
        <f t="shared" si="34"/>
        <v>290168.7765</v>
      </c>
      <c r="E66" s="152"/>
      <c r="F66" s="23">
        <f>'Pacific Mall'!K13</f>
        <v>1685899.71</v>
      </c>
      <c r="G66" s="151">
        <f t="shared" si="35"/>
        <v>0.09489242338</v>
      </c>
      <c r="H66" s="150">
        <f t="shared" si="36"/>
        <v>259055.0664</v>
      </c>
      <c r="I66" s="152"/>
      <c r="J66" s="23">
        <f>'Pacific Mall'!L13</f>
        <v>1320008.318</v>
      </c>
      <c r="K66" s="151">
        <f t="shared" si="37"/>
        <v>0.0737044091</v>
      </c>
      <c r="L66" s="150">
        <f t="shared" si="38"/>
        <v>204821.8342</v>
      </c>
      <c r="M66" s="152"/>
      <c r="N66" s="23">
        <f>'Pacific Mall'!M13</f>
        <v>1864854.28</v>
      </c>
      <c r="O66" s="151">
        <f t="shared" si="39"/>
        <v>0.09106137335</v>
      </c>
      <c r="P66" s="23">
        <f t="shared" si="40"/>
        <v>295300.3731</v>
      </c>
    </row>
    <row r="67" ht="15.75" customHeight="1">
      <c r="A67" s="167" t="s">
        <v>145</v>
      </c>
      <c r="B67" s="168"/>
      <c r="C67" s="107"/>
      <c r="D67" s="168"/>
      <c r="E67" s="152"/>
      <c r="F67" s="168"/>
      <c r="G67" s="151"/>
      <c r="H67" s="168"/>
      <c r="I67" s="152"/>
      <c r="J67" s="168"/>
      <c r="K67" s="107"/>
      <c r="L67" s="168"/>
      <c r="M67" s="152"/>
      <c r="N67" s="23">
        <f>'Shalimar Bagh'!M13</f>
        <v>75660.1</v>
      </c>
      <c r="O67" s="151">
        <f t="shared" si="39"/>
        <v>0.003694504545</v>
      </c>
      <c r="P67" s="23">
        <f t="shared" si="40"/>
        <v>11980.80514</v>
      </c>
    </row>
    <row r="68" ht="15.75" customHeight="1">
      <c r="A68" s="107"/>
      <c r="B68" s="168">
        <f>sum(B55:B66)</f>
        <v>15093860.14</v>
      </c>
      <c r="C68" s="107"/>
      <c r="D68" s="168">
        <f>sum(D55:D66)</f>
        <v>2672294.167</v>
      </c>
      <c r="E68" s="107"/>
      <c r="F68" s="168">
        <f>sum(F55:F66)</f>
        <v>17766431.19</v>
      </c>
      <c r="G68" s="151">
        <f>F68/$F$68</f>
        <v>1</v>
      </c>
      <c r="H68" s="168">
        <f>sum(H55:H66)</f>
        <v>2729986.833</v>
      </c>
      <c r="I68" s="107"/>
      <c r="J68" s="168">
        <f>sum(J55:J66)</f>
        <v>17909489.19</v>
      </c>
      <c r="K68" s="107"/>
      <c r="L68" s="168">
        <f>sum(L55:L66)</f>
        <v>2778963.113</v>
      </c>
      <c r="M68" s="107"/>
      <c r="N68" s="168">
        <f>sum(N55:N67)</f>
        <v>20479092.42</v>
      </c>
      <c r="O68" s="107"/>
      <c r="P68" s="168">
        <f>sum(P55:P67)</f>
        <v>3242871.947</v>
      </c>
    </row>
    <row r="69" ht="15.75" customHeight="1">
      <c r="N69" s="169">
        <f>Summary!N15</f>
        <v>20479092.42</v>
      </c>
    </row>
    <row r="70" ht="15.75" customHeight="1">
      <c r="N70" s="170">
        <f>N68-N69</f>
        <v>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H81" s="171">
        <f>sum(H78:H80)</f>
        <v>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N2:O2"/>
  </mergeCells>
  <drawing r:id="rId4"/>
  <legacyDrawing r:id="rId5"/>
</worksheet>
</file>