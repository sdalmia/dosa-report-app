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ms-excel.documenttasks+xml" PartName="/xl/documenttasks/documenttask3.xml"/>
  <Override ContentType="application/vnd.ms-excel.documenttasks+xml" PartName="/xl/documenttasks/documenttask18.xml"/>
  <Override ContentType="application/vnd.ms-excel.documenttasks+xml" PartName="/xl/documenttasks/documenttask8.xml"/>
  <Override ContentType="application/vnd.ms-excel.documenttasks+xml" PartName="/xl/documenttasks/documenttask11.xml"/>
  <Override ContentType="application/vnd.ms-excel.documenttasks+xml" PartName="/xl/documenttasks/documenttask5.xml"/>
  <Override ContentType="application/vnd.ms-excel.documenttasks+xml" PartName="/xl/documenttasks/documenttask13.xml"/>
  <Override ContentType="application/vnd.ms-excel.documenttasks+xml" PartName="/xl/documenttasks/documenttask6.xml"/>
  <Override ContentType="application/vnd.ms-excel.documenttasks+xml" PartName="/xl/documenttasks/documenttask16.xml"/>
  <Override ContentType="application/vnd.ms-excel.documenttasks+xml" PartName="/xl/documenttasks/documenttask1.xml"/>
  <Override ContentType="application/vnd.ms-excel.documenttasks+xml" PartName="/xl/documenttasks/documenttask9.xml"/>
  <Override ContentType="application/vnd.ms-excel.documenttasks+xml" PartName="/xl/documenttasks/documenttask2.xml"/>
  <Override ContentType="application/vnd.ms-excel.documenttasks+xml" PartName="/xl/documenttasks/documenttask17.xml"/>
  <Override ContentType="application/vnd.ms-excel.documenttasks+xml" PartName="/xl/documenttasks/documenttask7.xml"/>
  <Override ContentType="application/vnd.ms-excel.documenttasks+xml" PartName="/xl/documenttasks/documenttask4.xml"/>
  <Override ContentType="application/vnd.ms-excel.documenttasks+xml" PartName="/xl/documenttasks/documenttask14.xml"/>
  <Override ContentType="application/vnd.ms-excel.documenttasks+xml" PartName="/xl/documenttasks/documenttask12.xml"/>
  <Override ContentType="application/vnd.ms-excel.documenttasks+xml" PartName="/xl/documenttasks/documenttask15.xml"/>
  <Override ContentType="application/vnd.ms-excel.documenttasks+xml" PartName="/xl/documenttasks/documenttask10.xml"/>
  <Override ContentType="application/vnd.ms-excel.person+xml" PartName="/xl/persons/person.xml"/>
  <Override ContentType="application/vnd.ms-excel.threadedcomments+xml" PartName="/xl/threadedComments/threadedComment10.xml"/>
  <Override ContentType="application/vnd.ms-excel.threadedcomments+xml" PartName="/xl/threadedComments/threadedComment15.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12.xml"/>
  <Override ContentType="application/vnd.ms-excel.threadedcomments+xml" PartName="/xl/threadedComments/threadedComment6.xml"/>
  <Override ContentType="application/vnd.ms-excel.threadedcomments+xml" PartName="/xl/threadedComments/threadedComment13.xml"/>
  <Override ContentType="application/vnd.ms-excel.threadedcomments+xml" PartName="/xl/threadedComments/threadedComment18.xml"/>
  <Override ContentType="application/vnd.ms-excel.threadedcomments+xml" PartName="/xl/threadedComments/threadedComment2.xml"/>
  <Override ContentType="application/vnd.ms-excel.threadedcomments+xml" PartName="/xl/threadedComments/threadedComment9.xml"/>
  <Override ContentType="application/vnd.ms-excel.threadedcomments+xml" PartName="/xl/threadedComments/threadedComment16.xml"/>
  <Override ContentType="application/vnd.ms-excel.threadedcomments+xml" PartName="/xl/threadedComments/threadedComment7.xml"/>
  <Override ContentType="application/vnd.ms-excel.threadedcomments+xml" PartName="/xl/threadedComments/threadedComment14.xml"/>
  <Override ContentType="application/vnd.ms-excel.threadedcomments+xml" PartName="/xl/threadedComments/threadedComment11.xml"/>
  <Override ContentType="application/vnd.ms-excel.threadedcomments+xml" PartName="/xl/threadedComments/threadedComment5.xml"/>
  <Override ContentType="application/vnd.ms-excel.threadedcomments+xml" PartName="/xl/threadedComments/threadedComment3.xml"/>
  <Override ContentType="application/vnd.ms-excel.threadedcomments+xml" PartName="/xl/threadedComments/threadedComment8.xml"/>
  <Override ContentType="application/vnd.ms-excel.threadedcomments+xml" PartName="/xl/threadedComments/threadedComment17.xml"/>
  <Override ContentType="application/vnd.openxmlformats-officedocument.spreadsheetml.styles+xml" PartName="/xl/styles.xml"/>
  <Override ContentType="application/vnd.openxmlformats-officedocument.spreadsheetml.comments+xml" PartName="/xl/comments15.xml"/>
  <Override ContentType="application/vnd.openxmlformats-officedocument.spreadsheetml.comments+xml" PartName="/xl/comments21.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6.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19.xml"/>
  <Override ContentType="application/vnd.openxmlformats-officedocument.spreadsheetml.comments+xml" PartName="/xl/comments2.xml"/>
  <Override ContentType="application/vnd.openxmlformats-officedocument.spreadsheetml.comments+xml" PartName="/xl/comments17.xml"/>
  <Override ContentType="application/vnd.openxmlformats-officedocument.spreadsheetml.comments+xml" PartName="/xl/comments8.xml"/>
  <Override ContentType="application/vnd.openxmlformats-officedocument.spreadsheetml.comments+xml" PartName="/xl/comments14.xml"/>
  <Override ContentType="application/vnd.openxmlformats-officedocument.spreadsheetml.comments+xml" PartName="/xl/comments11.xml"/>
  <Override ContentType="application/vnd.openxmlformats-officedocument.spreadsheetml.comments+xml" PartName="/xl/comments20.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16.xml"/>
  <Override ContentType="application/vnd.openxmlformats-officedocument.spreadsheetml.comments+xml" PartName="/xl/comments3.xml"/>
  <Override ContentType="application/vnd.openxmlformats-officedocument.spreadsheetml.comments+xml" PartName="/xl/comments18.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Ideal Plaza" sheetId="2" r:id="rId6"/>
    <sheet state="visible" name="Salt Lake JC -21" sheetId="3" r:id="rId7"/>
    <sheet state="visible" name="Forum Mall" sheetId="4" r:id="rId8"/>
    <sheet state="visible" name="Mani Square Mall" sheetId="5" r:id="rId9"/>
    <sheet state="visible" name="Lake Town" sheetId="6" r:id="rId10"/>
    <sheet state="visible" name="Rosedale Plaza" sheetId="7" r:id="rId11"/>
    <sheet state="visible" name="CSC" sheetId="8" r:id="rId12"/>
    <sheet state="visible" name="Technopolis" sheetId="9" r:id="rId13"/>
    <sheet state="visible" name="Forum Rangoli" sheetId="10" r:id="rId14"/>
    <sheet state="visible" name="Jameslong" sheetId="11" r:id="rId15"/>
    <sheet state="visible" name="Sector 1" sheetId="12" r:id="rId16"/>
    <sheet state="visible" name="Santoshpur" sheetId="13" r:id="rId17"/>
    <sheet state="visible" name="Chinar Park" sheetId="14" r:id="rId18"/>
    <sheet state="visible" name="Kalikapur" sheetId="15" r:id="rId19"/>
    <sheet state="visible" name="Lake Road" sheetId="16" r:id="rId20"/>
    <sheet state="visible" name="Quest Mall" sheetId="17" r:id="rId21"/>
    <sheet state="visible" name="Event Sales" sheetId="18" r:id="rId22"/>
    <sheet state="visible" name="Central Kitchen - Kolkata" sheetId="19" r:id="rId23"/>
    <sheet state="visible" name="Ads Account" sheetId="20" r:id="rId24"/>
    <sheet state="visible" name="HO" sheetId="21" r:id="rId2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tc={3f7d0899-0442-46f3-9d2c-2463b2a4e5b3}</author>
  </authors>
  <commentList>
    <comment authorId="0" ref="A7">
      <text>
        <t xml:space="preserve">Closing Stock Report</t>
      </text>
    </comment>
    <comment authorId="0" ref="A6">
      <text>
        <t xml:space="preserve">Entry Report -&gt; Wastage</t>
      </text>
    </comment>
    <comment authorId="0" ref="A5">
      <text>
        <t xml:space="preserve">Entry Report -&gt; Transfer To</t>
      </text>
    </comment>
    <comment authorId="0" ref="A4">
      <text>
        <t xml:space="preserve">Entry Report -&gt; Transfer from
Or
Indent Report</t>
      </text>
    </comment>
    <comment authorId="0" ref="A3">
      <text>
        <t xml:space="preserve">Closing Stock Report</t>
      </text>
    </comment>
    <comment authorId="1" xr:uid="{3f7d0899-0442-46f3-9d2c-2463b2a4e5b3}" ref="F26">
      <text>
        <t xml:space="preserve">[Threaded comment]
 Your version of Excel allows you to read this threaded comment; however, any edits to it will get removed if the file is opened in a newer version of Excel. Learn more: https://go.microsoft.com/fwlink/?linkid=870924
Comment:
	@shilajit.saha@dalgreenfoods.com kindly share an outlet wise details/ledger
Reply:
	Miscellaneous Expenses Ideal Plaza CSC Rosedale Plaza Santoshpur
Kalikapur Sector
1 Salt Lake Rangoli Mall Jameslong Sarani Mani Square Lake Town Lake Road
Rajarhat Quest Mall Forum Event Technopolis Central Kitchen Head Office
Total
Actual
Travelling Expenses         512.00       951.00          200.00
1,320.00           750.00           3,843.00           280.00
544.00         146.00       320.00           10,378.00     22,446.00
41,690.00
Motor Car Expenses                                         20,520.00
20,520.00
License Fees 500                  500          500            500
          2,000.00
Conveyance Expenses                                          8,892.00
8,892.00
Parking Expense      4,000.00        2,000.00      2,000.00         360.00
            2,500.00                 50.00             10,570.00
21,480.00
Staff Welfare Expenses              841.00        1,149.00      2,500.00
4,185.00                400.00           420.00         960.00
13,430.00          23,885.00
Credit Card Settlement Charges      3,856.00          3,385.00    1,267.88
2,197.59      2,723.75      4,505.00      1,608.49           1,689.00
3,192.00         952.17      3,240.87      2,422.00            21.61
5,987.00        37,048.36
Printing &amp; Stationery     48,809.00    5,100.00      14,986.00    3,297.00
3,915.00      9,345.00     13,760.00      5,592.00           6,264.00
850.00      6,047.00      5,937.00    1,736.00      1,725.00
20,831.00       1,48,194.00
Water Supply Charges            3,885.00           600.00
1,250.00                           5,735.00
General Expenses         440.00                 620.00        3,000.00
                   6,058.21        10,118.21
License Fees     281  1/4   555  5/9 1595  1/18              1,944.44   416
2/3                     4,792.97
Delivery Charges                   250.00         382.00
89.00                  3,968.00           4,689.00
Merchant Funded Promotion         858.90            408.92 384
1,226.60         490.40         5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tc={9fa28fc5-955d-4e97-a3a0-05dcaab882fe}</author>
    <author>tc={c1105fec-9bc0-4408-bbae-acf353c7d2c2}</author>
    <author>tc={ff3228c0-8b12-47f9-b124-3e558d50bbe1}</author>
  </authors>
  <commentList>
    <comment authorId="0" ref="A7">
      <text>
        <t xml:space="preserve">Closing Stock Report</t>
      </text>
    </comment>
    <comment authorId="0" ref="A6">
      <text>
        <t xml:space="preserve">Entry Report -&gt; Wastage</t>
      </text>
    </comment>
    <comment authorId="0" ref="A5">
      <text>
        <t xml:space="preserve">Entry Report -&gt; Transfer To</t>
      </text>
    </comment>
    <comment authorId="0" ref="A4">
      <text>
        <t xml:space="preserve">Entry Report -&gt; Transfer from
Or
Indent Report</t>
      </text>
    </comment>
    <comment authorId="0" ref="A3">
      <text>
        <t xml:space="preserve">Closing Stock Report</t>
      </text>
    </comment>
    <comment authorId="1" xr:uid="{9fa28fc5-955d-4e97-a3a0-05dcaab882fe}" ref="F5">
      <text>
        <t xml:space="preserve">[Threaded comment]
 Your version of Excel allows you to read this threaded comment; however, any edits to it will get removed if the file is opened in a newer version of Excel. Learn more: https://go.microsoft.com/fwlink/?linkid=870924
Comment:
	Stock Return 2761.5
Reply:
	As per Posist Stock Out Amount Rs 766.52/- Please check
Reply:
	As we spoke the stock return to be also considered.
</t>
      </text>
    </comment>
    <comment authorId="2" xr:uid="{c1105fec-9bc0-4408-bbae-acf353c7d2c2}" ref="B21">
      <text>
        <t xml:space="preserve">[Threaded comment]
 Your version of Excel allows you to read this threaded comment; however, any edits to it will get removed if the file is opened in a newer version of Excel. Learn more: https://go.microsoft.com/fwlink/?linkid=870924
Comment:
	69284 12 M AMC paid to Daikin
Reply:
	38645 AMC Oddyssey
</t>
      </text>
    </comment>
    <comment authorId="3" xr:uid="{ff3228c0-8b12-47f9-b124-3e558d50bbe1}" ref="M20">
      <text>
        <t xml:space="preserve">[Threaded comment]
 Your version of Excel allows you to read this threaded comment; however, any edits to it will get removed if the file is opened in a newer version of Excel. Learn more: https://go.microsoft.com/fwlink/?linkid=870924
Comment:
	9000  Provision for Security Guard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tc={05c87ce6-ecde-4c13-9593-c69f81cc22d7}</author>
  </authors>
  <commentList>
    <comment authorId="0" ref="A7">
      <text>
        <t xml:space="preserve">Closing Stock Report</t>
      </text>
    </comment>
    <comment authorId="0" ref="A6">
      <text>
        <t xml:space="preserve">Entry Report -&gt; Wastage</t>
      </text>
    </comment>
    <comment authorId="0" ref="A5">
      <text>
        <t xml:space="preserve">Entry Report -&gt; Transfer To</t>
      </text>
    </comment>
    <comment authorId="0" ref="A4">
      <text>
        <t xml:space="preserve">Entry Report -&gt; Transfer from
Or
Indent Report</t>
      </text>
    </comment>
    <comment authorId="0" ref="A3">
      <text>
        <t xml:space="preserve">Closing Stock Report</t>
      </text>
    </comment>
    <comment authorId="1" xr:uid="{05c87ce6-ecde-4c13-9593-c69f81cc22d7}" ref="D24">
      <text>
        <t xml:space="preserve">[Threaded comment]
 Your version of Excel allows you to read this threaded comment; however, any edits to it will get removed if the file is opened in a newer version of Excel. Learn more: https://go.microsoft.com/fwlink/?linkid=870924
Comment:
	40120 AC Services paid to Dew Point for 12 months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7">
      <text>
        <t xml:space="preserve">Closing Stock Report</t>
      </text>
    </comment>
    <comment authorId="0" ref="A6">
      <text>
        <t xml:space="preserve">Entry Report -&gt; Wastage</t>
      </text>
    </comment>
    <comment authorId="0" ref="A5">
      <text>
        <t xml:space="preserve">Entry Report -&gt; Transfer To</t>
      </text>
    </comment>
    <comment authorId="0" ref="A4">
      <text>
        <t xml:space="preserve">Entry Report -&gt; Transfer from
Or
Indent Report</t>
      </text>
    </comment>
    <comment authorId="0" ref="A3">
      <text>
        <t xml:space="preserve">Closing Stock Report</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tc={d1442007-a146-44cb-a302-9066015dbe41}</author>
  </authors>
  <commentList>
    <comment authorId="0" ref="A7">
      <text>
        <t xml:space="preserve">Closing Stock Report</t>
      </text>
    </comment>
    <comment authorId="0" ref="A6">
      <text>
        <t xml:space="preserve">Entry Report -&gt; Wastage</t>
      </text>
    </comment>
    <comment authorId="0" ref="A5">
      <text>
        <t xml:space="preserve">Entry Report -&gt; Transfer To</t>
      </text>
    </comment>
    <comment authorId="0" ref="A4">
      <text>
        <t xml:space="preserve">Entry Report -&gt; Transfer from
Or
Indent Report</t>
      </text>
    </comment>
    <comment authorId="0" ref="A3">
      <text>
        <t xml:space="preserve">Closing Stock Report</t>
      </text>
    </comment>
    <comment authorId="1" xr:uid="{d1442007-a146-44cb-a302-9066015dbe41}" ref="G25">
      <text>
        <t xml:space="preserve">[Threaded comment]
 Your version of Excel allows you to read this threaded comment; however, any edits to it will get removed if the file is opened in a newer version of Excel. Learn more: https://go.microsoft.com/fwlink/?linkid=870924
Comment:
	Please Share Details Of Expenses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tc={3de60f95-2a8b-416d-a61d-1df2822cac7a}</author>
    <author>tc={44ecae3f-3882-4101-aaf7-e21537042701}</author>
    <author>tc={47eed0b0-9373-41f5-936a-e5ba047f970f}</author>
  </authors>
  <commentList>
    <comment authorId="0" ref="A7">
      <text>
        <t xml:space="preserve">Closing Stock Report</t>
      </text>
    </comment>
    <comment authorId="0" ref="A6">
      <text>
        <t xml:space="preserve">Entry Report -&gt; Wastage</t>
      </text>
    </comment>
    <comment authorId="0" ref="A5">
      <text>
        <t xml:space="preserve">Entry Report -&gt; Transfer To</t>
      </text>
    </comment>
    <comment authorId="0" ref="A4">
      <text>
        <t xml:space="preserve">Entry Report -&gt; Transfer from
Or
Indent Report</t>
      </text>
    </comment>
    <comment authorId="0" ref="A3">
      <text>
        <t xml:space="preserve">Closing Stock Report</t>
      </text>
    </comment>
    <comment authorId="1" xr:uid="{3de60f95-2a8b-416d-a61d-1df2822cac7a}" ref="D24">
      <text>
        <t xml:space="preserve">[Threaded comment]
 Your version of Excel allows you to read this threaded comment; however, any edits to it will get removed if the file is opened in a newer version of Excel. Learn more: https://go.microsoft.com/fwlink/?linkid=870924
Comment:
	20060 AC Services paid to Dew Point for 12 months
</t>
      </text>
    </comment>
    <comment authorId="2" xr:uid="{44ecae3f-3882-4101-aaf7-e21537042701}" ref="C18">
      <text>
        <t xml:space="preserve">[Threaded comment]
 Your version of Excel allows you to read this threaded comment; however, any edits to it will get removed if the file is opened in a newer version of Excel. Learn more: https://go.microsoft.com/fwlink/?linkid=870924
Comment:
	Rent includes RCM @ 18% ...As per GST law (Commercial property taken on rent from Unregistered Party then Registered Party Need to pay GST on RCM Basis)
</t>
      </text>
    </comment>
    <comment authorId="3" xr:uid="{47eed0b0-9373-41f5-936a-e5ba047f970f}" ref="B21">
      <text>
        <t xml:space="preserve">[Threaded comment]
 Your version of Excel allows you to read this threaded comment; however, any edits to it will get removed if the file is opened in a newer version of Excel. Learn more: https://go.microsoft.com/fwlink/?linkid=870924
Comment:
	Truly Pest 2360
</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tc={75409392-5438-438d-a137-4bb8422b6544}</author>
  </authors>
  <commentList>
    <comment authorId="0" ref="A7">
      <text>
        <t xml:space="preserve">Closing Stock Report</t>
      </text>
    </comment>
    <comment authorId="0" ref="A6">
      <text>
        <t xml:space="preserve">Entry Report -&gt; Wastage</t>
      </text>
    </comment>
    <comment authorId="0" ref="A5">
      <text>
        <t xml:space="preserve">Entry Report -&gt; Transfer To</t>
      </text>
    </comment>
    <comment authorId="0" ref="A4">
      <text>
        <t xml:space="preserve">Entry Report -&gt; Transfer from
Or
Indent Report</t>
      </text>
    </comment>
    <comment authorId="0" ref="A3">
      <text>
        <t xml:space="preserve">Closing Stock Report</t>
      </text>
    </comment>
    <comment authorId="1" xr:uid="{75409392-5438-438d-a137-4bb8422b6544}" ref="F16">
      <text>
        <t xml:space="preserve">[Threaded comment]
 Your version of Excel allows you to read this threaded comment; however, any edits to it will get removed if the file is opened in a newer version of Excel. Learn more: https://go.microsoft.com/fwlink/?linkid=870924
Comment:
	5246.28 FOR 6 MONTHS ENDING JAN 26
</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tc={710539a7-7dbc-4407-a953-de705689c112}</author>
    <author>tc={87f9ef22-3652-43e1-8f87-5c01815e6ca5}</author>
  </authors>
  <commentList>
    <comment authorId="0" ref="A7">
      <text>
        <t xml:space="preserve">Closing Stock Report</t>
      </text>
    </comment>
    <comment authorId="0" ref="A6">
      <text>
        <t xml:space="preserve">Entry Report -&gt; Wastage</t>
      </text>
    </comment>
    <comment authorId="0" ref="A5">
      <text>
        <t xml:space="preserve">Entry Report -&gt; Transfer To</t>
      </text>
    </comment>
    <comment authorId="0" ref="A4">
      <text>
        <t xml:space="preserve">Entry Report -&gt; Transfer from
Or
Indent Report</t>
      </text>
    </comment>
    <comment authorId="0" ref="A3">
      <text>
        <t xml:space="preserve">Closing Stock Report</t>
      </text>
    </comment>
    <comment authorId="1" xr:uid="{710539a7-7dbc-4407-a953-de705689c112}" ref="G25">
      <text>
        <t xml:space="preserve">[Threaded comment]
 Your version of Excel allows you to read this threaded comment; however, any edits to it will get removed if the file is opened in a newer version of Excel. Learn more: https://go.microsoft.com/fwlink/?linkid=870924
Comment:
	Please Share Details Of Expenses
</t>
      </text>
    </comment>
    <comment authorId="2" xr:uid="{87f9ef22-3652-43e1-8f87-5c01815e6ca5}" ref="B21">
      <text>
        <t xml:space="preserve">[Threaded comment]
 Your version of Excel allows you to read this threaded comment; however, any edits to it will get removed if the file is opened in a newer version of Excel. Learn more: https://go.microsoft.com/fwlink/?linkid=870924
Comment:
	4720 Paid to Odyssey
</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tc={e4707c63-2726-4a78-92a5-bf6bdef8185b}</author>
  </authors>
  <commentList>
    <comment authorId="0" ref="A7">
      <text>
        <t xml:space="preserve">Closing Stock Report</t>
      </text>
    </comment>
    <comment authorId="0" ref="A6">
      <text>
        <t xml:space="preserve">Entry Report -&gt; Wastage</t>
      </text>
    </comment>
    <comment authorId="0" ref="A5">
      <text>
        <t xml:space="preserve">Entry Report -&gt; Transfer To</t>
      </text>
    </comment>
    <comment authorId="0" ref="A4">
      <text>
        <t xml:space="preserve">Entry Report -&gt; Transfer from
Or
Indent Report</t>
      </text>
    </comment>
    <comment authorId="0" ref="A3">
      <text>
        <t xml:space="preserve">Closing Stock Report</t>
      </text>
    </comment>
    <comment authorId="1" xr:uid="{e4707c63-2726-4a78-92a5-bf6bdef8185b}" ref="B21">
      <text>
        <t xml:space="preserve">[Threaded comment]
 Your version of Excel allows you to read this threaded comment; however, any edits to it will get removed if the file is opened in a newer version of Excel. Learn more: https://go.microsoft.com/fwlink/?linkid=870924
Comment:
	7090 paid to odyysey
</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7">
      <text>
        <t xml:space="preserve">Closing Stock Report</t>
      </text>
    </comment>
    <comment authorId="0" ref="A6">
      <text>
        <t xml:space="preserve">Entry Report -&gt; Wastage</t>
      </text>
    </comment>
    <comment authorId="0" ref="A5">
      <text>
        <t xml:space="preserve">Entry Report -&gt; Transfer To</t>
      </text>
    </comment>
    <comment authorId="0" ref="A4">
      <text>
        <t xml:space="preserve">Entry Report -&gt; Transfer from
Or
Indent Report</t>
      </text>
    </comment>
    <comment authorId="0" ref="A3">
      <text>
        <t xml:space="preserve">Closing Stock Report</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tc={98d7d49f-ce50-4d6c-be8f-20c59cb40c4f}</author>
    <author>tc={e6a82d8e-5591-4753-847d-350ffdf2c0ae}</author>
  </authors>
  <commentList>
    <comment authorId="0" ref="A7">
      <text>
        <t xml:space="preserve">Closing Stock Report</t>
      </text>
    </comment>
    <comment authorId="0" ref="A6">
      <text>
        <t xml:space="preserve">Entry Report -&gt; Wastage</t>
      </text>
    </comment>
    <comment authorId="0" ref="A5">
      <text>
        <t xml:space="preserve">Entry Report -&gt; Transfer To</t>
      </text>
    </comment>
    <comment authorId="0" ref="A4">
      <text>
        <t xml:space="preserve">Entry Report -&gt; Transfer from
Or
Indent Report</t>
      </text>
    </comment>
    <comment authorId="0" ref="A3">
      <text>
        <t xml:space="preserve">Closing Stock Report</t>
      </text>
    </comment>
    <comment authorId="1" xr:uid="{98d7d49f-ce50-4d6c-be8f-20c59cb40c4f}" ref="D24">
      <text>
        <t xml:space="preserve">[Threaded comment]
 Your version of Excel allows you to read this threaded comment; however, any edits to it will get removed if the file is opened in a newer version of Excel. Learn more: https://go.microsoft.com/fwlink/?linkid=870924
Comment:
	25960 AC Services paid to Dew Point for 12 months
</t>
      </text>
    </comment>
    <comment authorId="2" xr:uid="{e6a82d8e-5591-4753-847d-350ffdf2c0ae}" ref="G25">
      <text>
        <t xml:space="preserve">[Threaded comment]
 Your version of Excel allows you to read this threaded comment; however, any edits to it will get removed if the file is opened in a newer version of Excel. Learn more: https://go.microsoft.com/fwlink/?linkid=870924
Comment:
	Please Share Details Of Expenses
</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tc={1b8eade5-486c-460b-bda8-ebcad58effb1}</author>
    <author>tc={a07b630f-729b-4513-a87f-507b749e4305}</author>
    <author>tc={fc495cb2-3378-4e98-bf49-b3a79298c82e}</author>
  </authors>
  <commentList>
    <comment authorId="0" ref="A7">
      <text>
        <t xml:space="preserve">Closing Stock Report</t>
      </text>
    </comment>
    <comment authorId="0" ref="A6">
      <text>
        <t xml:space="preserve">Entry Report -&gt; Wastage</t>
      </text>
    </comment>
    <comment authorId="0" ref="A5">
      <text>
        <t xml:space="preserve">Entry Report -&gt; Transfer To</t>
      </text>
    </comment>
    <comment authorId="0" ref="A4">
      <text>
        <t xml:space="preserve">Entry Report -&gt; Transfer from
Or
Indent Report</t>
      </text>
    </comment>
    <comment authorId="0" ref="A3">
      <text>
        <t xml:space="preserve">Closing Stock Report</t>
      </text>
    </comment>
    <comment authorId="1" xr:uid="{1b8eade5-486c-460b-bda8-ebcad58effb1}" ref="I16">
      <text>
        <t xml:space="preserve">[Threaded comment]
 Your version of Excel allows you to read this threaded comment; however, any edits to it will get removed if the file is opened in a newer version of Excel. Learn more: https://go.microsoft.com/fwlink/?linkid=870924
Comment:
	8142 for 12 months Internet
</t>
      </text>
    </comment>
    <comment authorId="2" xr:uid="{a07b630f-729b-4513-a87f-507b749e4305}" ref="M20">
      <text>
        <t xml:space="preserve">[Threaded comment]
 Your version of Excel allows you to read this threaded comment; however, any edits to it will get removed if the file is opened in a newer version of Excel. Learn more: https://go.microsoft.com/fwlink/?linkid=870924
Comment:
	8500 Provision for Security Guard
</t>
      </text>
    </comment>
    <comment authorId="3" xr:uid="{fc495cb2-3378-4e98-bf49-b3a79298c82e}" ref="D24">
      <text>
        <t xml:space="preserve">[Threaded comment]
 Your version of Excel allows you to read this threaded comment; however, any edits to it will get removed if the file is opened in a newer version of Excel. Learn more: https://go.microsoft.com/fwlink/?linkid=870924
Comment:
	35400 for 12 m starting from June 25 paid to Dew Point
</t>
      </text>
    </comment>
  </commentList>
</comments>
</file>

<file path=xl/comments13.xml><?xml version="1.0" encoding="utf-8"?>
<comments xmlns:r="http://schemas.openxmlformats.org/officeDocument/2006/relationships" xmlns="http://schemas.openxmlformats.org/spreadsheetml/2006/main" xmlns:xr="http://schemas.microsoft.com/office/spreadsheetml/2014/revision">
  <authors>
    <author/>
    <author>tc={16525314-9d43-445f-80bd-c35ba9e9fd37}</author>
    <author>tc={d3eac945-f7ce-4c93-803d-c0ba98585d3c}</author>
  </authors>
  <commentList>
    <comment authorId="0" ref="A7">
      <text>
        <t xml:space="preserve">Closing Stock Report</t>
      </text>
    </comment>
    <comment authorId="0" ref="A6">
      <text>
        <t xml:space="preserve">Entry Report -&gt; Wastage</t>
      </text>
    </comment>
    <comment authorId="0" ref="A5">
      <text>
        <t xml:space="preserve">Entry Report -&gt; Transfer To</t>
      </text>
    </comment>
    <comment authorId="0" ref="A4">
      <text>
        <t xml:space="preserve">Entry Report -&gt; Transfer from
Or
Indent Report</t>
      </text>
    </comment>
    <comment authorId="0" ref="A3">
      <text>
        <t xml:space="preserve">Closing Stock Report</t>
      </text>
    </comment>
    <comment authorId="1" xr:uid="{16525314-9d43-445f-80bd-c35ba9e9fd37}" ref="C18">
      <text>
        <t xml:space="preserve">[Threaded comment]
 Your version of Excel allows you to read this threaded comment; however, any edits to it will get removed if the file is opened in a newer version of Excel. Learn more: https://go.microsoft.com/fwlink/?linkid=870924
Comment:
	Rent includes RCM @ 18% ...As per GST law (Commercial property taken on rent from Unregistered Party then Registered Party Need to pay GST on RCM Basis)
</t>
      </text>
    </comment>
    <comment authorId="2" xr:uid="{d3eac945-f7ce-4c93-803d-c0ba98585d3c}" ref="D24">
      <text>
        <t xml:space="preserve">[Threaded comment]
 Your version of Excel allows you to read this threaded comment; however, any edits to it will get removed if the file is opened in a newer version of Excel. Learn more: https://go.microsoft.com/fwlink/?linkid=870924
Comment:
	43660 AC Services paid to Dew Point for 12 months
</t>
      </text>
    </comment>
  </commentList>
</comments>
</file>

<file path=xl/comments14.xml><?xml version="1.0" encoding="utf-8"?>
<comments xmlns:r="http://schemas.openxmlformats.org/officeDocument/2006/relationships" xmlns="http://schemas.openxmlformats.org/spreadsheetml/2006/main" xmlns:xr="http://schemas.microsoft.com/office/spreadsheetml/2014/revision">
  <authors>
    <author/>
    <author>tc={948de512-02b5-4a6a-bd5a-b6853e6fbc40}</author>
  </authors>
  <commentList>
    <comment authorId="0" ref="A7">
      <text>
        <t xml:space="preserve">Closing Stock Report</t>
      </text>
    </comment>
    <comment authorId="0" ref="A6">
      <text>
        <t xml:space="preserve">Entry Report -&gt; Wastage</t>
      </text>
    </comment>
    <comment authorId="0" ref="A5">
      <text>
        <t xml:space="preserve">Entry Report -&gt; Transfer To</t>
      </text>
    </comment>
    <comment authorId="0" ref="A4">
      <text>
        <t xml:space="preserve">Entry Report -&gt; Transfer from
Or
Indent Report</t>
      </text>
    </comment>
    <comment authorId="0" ref="A3">
      <text>
        <t xml:space="preserve">Closing Stock Report</t>
      </text>
    </comment>
    <comment authorId="1" xr:uid="{948de512-02b5-4a6a-bd5a-b6853e6fbc40}" ref="C18">
      <text>
        <t xml:space="preserve">[Threaded comment]
 Your version of Excel allows you to read this threaded comment; however, any edits to it will get removed if the file is opened in a newer version of Excel. Learn more: https://go.microsoft.com/fwlink/?linkid=870924
Comment:
	Rent includes RCM @ 18% ...As per GST law (Commercial property taken on rent from Unregistered Party then Registered Party Need to pay GST on RCM Basis)
</t>
      </text>
    </comment>
  </commentList>
</comments>
</file>

<file path=xl/comments15.xml><?xml version="1.0" encoding="utf-8"?>
<comments xmlns:r="http://schemas.openxmlformats.org/officeDocument/2006/relationships" xmlns="http://schemas.openxmlformats.org/spreadsheetml/2006/main" xmlns:xr="http://schemas.microsoft.com/office/spreadsheetml/2014/revision">
  <authors>
    <author/>
    <author>tc={01cd0d69-0f57-4a93-b1f3-fd4564c9a135}</author>
    <author>tc={3e3fe1f1-04ab-47e4-8135-1b5409b2ccca}</author>
  </authors>
  <commentList>
    <comment authorId="0" ref="A7">
      <text>
        <t xml:space="preserve">Closing Stock Report</t>
      </text>
    </comment>
    <comment authorId="0" ref="A6">
      <text>
        <t xml:space="preserve">Entry Report -&gt; Wastage</t>
      </text>
    </comment>
    <comment authorId="0" ref="A5">
      <text>
        <t xml:space="preserve">Entry Report -&gt; Transfer To</t>
      </text>
    </comment>
    <comment authorId="0" ref="A4">
      <text>
        <t xml:space="preserve">Entry Report -&gt; Transfer from
Or
Indent Report</t>
      </text>
    </comment>
    <comment authorId="0" ref="A3">
      <text>
        <t xml:space="preserve">Closing Stock Report</t>
      </text>
    </comment>
    <comment authorId="1" xr:uid="{01cd0d69-0f57-4a93-b1f3-fd4564c9a135}" ref="K16">
      <text>
        <t xml:space="preserve">[Threaded comment]
 Your version of Excel allows you to read this threaded comment; however, any edits to it will get removed if the file is opened in a newer version of Excel. Learn more: https://go.microsoft.com/fwlink/?linkid=870924
Comment:
	1748 FOR 336 DAYS
</t>
      </text>
    </comment>
    <comment authorId="2" xr:uid="{3e3fe1f1-04ab-47e4-8135-1b5409b2ccca}" ref="D24">
      <text>
        <t xml:space="preserve">[Threaded comment]
 Your version of Excel allows you to read this threaded comment; however, any edits to it will get removed if the file is opened in a newer version of Excel. Learn more: https://go.microsoft.com/fwlink/?linkid=870924
Comment:
	25960 AC Services paid to Dew Point for 12 months
</t>
      </text>
    </comment>
  </commentList>
</comments>
</file>

<file path=xl/comments16.xml><?xml version="1.0" encoding="utf-8"?>
<comments xmlns:r="http://schemas.openxmlformats.org/officeDocument/2006/relationships" xmlns="http://schemas.openxmlformats.org/spreadsheetml/2006/main" xmlns:xr="http://schemas.microsoft.com/office/spreadsheetml/2014/revision">
  <authors>
    <author/>
    <author>tc={17dce994-d541-47da-ba43-fcf80d284b49}</author>
    <author>tc={7f0d693c-dc8d-4fff-b8ca-09952db72ec7}</author>
  </authors>
  <commentList>
    <comment authorId="0" ref="A7">
      <text>
        <t xml:space="preserve">Closing Stock Report</t>
      </text>
    </comment>
    <comment authorId="0" ref="A6">
      <text>
        <t xml:space="preserve">Entry Report -&gt; Wastage</t>
      </text>
    </comment>
    <comment authorId="0" ref="A5">
      <text>
        <t xml:space="preserve">Entry Report -&gt; Transfer To</t>
      </text>
    </comment>
    <comment authorId="0" ref="A4">
      <text>
        <t xml:space="preserve">Entry Report -&gt; Transfer from
Or
Indent Report</t>
      </text>
    </comment>
    <comment authorId="0" ref="A3">
      <text>
        <t xml:space="preserve">Closing Stock Report</t>
      </text>
    </comment>
    <comment authorId="1" xr:uid="{17dce994-d541-47da-ba43-fcf80d284b49}" ref="M20">
      <text>
        <t xml:space="preserve">[Threaded comment]
 Your version of Excel allows you to read this threaded comment; however, any edits to it will get removed if the file is opened in a newer version of Excel. Learn more: https://go.microsoft.com/fwlink/?linkid=870924
Comment:
	10500 Provision for Security Guard
</t>
      </text>
    </comment>
    <comment authorId="2" xr:uid="{7f0d693c-dc8d-4fff-b8ca-09952db72ec7}" ref="B22">
      <text>
        <t xml:space="preserve">[Threaded comment]
 Your version of Excel allows you to read this threaded comment; however, any edits to it will get removed if the file is opened in a newer version of Excel. Learn more: https://go.microsoft.com/fwlink/?linkid=870924
Comment:
	16500 April to June 25 Matsan Plants
12272 PAID TO HRAEI FOR 12 MONTHS
16893 paid to FHREAI FOR 12 MONTH DT 18/6/25
</t>
      </text>
    </comment>
  </commentList>
</comments>
</file>

<file path=xl/comments17.xml><?xml version="1.0" encoding="utf-8"?>
<comments xmlns:r="http://schemas.openxmlformats.org/officeDocument/2006/relationships" xmlns="http://schemas.openxmlformats.org/spreadsheetml/2006/main" xmlns:xr="http://schemas.microsoft.com/office/spreadsheetml/2014/revision">
  <authors>
    <author/>
    <author>tc={6892fe80-0750-437c-bee5-a70250273582}</author>
  </authors>
  <commentList>
    <comment authorId="0" ref="A7">
      <text>
        <t xml:space="preserve">Closing Stock Report</t>
      </text>
    </comment>
    <comment authorId="0" ref="A6">
      <text>
        <t xml:space="preserve">Entry Report -&gt; Wastage</t>
      </text>
    </comment>
    <comment authorId="0" ref="A5">
      <text>
        <t xml:space="preserve">Entry Report -&gt; Transfer To</t>
      </text>
    </comment>
    <comment authorId="0" ref="A4">
      <text>
        <t xml:space="preserve">Entry Report -&gt; Transfer from
Or
Indent Report</t>
      </text>
    </comment>
    <comment authorId="0" ref="A3">
      <text>
        <t xml:space="preserve">Closing Stock Report</t>
      </text>
    </comment>
    <comment authorId="1" xr:uid="{6892fe80-0750-437c-bee5-a70250273582}" ref="B25">
      <text>
        <t xml:space="preserve">[Threaded comment]
 Your version of Excel allows you to read this threaded comment; however, any edits to it will get removed if the file is opened in a newer version of Excel. Learn more: https://go.microsoft.com/fwlink/?linkid=870924
Comment:
	24387 Property Tax
</t>
      </text>
    </comment>
  </commentList>
</comments>
</file>

<file path=xl/comments1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7">
      <text>
        <t xml:space="preserve">Closing Stock Report</t>
      </text>
    </comment>
    <comment authorId="0" ref="A6">
      <text>
        <t xml:space="preserve">Entry Report -&gt; Wastage</t>
      </text>
    </comment>
    <comment authorId="0" ref="A5">
      <text>
        <t xml:space="preserve">Entry Report -&gt; Transfer To</t>
      </text>
    </comment>
    <comment authorId="0" ref="A4">
      <text>
        <t xml:space="preserve">Entry Report -&gt; Transfer from
Or
Indent Report</t>
      </text>
    </comment>
    <comment authorId="0" ref="A3">
      <text>
        <t xml:space="preserve">Closing Stock Report</t>
      </text>
    </comment>
  </commentList>
</comments>
</file>

<file path=xl/comments19.xml><?xml version="1.0" encoding="utf-8"?>
<comments xmlns:r="http://schemas.openxmlformats.org/officeDocument/2006/relationships" xmlns="http://schemas.openxmlformats.org/spreadsheetml/2006/main" xmlns:xr="http://schemas.microsoft.com/office/spreadsheetml/2014/revision">
  <authors>
    <author>tc={1a022674-192f-488a-b33f-5f1b65219102}</author>
    <author>tc={887e0660-9cf8-409f-a44b-239832103e17}</author>
    <author>tc={931c2ebe-f605-49fe-8cf0-226df5efcbf8}</author>
    <author>tc={9c898073-e724-4081-8565-ee3f1360267d}</author>
    <author>tc={a2e28954-e5b6-4e83-add5-43a3440b16a8}</author>
    <author>tc={a46101cd-221c-4cc5-b2b3-ec85fd33afa4}</author>
    <author>tc={a5c84e54-a02b-4c67-9ca1-809f246275f3}</author>
    <author>tc={cd50b27b-bcdd-4203-a527-4066ad87850a}</author>
    <author>tc={cf0bbb47-eb60-4ccb-b486-a7d15a68227f}</author>
    <author>tc={e399054d-ece0-4027-ba4d-786ea223350e}</author>
    <author>tc={ec0389c1-f3db-4e2f-a2d5-52fe5486f9d7}</author>
    <author>tc={f6319029-7542-459a-845b-30c886ac742d}</author>
    <author>tc={fc173491-e159-45f9-99fe-c8872111e984}</author>
  </authors>
  <commentList>
    <comment authorId="0" xr:uid="{1a022674-192f-488a-b33f-5f1b65219102}" ref="K5">
      <text>
        <t xml:space="preserve">[Threaded comment]
 Your version of Excel allows you to read this threaded comment; however, any edits to it will get removed if the file is opened in a newer version of Excel. Learn more: https://go.microsoft.com/fwlink/?linkid=870924
Comment:
	4132 Non GRN Purchases
</t>
      </text>
    </comment>
    <comment authorId="1" xr:uid="{887e0660-9cf8-409f-a44b-239832103e17}" ref="F17">
      <text>
        <t xml:space="preserve">[Threaded comment]
 Your version of Excel allows you to read this threaded comment; however, any edits to it will get removed if the file is opened in a newer version of Excel. Learn more: https://go.microsoft.com/fwlink/?linkid=870924
Comment:
	154712 CP Shine
</t>
      </text>
    </comment>
    <comment authorId="2" xr:uid="{931c2ebe-f605-49fe-8cf0-226df5efcbf8}" ref="F5">
      <text>
        <t xml:space="preserve">[Threaded comment]
 Your version of Excel allows you to read this threaded comment; however, any edits to it will get removed if the file is opened in a newer version of Excel. Learn more: https://go.microsoft.com/fwlink/?linkid=870924
Comment:
	Addition is due to the CW of Delhi has transferred Material to CK
</t>
      </text>
    </comment>
    <comment authorId="3" xr:uid="{9c898073-e724-4081-8565-ee3f1360267d}" ref="D5">
      <text>
        <t xml:space="preserve">[Threaded comment]
 Your version of Excel allows you to read this threaded comment; however, any edits to it will get removed if the file is opened in a newer version of Excel. Learn more: https://go.microsoft.com/fwlink/?linkid=870924
Comment:
	Addition is due to the CW of Delhi has transferred Material to CK
</t>
      </text>
    </comment>
    <comment authorId="4" xr:uid="{a2e28954-e5b6-4e83-add5-43a3440b16a8}" ref="G19">
      <text>
        <t xml:space="preserve">[Threaded comment]
 Your version of Excel allows you to read this threaded comment; however, any edits to it will get removed if the file is opened in a newer version of Excel. Learn more: https://go.microsoft.com/fwlink/?linkid=870924
Comment:
	18666 for Insurance Premia for AUG’25-SEP’26  Vehicle no WB03D6022,
</t>
      </text>
    </comment>
    <comment authorId="5" xr:uid="{a46101cd-221c-4cc5-b2b3-ec85fd33afa4}" ref="K6">
      <text>
        <t xml:space="preserve">[Threaded comment]
 Your version of Excel allows you to read this threaded comment; however, any edits to it will get removed if the file is opened in a newer version of Excel. Learn more: https://go.microsoft.com/fwlink/?linkid=870924
Comment:
	225092 was Mistakenly entered in posist as Indent for Oranges. however same is rectified by returning the goods.
</t>
      </text>
    </comment>
    <comment authorId="6" xr:uid="{a5c84e54-a02b-4c67-9ca1-809f246275f3}" ref="E5">
      <text>
        <t xml:space="preserve">[Threaded comment]
 Your version of Excel allows you to read this threaded comment; however, any edits to it will get removed if the file is opened in a newer version of Excel. Learn more: https://go.microsoft.com/fwlink/?linkid=870924
Comment:
	Addition is due to the CW of Delhi has transferred Material to CK
</t>
      </text>
    </comment>
    <comment authorId="7" xr:uid="{cd50b27b-bcdd-4203-a527-4066ad87850a}" ref="C5">
      <text>
        <t xml:space="preserve">[Threaded comment]
 Your version of Excel allows you to read this threaded comment; however, any edits to it will get removed if the file is opened in a newer version of Excel. Learn more: https://go.microsoft.com/fwlink/?linkid=870924
Comment:
	Addition is due to the CW of Delhi has transferred Material to CK
</t>
      </text>
    </comment>
    <comment authorId="8" xr:uid="{cf0bbb47-eb60-4ccb-b486-a7d15a68227f}" ref="B5">
      <text>
        <t xml:space="preserve">[Threaded comment]
 Your version of Excel allows you to read this threaded comment; however, any edits to it will get removed if the file is opened in a newer version of Excel. Learn more: https://go.microsoft.com/fwlink/?linkid=870924
Comment:
	Addition is due to the CW of Delhi has transferred Material to CK
</t>
      </text>
    </comment>
    <comment authorId="9" xr:uid="{e399054d-ece0-4027-ba4d-786ea223350e}" ref="G5">
      <text>
        <t xml:space="preserve">[Threaded comment]
 Your version of Excel allows you to read this threaded comment; however, any edits to it will get removed if the file is opened in a newer version of Excel. Learn more: https://go.microsoft.com/fwlink/?linkid=870924
Comment:
	15025.17 Non GRN Purchase Expenses
</t>
      </text>
    </comment>
    <comment authorId="10" xr:uid="{ec0389c1-f3db-4e2f-a2d5-52fe5486f9d7}" ref="H5">
      <text>
        <t xml:space="preserve">[Threaded comment]
 Your version of Excel allows you to read this threaded comment; however, any edits to it will get removed if the file is opened in a newer version of Excel. Learn more: https://go.microsoft.com/fwlink/?linkid=870924
Comment:
	3345 Non GRN Purchases
</t>
      </text>
    </comment>
    <comment authorId="11" xr:uid="{f6319029-7542-459a-845b-30c886ac742d}" ref="F13">
      <text>
        <t xml:space="preserve">[Threaded comment]
 Your version of Excel allows you to read this threaded comment; however, any edits to it will get removed if the file is opened in a newer version of Excel. Learn more: https://go.microsoft.com/fwlink/?linkid=870924
Comment:
	31490 RS Sharma
Reply:
	90990 Confidence Gas
</t>
      </text>
    </comment>
    <comment authorId="12" xr:uid="{fc173491-e159-45f9-99fe-c8872111e984}" ref="I5">
      <text>
        <t xml:space="preserve">[Threaded comment]
 Your version of Excel allows you to read this threaded comment; however, any edits to it will get removed if the file is opened in a newer version of Excel. Learn more: https://go.microsoft.com/fwlink/?linkid=870924
Comment:
	36240 Non GRN Purchases
</t>
      </text>
    </comment>
  </commentList>
</comments>
</file>

<file path=xl/comments20.xml><?xml version="1.0" encoding="utf-8"?>
<comments xmlns:r="http://schemas.openxmlformats.org/officeDocument/2006/relationships" xmlns="http://schemas.openxmlformats.org/spreadsheetml/2006/main" xmlns:xr="http://schemas.microsoft.com/office/spreadsheetml/2014/revision">
  <authors>
    <author>tc={23376854-2077-49da-989a-a5594584f4ae}</author>
    <author>tc={72723c6f-8d07-475d-95ba-59b267e219c6}</author>
  </authors>
  <commentList>
    <comment authorId="0" xr:uid="{23376854-2077-49da-989a-a5594584f4ae}" ref="G11">
      <text>
        <t xml:space="preserve">[Threaded comment]
 Your version of Excel allows you to read this threaded comment; however, any edits to it will get removed if the file is opened in a newer version of Excel. Learn more: https://go.microsoft.com/fwlink/?linkid=870924
Comment:
	Please Share Details
</t>
      </text>
    </comment>
    <comment authorId="1" xr:uid="{72723c6f-8d07-475d-95ba-59b267e219c6}" ref="M10">
      <text>
        <t xml:space="preserve">[Threaded comment]
 Your version of Excel allows you to read this threaded comment; however, any edits to it will get removed if the file is opened in a newer version of Excel. Learn more: https://go.microsoft.com/fwlink/?linkid=870924
Comment:
	35400 Paid to Astra One Ventures
</t>
      </text>
    </comment>
  </commentList>
</comments>
</file>

<file path=xl/comments21.xml><?xml version="1.0" encoding="utf-8"?>
<comments xmlns:r="http://schemas.openxmlformats.org/officeDocument/2006/relationships" xmlns="http://schemas.openxmlformats.org/spreadsheetml/2006/main" xmlns:xr="http://schemas.microsoft.com/office/spreadsheetml/2014/revision">
  <authors>
    <author>tc={11a60008-bb81-4354-899e-8ff1d1525db8}</author>
    <author>tc={160a1a8a-3d04-4e52-99ed-9436246d838d}</author>
    <author>tc={2f580456-5873-43bb-a05c-79b93c39adac}</author>
    <author>tc={4052594c-444c-4b23-82bc-97a4ff39043e}</author>
    <author>tc={468ce1f0-f322-48a7-a825-6678b160db68}</author>
    <author>tc={5b646eaa-6ac0-4323-b923-13d1799133e6}</author>
    <author>tc={5c5a260a-244a-4ae1-8154-b2ce2991e0ee}</author>
    <author>tc={5d1dcf35-7876-474e-8b9d-9604fbb51462}</author>
    <author>tc={61a760cc-4c1a-4c16-90d9-d77030075bcb}</author>
    <author>tc={63dadddb-c5c8-4bbb-b8ae-2f640f7fe02d}</author>
    <author>tc={74bccdce-91a2-48e7-abf2-0a4eee942b12}</author>
    <author>tc={8eba5ca2-b0d8-4924-a791-f8bfc716a545}</author>
    <author>tc={b2099cfa-3538-42f1-aefc-63c0ef38b691}</author>
    <author>tc={b5b177e1-8df8-4be9-b4b6-f5c2b5ba560d}</author>
    <author>tc={e1d56258-b283-4183-978d-b8cd08a25859}</author>
    <author>tc={ea120583-ee7d-4797-b726-15878787eed2}</author>
  </authors>
  <commentList>
    <comment authorId="0" xr:uid="{11a60008-bb81-4354-899e-8ff1d1525db8}" ref="H11">
      <text>
        <t xml:space="preserve">[Threaded comment]
 Your version of Excel allows you to read this threaded comment; however, any edits to it will get removed if the file is opened in a newer version of Excel. Learn more: https://go.microsoft.com/fwlink/?linkid=870924
Comment:
	4000 paid for Filing PF
7000 paid for filing GST
5900 Registrar Fees paid to Datametics
27258 Paid to MicroGenesis
</t>
      </text>
    </comment>
    <comment authorId="1" xr:uid="{160a1a8a-3d04-4e52-99ed-9436246d838d}" ref="I11">
      <text>
        <t xml:space="preserve">[Threaded comment]
 Your version of Excel allows you to read this threaded comment; however, any edits to it will get removed if the file is opened in a newer version of Excel. Learn more: https://go.microsoft.com/fwlink/?linkid=870924
Comment:
	3107 for 12 months Subscription paid to Pixel
3322 for 12 months Subscription paid to Pixel
</t>
      </text>
    </comment>
    <comment authorId="2" xr:uid="{2f580456-5873-43bb-a05c-79b93c39adac}" ref="F11">
      <text>
        <t xml:space="preserve">[Threaded comment]
 Your version of Excel allows you to read this threaded comment; however, any edits to it will get removed if the file is opened in a newer version of Excel. Learn more: https://go.microsoft.com/fwlink/?linkid=870924
Comment:
	(42480+23010+42480)  Mystery Audit Fees for April, May and June 25
</t>
      </text>
    </comment>
    <comment authorId="3" xr:uid="{4052594c-444c-4b23-82bc-97a4ff39043e}" ref="I9">
      <text>
        <t xml:space="preserve">[Threaded comment]
 Your version of Excel allows you to read this threaded comment; however, any edits to it will get removed if the file is opened in a newer version of Excel. Learn more: https://go.microsoft.com/fwlink/?linkid=870924
Comment:
	18017 Premium Paid for Vehicle
</t>
      </text>
    </comment>
    <comment authorId="4" xr:uid="{468ce1f0-f322-48a7-a825-6678b160db68}" ref="D17">
      <text>
        <t xml:space="preserve">[Threaded comment]
 Your version of Excel allows you to read this threaded comment; however, any edits to it will get removed if the file is opened in a newer version of Excel. Learn more: https://go.microsoft.com/fwlink/?linkid=870924
Comment:
	27258 Paid to Frontlyne
</t>
      </text>
    </comment>
    <comment authorId="5" xr:uid="{5b646eaa-6ac0-4323-b923-13d1799133e6}" ref="F6">
      <text>
        <t xml:space="preserve">[Threaded comment]
 Your version of Excel allows you to read this threaded comment; however, any edits to it will get removed if the file is opened in a newer version of Excel. Learn more: https://go.microsoft.com/fwlink/?linkid=870924
Comment:
	327600+13104+129189 Provisionf for PF and ESI
</t>
      </text>
    </comment>
    <comment authorId="6" xr:uid="{5c5a260a-244a-4ae1-8154-b2ce2991e0ee}" ref="B11">
      <text>
        <t xml:space="preserve">[Threaded comment]
 Your version of Excel allows you to read this threaded comment; however, any edits to it will get removed if the file is opened in a newer version of Excel. Learn more: https://go.microsoft.com/fwlink/?linkid=870924
Comment:
	177000 paid for Statutory Audit
</t>
      </text>
    </comment>
    <comment authorId="7" xr:uid="{5d1dcf35-7876-474e-8b9d-9604fbb51462}" ref="K14">
      <text>
        <t xml:space="preserve">[Threaded comment]
 Your version of Excel allows you to read this threaded comment; however, any edits to it will get removed if the file is opened in a newer version of Excel. Learn more: https://go.microsoft.com/fwlink/?linkid=870924
Comment:
	5097 Work India Subscription for 90 days
</t>
      </text>
    </comment>
    <comment authorId="8" xr:uid="{61a760cc-4c1a-4c16-90d9-d77030075bcb}" ref="G11">
      <text>
        <t xml:space="preserve">[Threaded comment]
 Your version of Excel allows you to read this threaded comment; however, any edits to it will get removed if the file is opened in a newer version of Excel. Learn more: https://go.microsoft.com/fwlink/?linkid=870924
Comment:
	200000+43450 Paid to Slyds
18550 Tds on Slyds Professional Fees
4000 paid for Filing PF
7000 paid for filing GST
2000 Certification Fees
27258 Paid to MicroGenesis
</t>
      </text>
    </comment>
    <comment authorId="9" xr:uid="{63dadddb-c5c8-4bbb-b8ae-2f640f7fe02d}" ref="J17">
      <text>
        <t xml:space="preserve">[Threaded comment]
 Your version of Excel allows you to read this threaded comment; however, any edits to it will get removed if the file is opened in a newer version of Excel. Learn more: https://go.microsoft.com/fwlink/?linkid=870924
Comment:
	Paid to CANVA
</t>
      </text>
    </comment>
    <comment authorId="10" xr:uid="{74bccdce-91a2-48e7-abf2-0a4eee942b12}" ref="E11">
      <text>
        <t xml:space="preserve">[Threaded comment]
 Your version of Excel allows you to read this threaded comment; however, any edits to it will get removed if the file is opened in a newer version of Excel. Learn more: https://go.microsoft.com/fwlink/?linkid=870924
Comment:
	206500 paid to Khaitan &amp; Co
53100 pAID TO G Seven
</t>
      </text>
    </comment>
    <comment authorId="11" xr:uid="{8eba5ca2-b0d8-4924-a791-f8bfc716a545}" ref="C11">
      <text>
        <t xml:space="preserve">[Threaded comment]
 Your version of Excel allows you to read this threaded comment; however, any edits to it will get removed if the file is opened in a newer version of Excel. Learn more: https://go.microsoft.com/fwlink/?linkid=870924
Comment:
	177000 paid to SLYDS
</t>
      </text>
    </comment>
    <comment authorId="12" xr:uid="{b2099cfa-3538-42f1-aefc-63c0ef38b691}" ref="F14">
      <text>
        <t xml:space="preserve">[Threaded comment]
 Your version of Excel allows you to read this threaded comment; however, any edits to it will get removed if the file is opened in a newer version of Excel. Learn more: https://go.microsoft.com/fwlink/?linkid=870924
Comment:
	108037 Paid to Keka Aug 25 to Oct 25
</t>
      </text>
    </comment>
    <comment authorId="13" xr:uid="{b5b177e1-8df8-4be9-b4b6-f5c2b5ba560d}" ref="E11">
      <text>
        <t xml:space="preserve">[Threaded comment]
 Your version of Excel allows you to read this threaded comment; however, any edits to it will get removed if the file is opened in a newer version of Excel. Learn more: https://go.microsoft.com/fwlink/?linkid=870924
Comment:
	53100 paid to GSeven
62500 paid to SLYDS
206500 paid to Khaitan &amp; Co
</t>
      </text>
    </comment>
    <comment authorId="14" xr:uid="{e1d56258-b283-4183-978d-b8cd08a25859}" ref="F17">
      <text>
        <t xml:space="preserve">[Threaded comment]
 Your version of Excel allows you to read this threaded comment; however, any edits to it will get removed if the file is opened in a newer version of Excel. Learn more: https://go.microsoft.com/fwlink/?linkid=870924
Comment:
	27258 Paid to Frontlyne
25000 Paid to Google
</t>
      </text>
    </comment>
    <comment authorId="15" xr:uid="{ea120583-ee7d-4797-b726-15878787eed2}" ref="E17">
      <text>
        <t xml:space="preserve">[Threaded comment]
 Your version of Excel allows you to read this threaded comment; however, any edits to it will get removed if the file is opened in a newer version of Excel. Learn more: https://go.microsoft.com/fwlink/?linkid=870924
Comment:
	27258 Paid to Frontlyne
</t>
      </text>
    </comment>
  </commentList>
</comments>
</file>

<file path=xl/sharedStrings.xml><?xml version="1.0" encoding="utf-8"?>
<sst xmlns="http://schemas.openxmlformats.org/spreadsheetml/2006/main" count="720" uniqueCount="139">
  <si>
    <t>Dosa Coffee - Salt Lake JC 21</t>
  </si>
  <si>
    <t>F</t>
  </si>
  <si>
    <t>Dosa Coffee - Kolkata</t>
  </si>
  <si>
    <t>Dosa Coffee - Forum Mall</t>
  </si>
  <si>
    <t>Department</t>
  </si>
  <si>
    <t>FY 2025-26</t>
  </si>
  <si>
    <t>Food Cost Calculation</t>
  </si>
  <si>
    <t>Opening Stock</t>
  </si>
  <si>
    <t>Procurement</t>
  </si>
  <si>
    <t>Purchases Food (Less Purchase Return)</t>
  </si>
  <si>
    <t>Transferred Out</t>
  </si>
  <si>
    <t>Wastage &amp; Date Expired</t>
  </si>
  <si>
    <t>Closing Stock</t>
  </si>
  <si>
    <t>Gross Revenue</t>
  </si>
  <si>
    <t>Catering &amp; Fairs</t>
  </si>
  <si>
    <t>Less Tax</t>
  </si>
  <si>
    <t>Less: Tax</t>
  </si>
  <si>
    <t>Less Commission</t>
  </si>
  <si>
    <t>Less: Commission</t>
  </si>
  <si>
    <t>Net Revenues from F&amp;B Sales</t>
  </si>
  <si>
    <t>F&amp;B Cost</t>
  </si>
  <si>
    <t>Electricity</t>
  </si>
  <si>
    <t>Telephone/Internet</t>
  </si>
  <si>
    <t>Gas</t>
  </si>
  <si>
    <t>Rent &amp; Revenue Share</t>
  </si>
  <si>
    <t>Software</t>
  </si>
  <si>
    <t>Staff Salary &amp; Bonus</t>
  </si>
  <si>
    <t>AMC</t>
  </si>
  <si>
    <t>Subscription</t>
  </si>
  <si>
    <t>Insurance Premium</t>
  </si>
  <si>
    <t>Repairs &amp; Maintenance</t>
  </si>
  <si>
    <t>Miscellaneous Expenses</t>
  </si>
  <si>
    <t>CAM</t>
  </si>
  <si>
    <t>HO+CK Cost</t>
  </si>
  <si>
    <t>Operating Expenses</t>
  </si>
  <si>
    <t>Store Level EBITDA</t>
  </si>
  <si>
    <t>Food Cost</t>
  </si>
  <si>
    <t>Dosa Coffee - Mani Square Mall</t>
  </si>
  <si>
    <t>Operation</t>
  </si>
  <si>
    <t>Dosa Coffee - Lake Town</t>
  </si>
  <si>
    <t>Dosa Coffee - Rosedale Plaza</t>
  </si>
  <si>
    <t>Commission %</t>
  </si>
  <si>
    <t>Staff Salary</t>
  </si>
  <si>
    <t>Average</t>
  </si>
  <si>
    <t>Dosa Coffee - CSC</t>
  </si>
  <si>
    <t>Dosa Coffee - Technopolis</t>
  </si>
  <si>
    <t>Dosa Coffee - Forum Rangoli</t>
  </si>
  <si>
    <t xml:space="preserve">Staff Salary </t>
  </si>
  <si>
    <t>Accounts</t>
  </si>
  <si>
    <t>Dosa Coffee - Jameslong Sarani</t>
  </si>
  <si>
    <t>HR</t>
  </si>
  <si>
    <t>Dosa Coffee - Sector 1</t>
  </si>
  <si>
    <t>Dosa Coffee - Santoshpur</t>
  </si>
  <si>
    <t>Insurance</t>
  </si>
  <si>
    <t>Development</t>
  </si>
  <si>
    <t>Dosa Coffee - Chinar Park</t>
  </si>
  <si>
    <t>Dosa Coffee - Kalikapur</t>
  </si>
  <si>
    <t>ADs Account</t>
  </si>
  <si>
    <t>EBIDTA Margin %</t>
  </si>
  <si>
    <t>Dosa Coffee - Lake Road</t>
  </si>
  <si>
    <t>Dosa Coffee - Quest Mall</t>
  </si>
  <si>
    <t>Dosa Coffee - Event Sales</t>
  </si>
  <si>
    <t>Staff Incentives</t>
  </si>
  <si>
    <t>Depriciation (2%) + Interest (1%)</t>
  </si>
  <si>
    <t>P/L</t>
  </si>
  <si>
    <t>Capital Deployed</t>
  </si>
  <si>
    <t>FY 2024-25</t>
  </si>
  <si>
    <t>FY 25-26</t>
  </si>
  <si>
    <t>Advertisement &amp; Promotion</t>
  </si>
  <si>
    <t>- Social Media &amp; Marketing Expenses</t>
  </si>
  <si>
    <t>- Influencers</t>
  </si>
  <si>
    <t>- Photo and Video Shoot Expenses</t>
  </si>
  <si>
    <t>- Facebook Expenses</t>
  </si>
  <si>
    <t>- Zomato</t>
  </si>
  <si>
    <t>- Swiggy</t>
  </si>
  <si>
    <t>Head Office Expenses</t>
  </si>
  <si>
    <t>- Klarus Tech</t>
  </si>
  <si>
    <t>- Reelo Technologies</t>
  </si>
  <si>
    <t>Central Kitchen Expenses</t>
  </si>
  <si>
    <t>Consumption</t>
  </si>
  <si>
    <t>- Others</t>
  </si>
  <si>
    <t>Wastage</t>
  </si>
  <si>
    <t>Total</t>
  </si>
  <si>
    <t>Corporate Level Costs</t>
  </si>
  <si>
    <t>General Expenses</t>
  </si>
  <si>
    <t>Telephone Expenses</t>
  </si>
  <si>
    <t>Head Office Salary &amp; Bonus</t>
  </si>
  <si>
    <t>Insurance &amp; licenses</t>
  </si>
  <si>
    <t>Rent &amp; CAM</t>
  </si>
  <si>
    <t>Leave Encashment</t>
  </si>
  <si>
    <t xml:space="preserve">Motor Car Expenses &amp; Fuel </t>
  </si>
  <si>
    <t>Office Expenses</t>
  </si>
  <si>
    <t>Professional and Consultancy Fees</t>
  </si>
  <si>
    <t>Staff Welfare</t>
  </si>
  <si>
    <t>Membership &amp; Subscription</t>
  </si>
  <si>
    <t>Printing &amp; Stationary</t>
  </si>
  <si>
    <t>Repair &amp; Maintenance</t>
  </si>
  <si>
    <t>Software Charges</t>
  </si>
  <si>
    <t>Conveyance</t>
  </si>
  <si>
    <t>Transport Charges</t>
  </si>
  <si>
    <t>Staff Incentive</t>
  </si>
  <si>
    <t>Staff Food &amp; Perks</t>
  </si>
  <si>
    <t>Subscription Fees</t>
  </si>
  <si>
    <t xml:space="preserve"> </t>
  </si>
  <si>
    <t>Transportation and Labour</t>
  </si>
  <si>
    <t>Travelling and Conveyance</t>
  </si>
  <si>
    <t>Other Sales</t>
  </si>
  <si>
    <t>Total HO Expenses</t>
  </si>
  <si>
    <t>Apr'2025</t>
  </si>
  <si>
    <t>% Sales Dist</t>
  </si>
  <si>
    <t>% Dist (HO)</t>
  </si>
  <si>
    <t>May'2025</t>
  </si>
  <si>
    <t>June'2025</t>
  </si>
  <si>
    <t>July'2025</t>
  </si>
  <si>
    <t>Ideal Plaza</t>
  </si>
  <si>
    <t>Salt Lake JC-21</t>
  </si>
  <si>
    <t>Forum Mall</t>
  </si>
  <si>
    <t>Lake Town</t>
  </si>
  <si>
    <t>Quest Mall</t>
  </si>
  <si>
    <t>Rosedale Plaza</t>
  </si>
  <si>
    <t>Mani Square Mall</t>
  </si>
  <si>
    <t>Forum Rangoli</t>
  </si>
  <si>
    <t>CSC</t>
  </si>
  <si>
    <t>Jameslong Sarani</t>
  </si>
  <si>
    <t>Technopolis</t>
  </si>
  <si>
    <t>Santoshpur</t>
  </si>
  <si>
    <t>Chinar Park</t>
  </si>
  <si>
    <t>Sector 1</t>
  </si>
  <si>
    <t>Lake Road</t>
  </si>
  <si>
    <t>Kalikapur</t>
  </si>
  <si>
    <t>Event Sales</t>
  </si>
  <si>
    <t>Aug'2025</t>
  </si>
  <si>
    <t>Sep'2025</t>
  </si>
  <si>
    <t>Oct'2025</t>
  </si>
  <si>
    <t>Nov'2025</t>
  </si>
  <si>
    <t>Dec'2025</t>
  </si>
  <si>
    <t>Jan'2026</t>
  </si>
  <si>
    <t>Feb'2026</t>
  </si>
  <si>
    <t>Mar''2026</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</si>
</sst>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mm&quot;,&quot;yy"/>
    <numFmt numFmtId="165" formatCode="_(* #,##0.00_);_(* \(#,##0.00\);_(* &quot;-&quot;??_);_(@_)"/>
    <numFmt numFmtId="166" formatCode="_(* #,##0.00_);_(* \(#,##0.00\);_(* &quot;-&quot;??.0_);_(@_)"/>
    <numFmt numFmtId="167" formatCode="_(* #,##0_);_(* \(#,##0\);_(* &quot;-&quot;??_);_(@_)"/>
    <numFmt numFmtId="168" formatCode="mmm d"/>
  </numFmts>
  <fonts count="12">
    <font>
      <sz val="10.0"/>
      <color rgb="FF000000"/>
      <name val="Arial"/>
      <scheme val="minor"/>
    </font>
    <font>
      <b/>
      <sz val="9.0"/>
      <color theme="1"/>
      <name val="Arial"/>
    </font>
    <font/>
    <font>
      <sz val="9.0"/>
      <color theme="1"/>
      <name val="Arial"/>
    </font>
    <font>
      <sz val="9.0"/>
      <color theme="1"/>
      <name val="Arial"/>
      <scheme val="minor"/>
    </font>
    <font>
      <color theme="1"/>
      <name val="Arial"/>
    </font>
    <font>
      <color theme="1"/>
      <name val="Arial"/>
      <scheme val="minor"/>
    </font>
    <font>
      <sz val="9.0"/>
      <color rgb="FF000000"/>
      <name val="Tahoma"/>
    </font>
    <font>
      <b/>
      <u/>
      <sz val="9.0"/>
      <color theme="1"/>
      <name val="Arial"/>
    </font>
    <font>
      <sz val="10.0"/>
      <color theme="1"/>
      <name val="Arial"/>
    </font>
    <font>
      <b/>
      <u/>
      <color theme="1"/>
      <name val="Arial"/>
      <scheme val="minor"/>
    </font>
    <font>
      <b/>
      <color theme="1"/>
      <name val="Arial"/>
    </font>
  </fonts>
  <fills count="10">
    <fill>
      <patternFill patternType="none"/>
    </fill>
    <fill>
      <patternFill patternType="lightGray"/>
    </fill>
    <fill>
      <patternFill patternType="solid">
        <fgColor rgb="FFFFFF00"/>
        <bgColor rgb="FFFFFF00"/>
      </patternFill>
    </fill>
    <fill>
      <patternFill patternType="solid">
        <fgColor rgb="FFF4CCCC"/>
        <bgColor rgb="FFF4CCCC"/>
      </patternFill>
    </fill>
    <fill>
      <patternFill patternType="solid">
        <fgColor rgb="FFFFFFFF"/>
        <bgColor rgb="FFFFFFFF"/>
      </patternFill>
    </fill>
    <fill>
      <patternFill patternType="solid">
        <fgColor rgb="FFE6B8AF"/>
        <bgColor rgb="FFE6B8AF"/>
      </patternFill>
    </fill>
    <fill>
      <patternFill patternType="solid">
        <fgColor rgb="FFFFF2CC"/>
        <bgColor rgb="FFFFF2CC"/>
      </patternFill>
    </fill>
    <fill>
      <patternFill patternType="solid">
        <fgColor rgb="FFB6D7A8"/>
        <bgColor rgb="FFB6D7A8"/>
      </patternFill>
    </fill>
    <fill>
      <patternFill patternType="solid">
        <fgColor rgb="FF00FFFF"/>
        <bgColor rgb="FF00FFFF"/>
      </patternFill>
    </fill>
    <fill>
      <patternFill patternType="solid">
        <fgColor rgb="FFEFEFEF"/>
        <bgColor rgb="FFEFEFEF"/>
      </patternFill>
    </fill>
  </fills>
  <borders count="7">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bottom style="thin">
        <color rgb="FF000000"/>
      </bottom>
    </border>
  </borders>
  <cellStyleXfs count="1">
    <xf borderId="0" fillId="0" fontId="0" numFmtId="0" applyAlignment="1" applyFont="1"/>
  </cellStyleXfs>
  <cellXfs count="177">
    <xf borderId="0" fillId="0" fontId="0" numFmtId="0" xfId="0" applyAlignment="1" applyFont="1">
      <alignment readingOrder="0" shrinkToFit="0" vertical="bottom" wrapText="0"/>
    </xf>
    <xf borderId="1" fillId="0" fontId="1" numFmtId="0" xfId="0" applyAlignment="1" applyBorder="1" applyFont="1">
      <alignment horizontal="center" readingOrder="0" vertical="bottom"/>
    </xf>
    <xf borderId="1" fillId="0" fontId="1" numFmtId="164" xfId="0" applyAlignment="1" applyBorder="1" applyFont="1" applyNumberFormat="1">
      <alignment horizontal="center" readingOrder="0" vertical="bottom"/>
    </xf>
    <xf borderId="1" fillId="0" fontId="1" numFmtId="0" xfId="0" applyAlignment="1" applyBorder="1" applyFont="1">
      <alignment horizontal="center" vertical="bottom"/>
    </xf>
    <xf borderId="2" fillId="0" fontId="1" numFmtId="164" xfId="0" applyAlignment="1" applyBorder="1" applyFont="1" applyNumberFormat="1">
      <alignment horizontal="center" readingOrder="0" vertical="bottom"/>
    </xf>
    <xf borderId="3" fillId="2" fontId="1" numFmtId="0" xfId="0" applyAlignment="1" applyBorder="1" applyFill="1" applyFont="1">
      <alignment horizontal="center" readingOrder="0" vertical="bottom"/>
    </xf>
    <xf borderId="2" fillId="0" fontId="2" numFmtId="0" xfId="0" applyBorder="1" applyFont="1"/>
    <xf borderId="1" fillId="3" fontId="1" numFmtId="0" xfId="0" applyAlignment="1" applyBorder="1" applyFill="1" applyFont="1">
      <alignment vertical="bottom"/>
    </xf>
    <xf borderId="1" fillId="3" fontId="3" numFmtId="0" xfId="0" applyAlignment="1" applyBorder="1" applyFill="1" applyFont="1">
      <alignment vertical="bottom"/>
    </xf>
    <xf borderId="0" fillId="0" fontId="3" numFmtId="0" xfId="0" applyAlignment="1" applyFont="1">
      <alignment vertical="bottom"/>
    </xf>
    <xf borderId="2" fillId="3" fontId="3" numFmtId="0" xfId="0" applyAlignment="1" applyBorder="1" applyFill="1" applyFont="1">
      <alignment vertical="bottom"/>
    </xf>
    <xf borderId="1" fillId="4" fontId="3" numFmtId="0" xfId="0" applyAlignment="1" applyBorder="1" applyFill="1" applyFont="1">
      <alignment vertical="bottom"/>
    </xf>
    <xf borderId="1" fillId="0" fontId="4" numFmtId="4" xfId="0" applyAlignment="1" applyBorder="1" applyFont="1" applyNumberFormat="1">
      <alignment readingOrder="0"/>
    </xf>
    <xf borderId="1" fillId="0" fontId="3" numFmtId="4" xfId="0" applyAlignment="1" applyBorder="1" applyFont="1" applyNumberFormat="1">
      <alignment horizontal="right" vertical="bottom"/>
    </xf>
    <xf borderId="1" fillId="0" fontId="3" numFmtId="3" xfId="0" applyAlignment="1" applyBorder="1" applyFont="1" applyNumberFormat="1">
      <alignment horizontal="right" vertical="bottom"/>
    </xf>
    <xf borderId="1" fillId="2" fontId="1" numFmtId="3" xfId="0" applyAlignment="1" applyBorder="1" applyFill="1" applyFont="1" applyNumberFormat="1">
      <alignment horizontal="right" vertical="bottom"/>
    </xf>
    <xf borderId="1" fillId="0" fontId="3" numFmtId="4" xfId="0" applyAlignment="1" applyBorder="1" applyFont="1" applyNumberFormat="1">
      <alignment horizontal="right" readingOrder="0" vertical="bottom"/>
    </xf>
    <xf borderId="1" fillId="0" fontId="3" numFmtId="3" xfId="0" applyAlignment="1" applyBorder="1" applyFont="1" applyNumberFormat="1">
      <alignment horizontal="right" readingOrder="0" vertical="bottom"/>
    </xf>
    <xf borderId="1" fillId="2" fontId="3" numFmtId="10" xfId="0" applyAlignment="1" applyBorder="1" applyFill="1" applyFont="1" applyNumberFormat="1">
      <alignment vertical="bottom"/>
    </xf>
    <xf borderId="1" fillId="4" fontId="3" numFmtId="0" xfId="0" applyAlignment="1" applyBorder="1" applyFill="1" applyFont="1">
      <alignment shrinkToFit="0" vertical="bottom" wrapText="1"/>
    </xf>
    <xf borderId="1" fillId="4" fontId="3" numFmtId="0" xfId="0" applyAlignment="1" applyBorder="1" applyFill="1" applyFont="1">
      <alignment readingOrder="0" shrinkToFit="0" vertical="bottom" wrapText="1"/>
    </xf>
    <xf borderId="1" fillId="3" fontId="1" numFmtId="0" xfId="0" applyAlignment="1" applyBorder="1" applyFill="1" applyFont="1">
      <alignment shrinkToFit="0" vertical="bottom" wrapText="1"/>
    </xf>
    <xf borderId="1" fillId="3" fontId="1" numFmtId="3" xfId="0" applyAlignment="1" applyBorder="1" applyFill="1" applyFont="1" applyNumberFormat="1">
      <alignment horizontal="right" shrinkToFit="0" vertical="bottom" wrapText="1"/>
    </xf>
    <xf borderId="2" fillId="3" fontId="1" numFmtId="3" xfId="0" applyAlignment="1" applyBorder="1" applyFill="1" applyFont="1" applyNumberFormat="1">
      <alignment horizontal="right" shrinkToFit="0" vertical="bottom" wrapText="1"/>
    </xf>
    <xf borderId="1" fillId="3" fontId="1" numFmtId="10" xfId="0" applyAlignment="1" applyBorder="1" applyFill="1" applyFont="1" applyNumberFormat="1">
      <alignment horizontal="right" shrinkToFit="0" vertical="bottom" wrapText="1"/>
    </xf>
    <xf borderId="1" fillId="4" fontId="3" numFmtId="10" xfId="0" applyAlignment="1" applyBorder="1" applyFill="1" applyFont="1" applyNumberFormat="1">
      <alignment vertical="bottom"/>
    </xf>
    <xf borderId="1" fillId="0" fontId="4" numFmtId="165" xfId="0" applyBorder="1" applyFont="1" applyNumberFormat="1"/>
    <xf borderId="1" fillId="2" fontId="1" numFmtId="10" xfId="0" applyAlignment="1" applyBorder="1" applyFill="1" applyFont="1" applyNumberFormat="1">
      <alignment horizontal="right" vertical="bottom"/>
    </xf>
    <xf borderId="1" fillId="0" fontId="4" numFmtId="165" xfId="0" applyAlignment="1" applyBorder="1" applyFont="1" applyNumberFormat="1">
      <alignment readingOrder="0"/>
    </xf>
    <xf borderId="1" fillId="0" fontId="4" numFmtId="3" xfId="0" applyAlignment="1" applyBorder="1" applyFont="1" applyNumberFormat="1">
      <alignment readingOrder="0"/>
    </xf>
    <xf borderId="1" fillId="2" fontId="3" numFmtId="3" xfId="0" applyAlignment="1" applyBorder="1" applyFill="1" applyFont="1" applyNumberFormat="1">
      <alignment horizontal="right" readingOrder="0" vertical="bottom"/>
    </xf>
    <xf borderId="0" fillId="0" fontId="3" numFmtId="165" xfId="0" applyAlignment="1" applyFont="1" applyNumberFormat="1">
      <alignment vertical="bottom"/>
    </xf>
    <xf borderId="1" fillId="4" fontId="3" numFmtId="0" xfId="0" applyAlignment="1" applyBorder="1" applyFill="1" applyFont="1">
      <alignment readingOrder="0" vertical="bottom"/>
    </xf>
    <xf borderId="1" fillId="0" fontId="3" numFmtId="3" xfId="0" applyAlignment="1" applyBorder="1" applyFont="1" applyNumberFormat="1">
      <alignment readingOrder="0" vertical="bottom"/>
    </xf>
    <xf borderId="1" fillId="0" fontId="3" numFmtId="3" xfId="0" applyAlignment="1" applyBorder="1" applyFont="1" applyNumberFormat="1">
      <alignment vertical="bottom"/>
    </xf>
    <xf borderId="1" fillId="5" fontId="1" numFmtId="0" xfId="0" applyAlignment="1" applyBorder="1" applyFill="1" applyFont="1">
      <alignment shrinkToFit="0" vertical="bottom" wrapText="1"/>
    </xf>
    <xf borderId="1" fillId="5" fontId="1" numFmtId="3" xfId="0" applyAlignment="1" applyBorder="1" applyFill="1" applyFont="1" applyNumberFormat="1">
      <alignment horizontal="right" shrinkToFit="0" vertical="bottom" wrapText="1"/>
    </xf>
    <xf borderId="2" fillId="5" fontId="1" numFmtId="3" xfId="0" applyAlignment="1" applyBorder="1" applyFill="1" applyFont="1" applyNumberFormat="1">
      <alignment horizontal="right" shrinkToFit="0" vertical="bottom" wrapText="1"/>
    </xf>
    <xf borderId="1" fillId="5" fontId="1" numFmtId="10" xfId="0" applyAlignment="1" applyBorder="1" applyFill="1" applyFont="1" applyNumberFormat="1">
      <alignment horizontal="right" shrinkToFit="0" vertical="bottom" wrapText="1"/>
    </xf>
    <xf borderId="1" fillId="6" fontId="1" numFmtId="0" xfId="0" applyAlignment="1" applyBorder="1" applyFill="1" applyFont="1">
      <alignment shrinkToFit="0" vertical="bottom" wrapText="1"/>
    </xf>
    <xf borderId="1" fillId="6" fontId="1" numFmtId="165" xfId="0" applyAlignment="1" applyBorder="1" applyFill="1" applyFont="1" applyNumberFormat="1">
      <alignment horizontal="right" shrinkToFit="0" vertical="bottom" wrapText="1"/>
    </xf>
    <xf borderId="1" fillId="6" fontId="1" numFmtId="10" xfId="0" applyAlignment="1" applyBorder="1" applyFill="1" applyFont="1" applyNumberFormat="1">
      <alignment horizontal="right" shrinkToFit="0" vertical="bottom" wrapText="1"/>
    </xf>
    <xf borderId="1" fillId="7" fontId="1" numFmtId="0" xfId="0" applyAlignment="1" applyBorder="1" applyFill="1" applyFont="1">
      <alignment shrinkToFit="0" vertical="bottom" wrapText="1"/>
    </xf>
    <xf borderId="1" fillId="7" fontId="1" numFmtId="10" xfId="0" applyAlignment="1" applyBorder="1" applyFill="1" applyFont="1" applyNumberFormat="1">
      <alignment horizontal="right" shrinkToFit="0" vertical="bottom" wrapText="1"/>
    </xf>
    <xf borderId="2" fillId="7" fontId="1" numFmtId="10" xfId="0" applyAlignment="1" applyBorder="1" applyFill="1" applyFont="1" applyNumberFormat="1">
      <alignment horizontal="right" shrinkToFit="0" vertical="bottom" wrapText="1"/>
    </xf>
    <xf borderId="1" fillId="7" fontId="3" numFmtId="10" xfId="0" applyAlignment="1" applyBorder="1" applyFill="1" applyFont="1" applyNumberFormat="1">
      <alignment vertical="bottom"/>
    </xf>
    <xf borderId="0" fillId="0" fontId="4" numFmtId="165" xfId="0" applyFont="1" applyNumberFormat="1"/>
    <xf borderId="0" fillId="0" fontId="3" numFmtId="0" xfId="0" applyAlignment="1" applyFont="1">
      <alignment readingOrder="0" vertical="bottom"/>
    </xf>
    <xf borderId="0" fillId="0" fontId="3" numFmtId="10" xfId="0" applyAlignment="1" applyFont="1" applyNumberFormat="1">
      <alignment horizontal="right" vertical="bottom"/>
    </xf>
    <xf borderId="0" fillId="0" fontId="3" numFmtId="3" xfId="0" applyAlignment="1" applyFont="1" applyNumberFormat="1">
      <alignment horizontal="right" vertical="bottom"/>
    </xf>
    <xf borderId="0" fillId="0" fontId="4" numFmtId="10" xfId="0" applyFont="1" applyNumberFormat="1"/>
    <xf borderId="0" fillId="0" fontId="3" numFmtId="3" xfId="0" applyAlignment="1" applyFont="1" applyNumberFormat="1">
      <alignment horizontal="right" readingOrder="0" vertical="bottom"/>
    </xf>
    <xf borderId="3" fillId="2" fontId="1" numFmtId="0" xfId="0" applyAlignment="1" applyBorder="1" applyFill="1" applyFont="1">
      <alignment horizontal="center" vertical="bottom"/>
    </xf>
    <xf borderId="1" fillId="3" fontId="5" numFmtId="0" xfId="0" applyAlignment="1" applyBorder="1" applyFill="1" applyFont="1">
      <alignment vertical="bottom"/>
    </xf>
    <xf borderId="1" fillId="2" fontId="5" numFmtId="3" xfId="0" applyAlignment="1" applyBorder="1" applyFill="1" applyFont="1" applyNumberFormat="1">
      <alignment vertical="bottom"/>
    </xf>
    <xf borderId="1" fillId="3" fontId="3" numFmtId="4" xfId="0" applyAlignment="1" applyBorder="1" applyFill="1" applyFont="1" applyNumberFormat="1">
      <alignment vertical="bottom"/>
    </xf>
    <xf borderId="1" fillId="2" fontId="4" numFmtId="165" xfId="0" applyAlignment="1" applyBorder="1" applyFill="1" applyFont="1" applyNumberFormat="1">
      <alignment readingOrder="0"/>
    </xf>
    <xf borderId="1" fillId="2" fontId="4" numFmtId="165" xfId="0" applyBorder="1" applyFill="1" applyFont="1" applyNumberFormat="1"/>
    <xf borderId="1" fillId="3" fontId="1" numFmtId="4" xfId="0" applyAlignment="1" applyBorder="1" applyFill="1" applyFont="1" applyNumberFormat="1">
      <alignment horizontal="right" shrinkToFit="0" vertical="bottom" wrapText="1"/>
    </xf>
    <xf borderId="1" fillId="3" fontId="5" numFmtId="10" xfId="0" applyAlignment="1" applyBorder="1" applyFill="1" applyFont="1" applyNumberFormat="1">
      <alignment vertical="bottom"/>
    </xf>
    <xf borderId="1" fillId="0" fontId="4" numFmtId="4" xfId="0" applyBorder="1" applyFont="1" applyNumberFormat="1"/>
    <xf borderId="0" fillId="0" fontId="3" numFmtId="4" xfId="0" applyAlignment="1" applyFont="1" applyNumberFormat="1">
      <alignment horizontal="right" vertical="bottom"/>
    </xf>
    <xf borderId="1" fillId="2" fontId="1" numFmtId="0" xfId="0" applyAlignment="1" applyBorder="1" applyFill="1" applyFont="1">
      <alignment readingOrder="0" shrinkToFit="0" vertical="bottom" wrapText="1"/>
    </xf>
    <xf borderId="1" fillId="4" fontId="1" numFmtId="10" xfId="0" applyAlignment="1" applyBorder="1" applyFill="1" applyFont="1" applyNumberFormat="1">
      <alignment horizontal="right" vertical="bottom"/>
    </xf>
    <xf borderId="0" fillId="0" fontId="1" numFmtId="0" xfId="0" applyAlignment="1" applyFont="1">
      <alignment vertical="bottom"/>
    </xf>
    <xf borderId="1" fillId="5" fontId="1" numFmtId="4" xfId="0" applyAlignment="1" applyBorder="1" applyFill="1" applyFont="1" applyNumberFormat="1">
      <alignment horizontal="right" shrinkToFit="0" vertical="bottom" wrapText="1"/>
    </xf>
    <xf borderId="0" fillId="0" fontId="1" numFmtId="4" xfId="0" applyAlignment="1" applyFont="1" applyNumberFormat="1">
      <alignment horizontal="right" readingOrder="0" vertical="bottom"/>
    </xf>
    <xf borderId="1" fillId="4" fontId="3" numFmtId="3" xfId="0" applyAlignment="1" applyBorder="1" applyFill="1" applyFont="1" applyNumberFormat="1">
      <alignment horizontal="right" vertical="bottom"/>
    </xf>
    <xf borderId="0" fillId="0" fontId="3" numFmtId="3" xfId="0" applyAlignment="1" applyFont="1" applyNumberFormat="1">
      <alignment vertical="bottom"/>
    </xf>
    <xf borderId="0" fillId="0" fontId="5" numFmtId="10" xfId="0" applyAlignment="1" applyFont="1" applyNumberFormat="1">
      <alignment vertical="bottom"/>
    </xf>
    <xf borderId="1" fillId="7" fontId="5" numFmtId="10" xfId="0" applyAlignment="1" applyBorder="1" applyFill="1" applyFont="1" applyNumberFormat="1">
      <alignment vertical="bottom"/>
    </xf>
    <xf borderId="0" fillId="0" fontId="6" numFmtId="0" xfId="0" applyAlignment="1" applyFont="1">
      <alignment readingOrder="0"/>
    </xf>
    <xf borderId="1" fillId="2" fontId="3" numFmtId="3" xfId="0" applyAlignment="1" applyBorder="1" applyFill="1" applyFont="1" applyNumberFormat="1">
      <alignment horizontal="right" vertical="bottom"/>
    </xf>
    <xf borderId="1" fillId="0" fontId="7" numFmtId="3" xfId="0" applyAlignment="1" applyBorder="1" applyFont="1" applyNumberFormat="1">
      <alignment readingOrder="0" shrinkToFit="0" vertical="bottom" wrapText="0"/>
    </xf>
    <xf borderId="1" fillId="3" fontId="5" numFmtId="10" xfId="0" applyAlignment="1" applyBorder="1" applyFill="1" applyFont="1" applyNumberFormat="1">
      <alignment horizontal="right" vertical="bottom"/>
    </xf>
    <xf borderId="4" fillId="0" fontId="3" numFmtId="0" xfId="0" applyAlignment="1" applyBorder="1" applyFont="1">
      <alignment readingOrder="0" vertical="bottom"/>
    </xf>
    <xf borderId="1" fillId="2" fontId="5" numFmtId="10" xfId="0" applyAlignment="1" applyBorder="1" applyFill="1" applyFont="1" applyNumberFormat="1">
      <alignment vertical="bottom"/>
    </xf>
    <xf borderId="1" fillId="2" fontId="5" numFmtId="3" xfId="0" applyAlignment="1" applyBorder="1" applyFill="1" applyFont="1" applyNumberFormat="1">
      <alignment horizontal="right" vertical="bottom"/>
    </xf>
    <xf borderId="4" fillId="0" fontId="3" numFmtId="165" xfId="0" applyAlignment="1" applyBorder="1" applyFont="1" applyNumberFormat="1">
      <alignment readingOrder="0" vertical="bottom"/>
    </xf>
    <xf borderId="4" fillId="0" fontId="3" numFmtId="4" xfId="0" applyAlignment="1" applyBorder="1" applyFont="1" applyNumberFormat="1">
      <alignment readingOrder="0" vertical="bottom"/>
    </xf>
    <xf borderId="0" fillId="4" fontId="1" numFmtId="165" xfId="0" applyAlignment="1" applyFill="1" applyFont="1" applyNumberFormat="1">
      <alignment horizontal="right" shrinkToFit="0" vertical="bottom" wrapText="1"/>
    </xf>
    <xf borderId="1" fillId="4" fontId="3" numFmtId="3" xfId="0" applyAlignment="1" applyBorder="1" applyFill="1" applyFont="1" applyNumberFormat="1">
      <alignment horizontal="right" readingOrder="0" vertical="bottom"/>
    </xf>
    <xf borderId="1" fillId="0" fontId="4" numFmtId="166" xfId="0" applyAlignment="1" applyBorder="1" applyFont="1" applyNumberFormat="1">
      <alignment readingOrder="0"/>
    </xf>
    <xf borderId="1" fillId="0" fontId="3" numFmtId="166" xfId="0" applyAlignment="1" applyBorder="1" applyFont="1" applyNumberFormat="1">
      <alignment horizontal="right" vertical="bottom"/>
    </xf>
    <xf borderId="1" fillId="0" fontId="3" numFmtId="166" xfId="0" applyAlignment="1" applyBorder="1" applyFont="1" applyNumberFormat="1">
      <alignment horizontal="right" readingOrder="0" vertical="bottom"/>
    </xf>
    <xf borderId="1" fillId="3" fontId="3" numFmtId="166" xfId="0" applyAlignment="1" applyBorder="1" applyFill="1" applyFont="1" applyNumberFormat="1">
      <alignment vertical="bottom"/>
    </xf>
    <xf borderId="1" fillId="5" fontId="3" numFmtId="0" xfId="0" applyAlignment="1" applyBorder="1" applyFill="1" applyFont="1">
      <alignment vertical="bottom"/>
    </xf>
    <xf borderId="0" fillId="0" fontId="1" numFmtId="3" xfId="0" applyAlignment="1" applyFont="1" applyNumberFormat="1">
      <alignment vertical="bottom"/>
    </xf>
    <xf borderId="1" fillId="6" fontId="3" numFmtId="165" xfId="0" applyAlignment="1" applyBorder="1" applyFill="1" applyFont="1" applyNumberFormat="1">
      <alignment vertical="bottom"/>
    </xf>
    <xf borderId="1" fillId="3" fontId="1" numFmtId="166" xfId="0" applyAlignment="1" applyBorder="1" applyFill="1" applyFont="1" applyNumberFormat="1">
      <alignment horizontal="right" shrinkToFit="0" vertical="bottom" wrapText="1"/>
    </xf>
    <xf borderId="1" fillId="2" fontId="1" numFmtId="10" xfId="0" applyAlignment="1" applyBorder="1" applyFill="1" applyFont="1" applyNumberFormat="1">
      <alignment horizontal="right" shrinkToFit="0" vertical="bottom" wrapText="1"/>
    </xf>
    <xf borderId="1" fillId="0" fontId="4" numFmtId="166" xfId="0" applyBorder="1" applyFont="1" applyNumberFormat="1"/>
    <xf borderId="0" fillId="0" fontId="3" numFmtId="167" xfId="0" applyAlignment="1" applyFont="1" applyNumberFormat="1">
      <alignment readingOrder="0" vertical="bottom"/>
    </xf>
    <xf borderId="0" fillId="0" fontId="3" numFmtId="10" xfId="0" applyAlignment="1" applyFont="1" applyNumberFormat="1">
      <alignment vertical="bottom"/>
    </xf>
    <xf borderId="0" fillId="0" fontId="3" numFmtId="4" xfId="0" applyAlignment="1" applyFont="1" applyNumberFormat="1">
      <alignment readingOrder="0" vertical="bottom"/>
    </xf>
    <xf borderId="0" fillId="0" fontId="1" numFmtId="0" xfId="0" applyAlignment="1" applyFont="1">
      <alignment readingOrder="0" vertical="bottom"/>
    </xf>
    <xf borderId="0" fillId="0" fontId="1" numFmtId="167" xfId="0" applyAlignment="1" applyFont="1" applyNumberFormat="1">
      <alignment readingOrder="0" vertical="bottom"/>
    </xf>
    <xf borderId="0" fillId="0" fontId="1" numFmtId="4" xfId="0" applyAlignment="1" applyFont="1" applyNumberFormat="1">
      <alignment readingOrder="0" vertical="bottom"/>
    </xf>
    <xf borderId="1" fillId="2" fontId="4" numFmtId="4" xfId="0" applyAlignment="1" applyBorder="1" applyFill="1" applyFont="1" applyNumberFormat="1">
      <alignment readingOrder="0"/>
    </xf>
    <xf borderId="3" fillId="8" fontId="1" numFmtId="0" xfId="0" applyAlignment="1" applyBorder="1" applyFill="1" applyFont="1">
      <alignment horizontal="center" readingOrder="0" vertical="bottom"/>
    </xf>
    <xf borderId="1" fillId="8" fontId="1" numFmtId="3" xfId="0" applyAlignment="1" applyBorder="1" applyFill="1" applyFont="1" applyNumberFormat="1">
      <alignment horizontal="right" vertical="bottom"/>
    </xf>
    <xf borderId="1" fillId="8" fontId="3" numFmtId="10" xfId="0" applyAlignment="1" applyBorder="1" applyFill="1" applyFont="1" applyNumberFormat="1">
      <alignment vertical="bottom"/>
    </xf>
    <xf borderId="0" fillId="0" fontId="6" numFmtId="10" xfId="0" applyFont="1" applyNumberFormat="1"/>
    <xf borderId="1" fillId="8" fontId="1" numFmtId="10" xfId="0" applyAlignment="1" applyBorder="1" applyFill="1" applyFont="1" applyNumberFormat="1">
      <alignment horizontal="right" vertical="bottom"/>
    </xf>
    <xf borderId="1" fillId="0" fontId="3" numFmtId="0" xfId="0" applyAlignment="1" applyBorder="1" applyFont="1">
      <alignment shrinkToFit="0" vertical="bottom" wrapText="1"/>
    </xf>
    <xf borderId="2" fillId="0" fontId="3" numFmtId="3" xfId="0" applyAlignment="1" applyBorder="1" applyFont="1" applyNumberFormat="1">
      <alignment vertical="bottom"/>
    </xf>
    <xf borderId="1" fillId="4" fontId="1" numFmtId="0" xfId="0" applyAlignment="1" applyBorder="1" applyFill="1" applyFont="1">
      <alignment shrinkToFit="0" vertical="bottom" wrapText="1"/>
    </xf>
    <xf borderId="1" fillId="4" fontId="1" numFmtId="165" xfId="0" applyAlignment="1" applyBorder="1" applyFill="1" applyFont="1" applyNumberFormat="1">
      <alignment horizontal="right" shrinkToFit="0" vertical="bottom" wrapText="1"/>
    </xf>
    <xf borderId="2" fillId="4" fontId="1" numFmtId="165" xfId="0" applyAlignment="1" applyBorder="1" applyFill="1" applyFont="1" applyNumberFormat="1">
      <alignment horizontal="right" shrinkToFit="0" vertical="bottom" wrapText="1"/>
    </xf>
    <xf borderId="1" fillId="0" fontId="1" numFmtId="4" xfId="0" applyAlignment="1" applyBorder="1" applyFont="1" applyNumberFormat="1">
      <alignment horizontal="center" shrinkToFit="0" vertical="bottom" wrapText="1"/>
    </xf>
    <xf borderId="1" fillId="0" fontId="5" numFmtId="4" xfId="0" applyAlignment="1" applyBorder="1" applyFont="1" applyNumberFormat="1">
      <alignment vertical="bottom"/>
    </xf>
    <xf borderId="1" fillId="0" fontId="5" numFmtId="0" xfId="0" applyAlignment="1" applyBorder="1" applyFont="1">
      <alignment vertical="bottom"/>
    </xf>
    <xf borderId="1" fillId="2" fontId="5" numFmtId="0" xfId="0" applyAlignment="1" applyBorder="1" applyFill="1" applyFont="1">
      <alignment vertical="bottom"/>
    </xf>
    <xf borderId="4" fillId="2" fontId="1" numFmtId="0" xfId="0" applyAlignment="1" applyBorder="1" applyFill="1" applyFont="1">
      <alignment horizontal="center" vertical="bottom"/>
    </xf>
    <xf borderId="1" fillId="3" fontId="1" numFmtId="4" xfId="0" applyAlignment="1" applyBorder="1" applyFill="1" applyFont="1" applyNumberFormat="1">
      <alignment vertical="bottom"/>
    </xf>
    <xf borderId="1" fillId="2" fontId="1" numFmtId="0" xfId="0" applyAlignment="1" applyBorder="1" applyFill="1" applyFont="1">
      <alignment horizontal="center" readingOrder="0" vertical="bottom"/>
    </xf>
    <xf borderId="1" fillId="3" fontId="5" numFmtId="4" xfId="0" applyAlignment="1" applyBorder="1" applyFill="1" applyFont="1" applyNumberFormat="1">
      <alignment vertical="bottom"/>
    </xf>
    <xf borderId="1" fillId="0" fontId="8" numFmtId="0" xfId="0" applyAlignment="1" applyBorder="1" applyFont="1">
      <alignment shrinkToFit="0" vertical="bottom" wrapText="1"/>
    </xf>
    <xf borderId="1" fillId="4" fontId="3" numFmtId="4" xfId="0" applyAlignment="1" applyBorder="1" applyFill="1" applyFont="1" applyNumberFormat="1">
      <alignment vertical="bottom"/>
    </xf>
    <xf borderId="1" fillId="0" fontId="9" numFmtId="3" xfId="0" applyAlignment="1" applyBorder="1" applyFont="1" applyNumberFormat="1">
      <alignment horizontal="right" vertical="bottom"/>
    </xf>
    <xf borderId="1" fillId="0" fontId="3" numFmtId="165" xfId="0" applyAlignment="1" applyBorder="1" applyFont="1" applyNumberFormat="1">
      <alignment horizontal="right" vertical="bottom"/>
    </xf>
    <xf quotePrefix="1" borderId="1" fillId="0" fontId="3" numFmtId="0" xfId="0" applyAlignment="1" applyBorder="1" applyFont="1">
      <alignment readingOrder="0" shrinkToFit="0" vertical="bottom" wrapText="1"/>
    </xf>
    <xf borderId="1" fillId="2" fontId="5" numFmtId="165" xfId="0" applyAlignment="1" applyBorder="1" applyFill="1" applyFont="1" applyNumberFormat="1">
      <alignment vertical="bottom"/>
    </xf>
    <xf borderId="1" fillId="0" fontId="5" numFmtId="3" xfId="0" applyAlignment="1" applyBorder="1" applyFont="1" applyNumberFormat="1">
      <alignment readingOrder="0" vertical="bottom"/>
    </xf>
    <xf borderId="1" fillId="4" fontId="5" numFmtId="3" xfId="0" applyAlignment="1" applyBorder="1" applyFill="1" applyFont="1" applyNumberFormat="1">
      <alignment readingOrder="0" vertical="bottom"/>
    </xf>
    <xf borderId="1" fillId="0" fontId="3" numFmtId="165" xfId="0" applyAlignment="1" applyBorder="1" applyFont="1" applyNumberFormat="1">
      <alignment horizontal="right" readingOrder="0" vertical="bottom"/>
    </xf>
    <xf borderId="1" fillId="0" fontId="5" numFmtId="3" xfId="0" applyAlignment="1" applyBorder="1" applyFont="1" applyNumberFormat="1">
      <alignment vertical="bottom"/>
    </xf>
    <xf borderId="1" fillId="4" fontId="5" numFmtId="3" xfId="0" applyAlignment="1" applyBorder="1" applyFill="1" applyFont="1" applyNumberFormat="1">
      <alignment vertical="bottom"/>
    </xf>
    <xf quotePrefix="1" borderId="1" fillId="0" fontId="3" numFmtId="0" xfId="0" applyAlignment="1" applyBorder="1" applyFont="1">
      <alignment shrinkToFit="0" vertical="bottom" wrapText="1"/>
    </xf>
    <xf borderId="1" fillId="2" fontId="3" numFmtId="165" xfId="0" applyAlignment="1" applyBorder="1" applyFill="1" applyFont="1" applyNumberFormat="1">
      <alignment horizontal="right" vertical="bottom"/>
    </xf>
    <xf borderId="0" fillId="0" fontId="6" numFmtId="4" xfId="0" applyFont="1" applyNumberFormat="1"/>
    <xf borderId="5" fillId="0" fontId="3" numFmtId="165" xfId="0" applyAlignment="1" applyBorder="1" applyFont="1" applyNumberFormat="1">
      <alignment horizontal="right" readingOrder="0" vertical="bottom"/>
    </xf>
    <xf borderId="5" fillId="0" fontId="3" numFmtId="165" xfId="0" applyAlignment="1" applyBorder="1" applyFont="1" applyNumberFormat="1">
      <alignment horizontal="right" vertical="bottom"/>
    </xf>
    <xf borderId="1" fillId="6" fontId="1" numFmtId="0" xfId="0" applyAlignment="1" applyBorder="1" applyFill="1" applyFont="1">
      <alignment readingOrder="0" shrinkToFit="0" vertical="bottom" wrapText="1"/>
    </xf>
    <xf borderId="0" fillId="0" fontId="6" numFmtId="4" xfId="0" applyAlignment="1" applyFont="1" applyNumberFormat="1">
      <alignment readingOrder="0"/>
    </xf>
    <xf borderId="1" fillId="6" fontId="1" numFmtId="164" xfId="0" applyAlignment="1" applyBorder="1" applyFill="1" applyFont="1" applyNumberFormat="1">
      <alignment horizontal="center" readingOrder="0" vertical="bottom"/>
    </xf>
    <xf borderId="5" fillId="3" fontId="5" numFmtId="4" xfId="0" applyAlignment="1" applyBorder="1" applyFill="1" applyFont="1" applyNumberFormat="1">
      <alignment vertical="bottom"/>
    </xf>
    <xf borderId="2" fillId="6" fontId="1" numFmtId="164" xfId="0" applyAlignment="1" applyBorder="1" applyFill="1" applyFont="1" applyNumberFormat="1">
      <alignment horizontal="center" readingOrder="0" vertical="bottom"/>
    </xf>
    <xf borderId="0" fillId="0" fontId="6" numFmtId="0" xfId="0" applyFont="1"/>
    <xf borderId="6" fillId="2" fontId="1" numFmtId="0" xfId="0" applyAlignment="1" applyBorder="1" applyFill="1" applyFont="1">
      <alignment horizontal="center" vertical="bottom"/>
    </xf>
    <xf borderId="4" fillId="0" fontId="2" numFmtId="0" xfId="0" applyBorder="1" applyFont="1"/>
    <xf borderId="1" fillId="0" fontId="3" numFmtId="4" xfId="0" applyAlignment="1" applyBorder="1" applyFont="1" applyNumberFormat="1">
      <alignment shrinkToFit="0" vertical="bottom" wrapText="1"/>
    </xf>
    <xf borderId="1" fillId="2" fontId="1" numFmtId="4" xfId="0" applyAlignment="1" applyBorder="1" applyFill="1" applyFont="1" applyNumberFormat="1">
      <alignment horizontal="right" vertical="bottom"/>
    </xf>
    <xf borderId="1" fillId="2" fontId="5" numFmtId="168" xfId="0" applyAlignment="1" applyBorder="1" applyFill="1" applyFont="1" applyNumberFormat="1">
      <alignment vertical="bottom"/>
    </xf>
    <xf borderId="1" fillId="0" fontId="3" numFmtId="0" xfId="0" applyAlignment="1" applyBorder="1" applyFont="1">
      <alignment readingOrder="0" shrinkToFit="0" vertical="bottom" wrapText="1"/>
    </xf>
    <xf borderId="0" fillId="0" fontId="10" numFmtId="0" xfId="0" applyAlignment="1" applyFont="1">
      <alignment readingOrder="0"/>
    </xf>
    <xf borderId="1" fillId="0" fontId="5" numFmtId="165" xfId="0" applyAlignment="1" applyBorder="1" applyFont="1" applyNumberFormat="1">
      <alignment vertical="bottom"/>
    </xf>
    <xf borderId="1" fillId="4" fontId="3" numFmtId="4" xfId="0" applyAlignment="1" applyBorder="1" applyFill="1" applyFont="1" applyNumberFormat="1">
      <alignment horizontal="right" vertical="bottom"/>
    </xf>
    <xf borderId="1" fillId="0" fontId="3" numFmtId="4" xfId="0" applyAlignment="1" applyBorder="1" applyFont="1" applyNumberFormat="1">
      <alignment readingOrder="0" shrinkToFit="0" vertical="bottom" wrapText="1"/>
    </xf>
    <xf borderId="1" fillId="0" fontId="3" numFmtId="4" xfId="0" applyAlignment="1" applyBorder="1" applyFont="1" applyNumberFormat="1">
      <alignment vertical="bottom"/>
    </xf>
    <xf borderId="1" fillId="2" fontId="3" numFmtId="165" xfId="0" applyAlignment="1" applyBorder="1" applyFill="1" applyFont="1" applyNumberFormat="1">
      <alignment horizontal="right" readingOrder="0" vertical="bottom"/>
    </xf>
    <xf borderId="1" fillId="5" fontId="1" numFmtId="4" xfId="0" applyAlignment="1" applyBorder="1" applyFill="1" applyFont="1" applyNumberFormat="1">
      <alignment shrinkToFit="0" vertical="bottom" wrapText="1"/>
    </xf>
    <xf borderId="1" fillId="2" fontId="3" numFmtId="4" xfId="0" applyAlignment="1" applyBorder="1" applyFill="1" applyFont="1" applyNumberFormat="1">
      <alignment horizontal="right" readingOrder="0" vertical="bottom"/>
    </xf>
    <xf borderId="0" fillId="0" fontId="3" numFmtId="165" xfId="0" applyAlignment="1" applyFont="1" applyNumberFormat="1">
      <alignment horizontal="right" vertical="bottom"/>
    </xf>
    <xf borderId="1" fillId="0" fontId="1" numFmtId="0" xfId="0" applyAlignment="1" applyBorder="1" applyFont="1">
      <alignment shrinkToFit="0" vertical="bottom" wrapText="1"/>
    </xf>
    <xf borderId="1" fillId="0" fontId="5" numFmtId="0" xfId="0" applyAlignment="1" applyBorder="1" applyFont="1">
      <alignment readingOrder="0" vertical="bottom"/>
    </xf>
    <xf borderId="1" fillId="0" fontId="3" numFmtId="4" xfId="0" applyAlignment="1" applyBorder="1" applyFont="1" applyNumberFormat="1">
      <alignment horizontal="right" readingOrder="0" shrinkToFit="0" vertical="bottom" wrapText="1"/>
    </xf>
    <xf borderId="1" fillId="2" fontId="5" numFmtId="4" xfId="0" applyAlignment="1" applyBorder="1" applyFill="1" applyFont="1" applyNumberFormat="1">
      <alignment vertical="bottom"/>
    </xf>
    <xf borderId="1" fillId="6" fontId="1" numFmtId="4" xfId="0" applyAlignment="1" applyBorder="1" applyFill="1" applyFont="1" applyNumberFormat="1">
      <alignment horizontal="right" shrinkToFit="0" vertical="bottom" wrapText="1"/>
    </xf>
    <xf borderId="1" fillId="6" fontId="11" numFmtId="4" xfId="0" applyAlignment="1" applyBorder="1" applyFill="1" applyFont="1" applyNumberFormat="1">
      <alignment vertical="bottom"/>
    </xf>
    <xf borderId="1" fillId="6" fontId="5" numFmtId="4" xfId="0" applyAlignment="1" applyBorder="1" applyFill="1" applyFont="1" applyNumberFormat="1">
      <alignment vertical="bottom"/>
    </xf>
    <xf borderId="0" fillId="0" fontId="5" numFmtId="0" xfId="0" applyAlignment="1" applyFont="1">
      <alignment vertical="bottom"/>
    </xf>
    <xf borderId="1" fillId="6" fontId="5" numFmtId="0" xfId="0" applyAlignment="1" applyBorder="1" applyFill="1" applyFont="1">
      <alignment vertical="bottom"/>
    </xf>
    <xf borderId="1" fillId="9" fontId="5" numFmtId="0" xfId="0" applyAlignment="1" applyBorder="1" applyFill="1" applyFont="1">
      <alignment vertical="bottom"/>
    </xf>
    <xf borderId="1" fillId="0" fontId="3" numFmtId="2" xfId="0" applyAlignment="1" applyBorder="1" applyFont="1" applyNumberFormat="1">
      <alignment horizontal="right" vertical="bottom"/>
    </xf>
    <xf borderId="1" fillId="0" fontId="3" numFmtId="10" xfId="0" applyAlignment="1" applyBorder="1" applyFont="1" applyNumberFormat="1">
      <alignment horizontal="right" vertical="bottom"/>
    </xf>
    <xf borderId="1" fillId="0" fontId="3" numFmtId="2" xfId="0" applyAlignment="1" applyBorder="1" applyFont="1" applyNumberFormat="1">
      <alignment horizontal="right" readingOrder="0" vertical="bottom"/>
    </xf>
    <xf borderId="1" fillId="9" fontId="5" numFmtId="2" xfId="0" applyAlignment="1" applyBorder="1" applyFill="1" applyFont="1" applyNumberFormat="1">
      <alignment vertical="bottom"/>
    </xf>
    <xf borderId="0" fillId="0" fontId="5" numFmtId="165" xfId="0" applyAlignment="1" applyFont="1" applyNumberFormat="1">
      <alignment horizontal="right" vertical="bottom"/>
    </xf>
    <xf borderId="1" fillId="0" fontId="3" numFmtId="0" xfId="0" applyAlignment="1" applyBorder="1" applyFont="1">
      <alignment readingOrder="0" vertical="bottom"/>
    </xf>
    <xf borderId="1" fillId="9" fontId="1" numFmtId="2" xfId="0" applyAlignment="1" applyBorder="1" applyFill="1" applyFont="1" applyNumberFormat="1">
      <alignment horizontal="right" vertical="bottom"/>
    </xf>
    <xf borderId="1" fillId="9" fontId="3" numFmtId="2" xfId="0" applyAlignment="1" applyBorder="1" applyFill="1" applyFont="1" applyNumberFormat="1">
      <alignment horizontal="right" vertical="bottom"/>
    </xf>
    <xf borderId="1" fillId="0" fontId="5" numFmtId="2" xfId="0" applyAlignment="1" applyBorder="1" applyFont="1" applyNumberFormat="1">
      <alignment vertical="bottom"/>
    </xf>
    <xf borderId="1" fillId="9" fontId="11" numFmtId="2" xfId="0" applyAlignment="1" applyBorder="1" applyFill="1" applyFont="1" applyNumberFormat="1">
      <alignment vertical="bottom"/>
    </xf>
    <xf borderId="1" fillId="6" fontId="1" numFmtId="49" xfId="0" applyAlignment="1" applyBorder="1" applyFill="1" applyFont="1" applyNumberFormat="1">
      <alignment readingOrder="0" shrinkToFit="0" vertical="bottom" wrapText="1"/>
    </xf>
    <xf borderId="1" fillId="0" fontId="1" numFmtId="4" xfId="0" applyAlignment="1" applyBorder="1" applyFont="1" applyNumberFormat="1">
      <alignment horizontal="right" vertical="bottom"/>
    </xf>
    <xf borderId="0" fillId="0" fontId="4"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5" Type="http://schemas.openxmlformats.org/officeDocument/2006/relationships/worksheet" Target="worksheets/sheet2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ocumenttasks/documenttask5.xml><?xml version="1.0" encoding="utf-8"?>
<Tasks xmlns="http://schemas.microsoft.com/office/tasks/2019/documenttasks"/>
</file>

<file path=xl/documenttasks/documenttask6.xml><?xml version="1.0" encoding="utf-8"?>
<Tasks xmlns="http://schemas.microsoft.com/office/tasks/2019/documenttasks"/>
</file>

<file path=xl/documenttasks/documenttask7.xml><?xml version="1.0" encoding="utf-8"?>
<Tasks xmlns="http://schemas.microsoft.com/office/tasks/2019/documenttasks"/>
</file>

<file path=xl/documenttasks/documenttask8.xml><?xml version="1.0" encoding="utf-8"?>
<Tasks xmlns="http://schemas.microsoft.com/office/tasks/2019/documenttasks"/>
</file>

<file path=xl/documenttasks/documenttask9.xml><?xml version="1.0" encoding="utf-8"?>
<Tasks xmlns="http://schemas.microsoft.com/office/tasks/2019/documenttasks"/>
</file>

<file path=xl/documenttasks/documenttask10.xml><?xml version="1.0" encoding="utf-8"?>
<Tasks xmlns="http://schemas.microsoft.com/office/tasks/2019/documenttasks"/>
</file>

<file path=xl/documenttasks/documenttask11.xml><?xml version="1.0" encoding="utf-8"?>
<Tasks xmlns="http://schemas.microsoft.com/office/tasks/2019/documenttasks"/>
</file>

<file path=xl/documenttasks/documenttask12.xml><?xml version="1.0" encoding="utf-8"?>
<Tasks xmlns="http://schemas.microsoft.com/office/tasks/2019/documenttasks"/>
</file>

<file path=xl/documenttasks/documenttask13.xml><?xml version="1.0" encoding="utf-8"?>
<Tasks xmlns="http://schemas.microsoft.com/office/tasks/2019/documenttasks"/>
</file>

<file path=xl/documenttasks/documenttask14.xml><?xml version="1.0" encoding="utf-8"?>
<Tasks xmlns="http://schemas.microsoft.com/office/tasks/2019/documenttasks"/>
</file>

<file path=xl/documenttasks/documenttask15.xml><?xml version="1.0" encoding="utf-8"?>
<Tasks xmlns="http://schemas.microsoft.com/office/tasks/2019/documenttasks"/>
</file>

<file path=xl/documenttasks/documenttask16.xml><?xml version="1.0" encoding="utf-8"?>
<Tasks xmlns="http://schemas.microsoft.com/office/tasks/2019/documenttasks"/>
</file>

<file path=xl/documenttasks/documenttask17.xml><?xml version="1.0" encoding="utf-8"?>
<Tasks xmlns="http://schemas.microsoft.com/office/tasks/2019/documenttasks"/>
</file>

<file path=xl/documenttasks/documenttask18.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Anup Ghosh" id="{65f4edab-8613-4675-aa8d-c75994f18ac7}" providerId="google-sheets"/>
  <x18tc:person displayName="Indrajit Basu" id="{185a4e41-263c-4b6c-95c2-a747868d1658}" providerId="google-sheets"/>
  <x18tc:person displayName="Shilajit Saha" id="{0cde55df-29b1-4ca2-a2ad-f6aad7a50e59}" providerId="google-sheets"/>
  <x18tc:person displayName="shilajit.saha@dalgreenfoods.com" id="{36ff1e93-4e9c-4024-99f9-043503c1af99}" userId="shilajit.saha@dalgreenfoods.com"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26" dT="2025-08-14T07:09:26.00" personId="{185a4e41-263c-4b6c-95c2-a747868d1658}" id="{3f7d0899-0442-46f3-9d2c-2463b2a4e5b3}" done="0">
    <x18tc:text xml:space="preserve">@shilajit.saha@dalgreenfoods.com kindly share an outlet wise details/ledger</x18tc:text>
    <x18tc:mentions>
      <x18tc:mention mentionpersonId="{36ff1e93-4e9c-4024-99f9-043503c1af99}" mentionId="{5480cb85-657f-430d-9bd2-604ae271b475}" startIndex="0" length="32"/>
    </x18tc:mentions>
  </x18tc:threadedComment>
  <x18tc:threadedComment ref="F26" dT="2025-08-18T06:37:20.00" personId="{0cde55df-29b1-4ca2-a2ad-f6aad7a50e59}" id="{2ec3f6c4-79f4-409d-b87c-aad0686c7fe2}" parentId="{3f7d0899-0442-46f3-9d2c-2463b2a4e5b3}">
    <x18tc:text xml:space="preserve">Miscellaneous Expenses Ideal Plaza CSC Rosedale Plaza Santoshpur
Kalikapur Sector
1 Salt Lake Rangoli Mall Jameslong Sarani Mani Square Lake Town Lake Road
Rajarhat Quest Mall Forum Event Technopolis Central Kitchen Head Office
Total
Actual
Travelling Expenses         512.00       951.00          200.00
1,320.00           750.00           3,843.00           280.00
544.00         146.00       320.00           10,378.00     22,446.00
41,690.00
Motor Car Expenses                                         20,520.00
20,520.00
License Fees 500                  500          500            500
          2,000.00
Conveyance Expenses                                          8,892.00
8,892.00
Parking Expense      4,000.00        2,000.00      2,000.00         360.00
            2,500.00                 50.00             10,570.00
21,480.00
Staff Welfare Expenses              841.00        1,149.00      2,500.00
4,185.00                400.00           420.00         960.00
13,430.00          23,885.00
Credit Card Settlement Charges      3,856.00          3,385.00    1,267.88
2,197.59      2,723.75      4,505.00      1,608.49           1,689.00
3,192.00         952.17      3,240.87      2,422.00            21.61
5,987.00        37,048.36
Printing &amp; Stationery     48,809.00    5,100.00      14,986.00    3,297.00
3,915.00      9,345.00     13,760.00      5,592.00           6,264.00
850.00      6,047.00      5,937.00    1,736.00      1,725.00
20,831.00       1,48,194.00
Water Supply Charges            3,885.00           600.00
1,250.00                           5,735.00
General Expenses         440.00                 620.00        3,000.00
                   6,058.21        10,118.21
License Fees     281  1/4   555  5/9 1595  1/18              1,944.44   416
2/3                     4,792.97
Delivery Charges                   250.00         382.00
89.00                  3,968.00           4,689.00
Merchant Funded Promotion         858.90            408.92 384
1,226.60         490.40         5</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M20" dT="2026-04-06T10:41:52.00" personId="{0cde55df-29b1-4ca2-a2ad-f6aad7a50e59}" id="{ff3228c0-8b12-47f9-b124-3e558d50bbe1}" done="0">
    <x18tc:text xml:space="preserve">9000  Provision for Security Guard</x18tc:text>
  </x18tc:threadedComment>
  <x18tc:threadedComment ref="B21" dT="2025-08-12T16:17:39.00" personId="{0cde55df-29b1-4ca2-a2ad-f6aad7a50e59}" id="{c1105fec-9bc0-4408-bbae-acf353c7d2c2}" done="0">
    <x18tc:text xml:space="preserve">69284 12 M AMC paid to Daikin</x18tc:text>
  </x18tc:threadedComment>
  <x18tc:threadedComment ref="B21" dT="2025-10-11T14:07:42.00" personId="{0cde55df-29b1-4ca2-a2ad-f6aad7a50e59}" id="{a69cb7ea-446f-4ad9-9c01-adc56df4a608}" parentId="{c1105fec-9bc0-4408-bbae-acf353c7d2c2}">
    <x18tc:text xml:space="preserve">38645 AMC Oddyssey</x18tc:text>
  </x18tc:threadedComment>
  <x18tc:threadedComment ref="F5" dT="2025-09-08T06:00:09.00" personId="{65f4edab-8613-4675-aa8d-c75994f18ac7}" id="{9fa28fc5-955d-4e97-a3a0-05dcaab882fe}" done="0">
    <x18tc:text xml:space="preserve">Stock Return 2761.5</x18tc:text>
  </x18tc:threadedComment>
  <x18tc:threadedComment ref="F5" dT="2025-09-08T06:50:49.00" personId="{0cde55df-29b1-4ca2-a2ad-f6aad7a50e59}" id="{1fbd2a07-dfe1-4d9d-9d14-418b217921c5}" parentId="{9fa28fc5-955d-4e97-a3a0-05dcaab882fe}">
    <x18tc:text xml:space="preserve">As per Posist Stock Out Amount Rs 766.52/- Please check</x18tc:text>
  </x18tc:threadedComment>
  <x18tc:threadedComment ref="F5" dT="2025-09-08T10:59:47.00" personId="{65f4edab-8613-4675-aa8d-c75994f18ac7}" id="{477e76a6-3714-483d-9c4c-d05d87a5c4dd}" parentId="{9fa28fc5-955d-4e97-a3a0-05dcaab882fe}">
    <x18tc:text xml:space="preserve">As we spoke the stock return to be also considered.</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24" dT="2025-07-10T10:57:23.00" personId="{0cde55df-29b1-4ca2-a2ad-f6aad7a50e59}" id="{05c87ce6-ecde-4c13-9593-c69f81cc22d7}" done="0">
    <x18tc:text xml:space="preserve">40120 AC Services paid to Dew Point for 12 months</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25" dT="2025-10-13T06:49:38.00" personId="{65f4edab-8613-4675-aa8d-c75994f18ac7}" id="{d1442007-a146-44cb-a302-9066015dbe41}" done="0">
    <x18tc:text xml:space="preserve">Please Share Details Of Expenses</x18tc:text>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18" dT="2025-06-12T08:44:51.00" personId="{0cde55df-29b1-4ca2-a2ad-f6aad7a50e59}" id="{44ecae3f-3882-4101-aaf7-e21537042701}" done="0">
    <x18tc:text xml:space="preserve">Rent includes RCM @ 18% ...As per GST law (Commercial property taken on rent from Unregistered Party then Registered Party Need to pay GST on RCM Basis)</x18tc:text>
  </x18tc:threadedComment>
  <x18tc:threadedComment ref="B21" dT="2025-06-11T06:47:52.00" personId="{0cde55df-29b1-4ca2-a2ad-f6aad7a50e59}" id="{47eed0b0-9373-41f5-936a-e5ba047f970f}" done="0">
    <x18tc:text xml:space="preserve">Truly Pest 2360</x18tc:text>
  </x18tc:threadedComment>
  <x18tc:threadedComment ref="D24" dT="2025-07-10T10:59:44.00" personId="{0cde55df-29b1-4ca2-a2ad-f6aad7a50e59}" id="{3de60f95-2a8b-416d-a61d-1df2822cac7a}" done="0">
    <x18tc:text xml:space="preserve">20060 AC Services paid to Dew Point for 12 months</x18tc:text>
  </x18tc:threadedComment>
</x18tc:ThreadedComments>
</file>

<file path=xl/threadedComments/threadedComment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16" dT="2025-09-08T11:49:43.00" personId="{0cde55df-29b1-4ca2-a2ad-f6aad7a50e59}" id="{75409392-5438-438d-a137-4bb8422b6544}" done="0">
    <x18tc:text xml:space="preserve">5246.28 FOR 6 MONTHS ENDING JAN 26</x18tc:text>
  </x18tc:threadedComment>
</x18tc:ThreadedComments>
</file>

<file path=xl/threadedComments/threadedComment7.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25" dT="2025-10-13T06:53:30.00" personId="{65f4edab-8613-4675-aa8d-c75994f18ac7}" id="{710539a7-7dbc-4407-a953-de705689c112}" done="0">
    <x18tc:text xml:space="preserve">Please Share Details Of Expenses</x18tc:text>
  </x18tc:threadedComment>
  <x18tc:threadedComment ref="B21" dT="2025-10-11T14:12:27.00" personId="{0cde55df-29b1-4ca2-a2ad-f6aad7a50e59}" id="{87f9ef22-3652-43e1-8f87-5c01815e6ca5}" done="0">
    <x18tc:text xml:space="preserve">4720 Paid to Odyssey</x18tc:text>
  </x18tc:threadedComment>
</x18tc:ThreadedComments>
</file>

<file path=xl/threadedComments/threadedComment8.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21" dT="2025-10-11T14:10:57.00" personId="{0cde55df-29b1-4ca2-a2ad-f6aad7a50e59}" id="{e4707c63-2726-4a78-92a5-bf6bdef8185b}" done="0">
    <x18tc:text xml:space="preserve">7090 paid to odyysey</x18tc:text>
  </x18tc:threadedComment>
</x18tc:ThreadedComments>
</file>

<file path=xl/threadedComments/threadedComment9.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24" dT="2025-07-10T10:55:58.00" personId="{0cde55df-29b1-4ca2-a2ad-f6aad7a50e59}" id="{98d7d49f-ce50-4d6c-be8f-20c59cb40c4f}" done="0">
    <x18tc:text xml:space="preserve">25960 AC Services paid to Dew Point for 12 months</x18tc:text>
  </x18tc:threadedComment>
  <x18tc:threadedComment ref="G25" dT="2025-10-13T07:01:43.00" personId="{65f4edab-8613-4675-aa8d-c75994f18ac7}" id="{e6a82d8e-5591-4753-847d-350ffdf2c0ae}" done="0">
    <x18tc:text xml:space="preserve">Please Share Details Of Expenses</x18tc:text>
  </x18tc:threadedComment>
</x18tc:ThreadedComments>
</file>

<file path=xl/threadedComments/threadedComment10.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M20" dT="2026-04-06T10:35:39.00" personId="{0cde55df-29b1-4ca2-a2ad-f6aad7a50e59}" id="{a07b630f-729b-4513-a87f-507b749e4305}" done="0">
    <x18tc:text xml:space="preserve">8500 Provision for Security Guard</x18tc:text>
  </x18tc:threadedComment>
  <x18tc:threadedComment ref="D24" dT="2025-07-10T10:54:17.00" personId="{0cde55df-29b1-4ca2-a2ad-f6aad7a50e59}" id="{fc495cb2-3378-4e98-bf49-b3a79298c82e}" done="0">
    <x18tc:text xml:space="preserve">35400 for 12 m starting from June 25 paid to Dew Point</x18tc:text>
  </x18tc:threadedComment>
  <x18tc:threadedComment ref="I16" dT="2025-12-16T10:26:41.00" personId="{0cde55df-29b1-4ca2-a2ad-f6aad7a50e59}" id="{1b8eade5-486c-460b-bda8-ebcad58effb1}" done="0">
    <x18tc:text xml:space="preserve">8142 for 12 months Internet</x18tc:text>
  </x18tc:threadedComment>
</x18tc:ThreadedComments>
</file>

<file path=xl/threadedComments/threadedComment1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18" dT="2025-06-12T08:45:22.00" personId="{0cde55df-29b1-4ca2-a2ad-f6aad7a50e59}" id="{16525314-9d43-445f-80bd-c35ba9e9fd37}" done="0">
    <x18tc:text xml:space="preserve">Rent includes RCM @ 18% ...As per GST law (Commercial property taken on rent from Unregistered Party then Registered Party Need to pay GST on RCM Basis)</x18tc:text>
  </x18tc:threadedComment>
  <x18tc:threadedComment ref="D24" dT="2025-07-10T11:01:40.00" personId="{0cde55df-29b1-4ca2-a2ad-f6aad7a50e59}" id="{d3eac945-f7ce-4c93-803d-c0ba98585d3c}" done="0">
    <x18tc:text xml:space="preserve">43660 AC Services paid to Dew Point for 12 months</x18tc:text>
  </x18tc:threadedComment>
</x18tc:ThreadedComments>
</file>

<file path=xl/threadedComments/threadedComment1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18" dT="2025-06-12T08:45:37.00" personId="{0cde55df-29b1-4ca2-a2ad-f6aad7a50e59}" id="{948de512-02b5-4a6a-bd5a-b6853e6fbc40}" done="0">
    <x18tc:text xml:space="preserve">Rent includes RCM @ 18% ...As per GST law (Commercial property taken on rent from Unregistered Party then Registered Party Need to pay GST on RCM Basis)</x18tc:text>
  </x18tc:threadedComment>
</x18tc:ThreadedComments>
</file>

<file path=xl/threadedComments/threadedComment1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24" dT="2025-07-10T10:56:30.00" personId="{0cde55df-29b1-4ca2-a2ad-f6aad7a50e59}" id="{3e3fe1f1-04ab-47e4-8135-1b5409b2ccca}" done="0">
    <x18tc:text xml:space="preserve">25960 AC Services paid to Dew Point for 12 months</x18tc:text>
  </x18tc:threadedComment>
  <x18tc:threadedComment ref="K16" dT="2026-02-06T07:09:16.00" personId="{0cde55df-29b1-4ca2-a2ad-f6aad7a50e59}" id="{01cd0d69-0f57-4a93-b1f3-fd4564c9a135}" done="0">
    <x18tc:text xml:space="preserve">1748 FOR 336 DAYS</x18tc:text>
  </x18tc:threadedComment>
</x18tc:ThreadedComments>
</file>

<file path=xl/threadedComments/threadedComment1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M20" dT="2026-04-06T10:38:26.00" personId="{0cde55df-29b1-4ca2-a2ad-f6aad7a50e59}" id="{17dce994-d541-47da-ba43-fcf80d284b49}" done="0">
    <x18tc:text xml:space="preserve">10500 Provision for Security Guard</x18tc:text>
  </x18tc:threadedComment>
  <x18tc:threadedComment ref="B22" dT="2025-05-09T08:30:29.00" personId="{0cde55df-29b1-4ca2-a2ad-f6aad7a50e59}" id="{7f0d693c-dc8d-4fff-b8ca-09952db72ec7}" done="0">
    <x18tc:text xml:space="preserve">16500 April to June 25 Matsan Plants
12272 PAID TO HRAEI FOR 12 MONTHS
16893 paid to FHREAI FOR 12 MONTH DT 18/6/25</x18tc:text>
  </x18tc:threadedComment>
</x18tc:ThreadedComments>
</file>

<file path=xl/threadedComments/threadedComment1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25" dT="2026-04-06T13:04:02.00" personId="{0cde55df-29b1-4ca2-a2ad-f6aad7a50e59}" id="{6892fe80-0750-437c-bee5-a70250273582}" done="0">
    <x18tc:text xml:space="preserve">24387 Property Tax</x18tc:text>
  </x18tc:threadedComment>
</x18tc:ThreadedComments>
</file>

<file path=xl/threadedComments/threadedComment1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17" dT="2025-09-06T12:55:31.00" personId="{0cde55df-29b1-4ca2-a2ad-f6aad7a50e59}" id="{887e0660-9cf8-409f-a44b-239832103e17}" done="0">
    <x18tc:text xml:space="preserve">154712 CP Shine</x18tc:text>
  </x18tc:threadedComment>
  <x18tc:threadedComment ref="F13" dT="2025-09-06T12:58:31.00" personId="{0cde55df-29b1-4ca2-a2ad-f6aad7a50e59}" id="{f6319029-7542-459a-845b-30c886ac742d}" done="0">
    <x18tc:text xml:space="preserve">31490 RS Sharma</x18tc:text>
  </x18tc:threadedComment>
  <x18tc:threadedComment ref="F13" dT="2025-09-06T13:06:05.00" personId="{0cde55df-29b1-4ca2-a2ad-f6aad7a50e59}" id="{206f5227-a9ca-4f62-93b1-5f63e117bc7e}" parentId="{f6319029-7542-459a-845b-30c886ac742d}">
    <x18tc:text xml:space="preserve">90990 Confidence Gas</x18tc:text>
  </x18tc:threadedComment>
  <x18tc:threadedComment ref="B5" dT="2025-09-18T06:38:44.00" personId="{0cde55df-29b1-4ca2-a2ad-f6aad7a50e59}" id="{cf0bbb47-eb60-4ccb-b486-a7d15a68227f}" done="0">
    <x18tc:text xml:space="preserve">Addition is due to the CW of Delhi has transferred Material to CK</x18tc:text>
  </x18tc:threadedComment>
  <x18tc:threadedComment ref="C5" dT="2025-09-18T06:51:10.00" personId="{0cde55df-29b1-4ca2-a2ad-f6aad7a50e59}" id="{cd50b27b-bcdd-4203-a527-4066ad87850a}" done="0">
    <x18tc:text xml:space="preserve">Addition is due to the CW of Delhi has transferred Material to CK</x18tc:text>
  </x18tc:threadedComment>
  <x18tc:threadedComment ref="D5" dT="2025-09-18T06:53:00.00" personId="{0cde55df-29b1-4ca2-a2ad-f6aad7a50e59}" id="{9c898073-e724-4081-8565-ee3f1360267d}" done="0">
    <x18tc:text xml:space="preserve">Addition is due to the CW of Delhi has transferred Material to CK</x18tc:text>
  </x18tc:threadedComment>
  <x18tc:threadedComment ref="E5" dT="2025-09-18T06:53:12.00" personId="{0cde55df-29b1-4ca2-a2ad-f6aad7a50e59}" id="{a5c84e54-a02b-4c67-9ca1-809f246275f3}" done="0">
    <x18tc:text xml:space="preserve">Addition is due to the CW of Delhi has transferred Material to CK</x18tc:text>
  </x18tc:threadedComment>
  <x18tc:threadedComment ref="F5" dT="2025-09-18T06:53:21.00" personId="{0cde55df-29b1-4ca2-a2ad-f6aad7a50e59}" id="{931c2ebe-f605-49fe-8cf0-226df5efcbf8}" done="0">
    <x18tc:text xml:space="preserve">Addition is due to the CW of Delhi has transferred Material to CK</x18tc:text>
  </x18tc:threadedComment>
  <x18tc:threadedComment ref="G5" dT="2025-10-11T16:07:27.00" personId="{0cde55df-29b1-4ca2-a2ad-f6aad7a50e59}" id="{e399054d-ece0-4027-ba4d-786ea223350e}" done="0">
    <x18tc:text xml:space="preserve">15025.17 Non GRN Purchase Expenses</x18tc:text>
  </x18tc:threadedComment>
  <x18tc:threadedComment ref="G19" dT="2025-10-11T15:14:46.00" personId="{0cde55df-29b1-4ca2-a2ad-f6aad7a50e59}" id="{a2e28954-e5b6-4e83-add5-43a3440b16a8}" done="0">
    <x18tc:text xml:space="preserve">18666 for Insurance Premia for AUG’25-SEP’26  Vehicle no WB03D6022,</x18tc:text>
  </x18tc:threadedComment>
  <x18tc:threadedComment ref="H5" dT="2025-11-03T13:43:41.00" personId="{0cde55df-29b1-4ca2-a2ad-f6aad7a50e59}" id="{ec0389c1-f3db-4e2f-a2d5-52fe5486f9d7}" done="0">
    <x18tc:text xml:space="preserve">3345 Non GRN Purchases</x18tc:text>
  </x18tc:threadedComment>
  <x18tc:threadedComment ref="I5" dT="2026-01-02T09:09:17.00" personId="{0cde55df-29b1-4ca2-a2ad-f6aad7a50e59}" id="{fc173491-e159-45f9-99fe-c8872111e984}" done="0">
    <x18tc:text xml:space="preserve">36240 Non GRN Purchases</x18tc:text>
  </x18tc:threadedComment>
  <x18tc:threadedComment ref="K6" dT="2026-02-06T07:56:10.00" personId="{0cde55df-29b1-4ca2-a2ad-f6aad7a50e59}" id="{a46101cd-221c-4cc5-b2b3-ec85fd33afa4}" done="0">
    <x18tc:text xml:space="preserve">225092 was Mistakenly entered in posist as Indent for Oranges. however same is rectified by returning the goods.</x18tc:text>
  </x18tc:threadedComment>
  <x18tc:threadedComment ref="K5" dT="2026-02-06T08:03:24.00" personId="{0cde55df-29b1-4ca2-a2ad-f6aad7a50e59}" id="{1a022674-192f-488a-b33f-5f1b65219102}" done="0">
    <x18tc:text xml:space="preserve">4132 Non GRN Purchases</x18tc:text>
  </x18tc:threadedComment>
</x18tc:ThreadedComments>
</file>

<file path=xl/threadedComments/threadedComment17.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M10" dT="2026-04-06T07:34:01.00" personId="{0cde55df-29b1-4ca2-a2ad-f6aad7a50e59}" id="{72723c6f-8d07-475d-95ba-59b267e219c6}" done="1">
    <x18tc:text xml:space="preserve">35400 Paid to Astra One Ventures</x18tc:text>
  </x18tc:threadedComment>
  <x18tc:threadedComment ref="G11" dT="2025-10-13T06:41:00.00" personId="{65f4edab-8613-4675-aa8d-c75994f18ac7}" id="{23376854-2077-49da-989a-a5594584f4ae}" done="0">
    <x18tc:text xml:space="preserve">Please Share Details</x18tc:text>
  </x18tc:threadedComment>
</x18tc:ThreadedComments>
</file>

<file path=xl/threadedComments/threadedComment18.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K14" dT="2026-04-06T14:12:13.00" personId="{0cde55df-29b1-4ca2-a2ad-f6aad7a50e59}" id="{5d1dcf35-7876-474e-8b9d-9604fbb51462}" done="0">
    <x18tc:text xml:space="preserve">5097 Work India Subscription for 90 days</x18tc:text>
  </x18tc:threadedComment>
  <x18tc:threadedComment ref="E11" dT="2025-08-12T11:22:39.00" personId="{0cde55df-29b1-4ca2-a2ad-f6aad7a50e59}" id="{74bccdce-91a2-48e7-abf2-0a4eee942b12}" done="1">
    <x18tc:text xml:space="preserve">206500 paid to Khaitan &amp; Co
53100 pAID TO G Seven</x18tc:text>
  </x18tc:threadedComment>
  <x18tc:threadedComment ref="C11" dT="2025-08-12T16:26:23.00" personId="{0cde55df-29b1-4ca2-a2ad-f6aad7a50e59}" id="{8eba5ca2-b0d8-4924-a791-f8bfc716a545}" done="0">
    <x18tc:text xml:space="preserve">177000 paid to SLYDS</x18tc:text>
  </x18tc:threadedComment>
  <x18tc:threadedComment ref="E11" dT="2025-08-12T16:28:11.00" personId="{0cde55df-29b1-4ca2-a2ad-f6aad7a50e59}" id="{b5b177e1-8df8-4be9-b4b6-f5c2b5ba560d}" done="0">
    <x18tc:text xml:space="preserve">53100 paid to GSeven
62500 paid to SLYDS
206500 paid to Khaitan &amp; Co</x18tc:text>
  </x18tc:threadedComment>
  <x18tc:threadedComment ref="F6" dT="2025-09-09T06:21:20.00" personId="{0cde55df-29b1-4ca2-a2ad-f6aad7a50e59}" id="{5b646eaa-6ac0-4323-b923-13d1799133e6}" done="0">
    <x18tc:text xml:space="preserve">327600+13104+129189 Provisionf for PF and ESI</x18tc:text>
  </x18tc:threadedComment>
  <x18tc:threadedComment ref="D17" dT="2025-09-06T12:24:12.00" personId="{0cde55df-29b1-4ca2-a2ad-f6aad7a50e59}" id="{468ce1f0-f322-48a7-a825-6678b160db68}" done="0">
    <x18tc:text xml:space="preserve">27258 Paid to Frontlyne</x18tc:text>
  </x18tc:threadedComment>
  <x18tc:threadedComment ref="E17" dT="2025-09-06T12:24:37.00" personId="{0cde55df-29b1-4ca2-a2ad-f6aad7a50e59}" id="{ea120583-ee7d-4797-b726-15878787eed2}" done="0">
    <x18tc:text xml:space="preserve">27258 Paid to Frontlyne</x18tc:text>
  </x18tc:threadedComment>
  <x18tc:threadedComment ref="F17" dT="2025-09-06T12:24:55.00" personId="{0cde55df-29b1-4ca2-a2ad-f6aad7a50e59}" id="{e1d56258-b283-4183-978d-b8cd08a25859}" done="0">
    <x18tc:text xml:space="preserve">27258 Paid to Frontlyne
25000 Paid to Google</x18tc:text>
  </x18tc:threadedComment>
  <x18tc:threadedComment ref="F11" dT="2025-09-06T12:26:39.00" personId="{0cde55df-29b1-4ca2-a2ad-f6aad7a50e59}" id="{2f580456-5873-43bb-a05c-79b93c39adac}" done="0">
    <x18tc:text xml:space="preserve">(42480+23010+42480)  Mystery Audit Fees for April, May and June 25</x18tc:text>
  </x18tc:threadedComment>
  <x18tc:threadedComment ref="G11" dT="2025-10-11T13:40:10.00" personId="{0cde55df-29b1-4ca2-a2ad-f6aad7a50e59}" id="{61a760cc-4c1a-4c16-90d9-d77030075bcb}" done="0">
    <x18tc:text xml:space="preserve">200000+43450 Paid to Slyds
18550 Tds on Slyds Professional Fees
4000 paid for Filing PF
7000 paid for filing GST
2000 Certification Fees
27258 Paid to MicroGenesis</x18tc:text>
  </x18tc:threadedComment>
  <x18tc:threadedComment ref="F14" dT="2025-10-11T14:25:44.00" personId="{0cde55df-29b1-4ca2-a2ad-f6aad7a50e59}" id="{b2099cfa-3538-42f1-aefc-63c0ef38b691}" done="0">
    <x18tc:text xml:space="preserve">108037 Paid to Keka Aug 25 to Oct 25</x18tc:text>
  </x18tc:threadedComment>
  <x18tc:threadedComment ref="B11" dT="2025-11-07T13:29:53.00" personId="{0cde55df-29b1-4ca2-a2ad-f6aad7a50e59}" id="{5c5a260a-244a-4ae1-8154-b2ce2991e0ee}" done="0">
    <x18tc:text xml:space="preserve">177000 paid for Statutory Audit</x18tc:text>
  </x18tc:threadedComment>
  <x18tc:threadedComment ref="I9" dT="2025-12-16T07:25:13.00" personId="{0cde55df-29b1-4ca2-a2ad-f6aad7a50e59}" id="{4052594c-444c-4b23-82bc-97a4ff39043e}" done="0">
    <x18tc:text xml:space="preserve">18017 Premium Paid for Vehicle</x18tc:text>
  </x18tc:threadedComment>
  <x18tc:threadedComment ref="H11" dT="2025-12-16T06:33:40.00" personId="{0cde55df-29b1-4ca2-a2ad-f6aad7a50e59}" id="{11a60008-bb81-4354-899e-8ff1d1525db8}" done="0">
    <x18tc:text xml:space="preserve">4000 paid for Filing PF
7000 paid for filing GST
5900 Registrar Fees paid to Datametics
27258 Paid to MicroGenesis</x18tc:text>
  </x18tc:threadedComment>
  <x18tc:threadedComment ref="I11" dT="2025-12-16T10:23:00.00" personId="{0cde55df-29b1-4ca2-a2ad-f6aad7a50e59}" id="{160a1a8a-3d04-4e52-99ed-9436246d838d}" done="0">
    <x18tc:text xml:space="preserve">3107 for 12 months Subscription paid to Pixel
3322 for 12 months Subscription paid to Pixel</x18tc:text>
  </x18tc:threadedComment>
  <x18tc:threadedComment ref="J17" dT="2026-01-12T13:36:36.00" personId="{0cde55df-29b1-4ca2-a2ad-f6aad7a50e59}" id="{63dadddb-c5c8-4bbb-b8ae-2f640f7fe02d}" done="0">
    <x18tc:text xml:space="preserve">Paid to CANVA</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2.xml"/><Relationship Id="rId5"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3.xml"/><Relationship Id="rId5"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drawing" Target="../drawings/drawing5.xml"/><Relationship Id="rId5"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comments" Target="../comments6.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drawing" Target="../drawings/drawing6.xml"/><Relationship Id="rId5"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microsoft.com/office/2017/10/relationships/threadedComment" Target="../threadedComments/threadedComment6.xml"/><Relationship Id="rId3" Type="http://schemas.microsoft.com/office/2019/04/relationships/documenttask" Target="../documenttasks/documenttask6.xml"/><Relationship Id="rId4" Type="http://schemas.openxmlformats.org/officeDocument/2006/relationships/drawing" Target="../drawings/drawing7.xml"/><Relationship Id="rId5"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microsoft.com/office/2017/10/relationships/threadedComment" Target="../threadedComments/threadedComment7.xml"/><Relationship Id="rId3" Type="http://schemas.microsoft.com/office/2019/04/relationships/documenttask" Target="../documenttasks/documenttask7.xml"/><Relationship Id="rId4" Type="http://schemas.openxmlformats.org/officeDocument/2006/relationships/drawing" Target="../drawings/drawing8.xml"/><Relationship Id="rId5"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microsoft.com/office/2017/10/relationships/threadedComment" Target="../threadedComments/threadedComment8.xml"/><Relationship Id="rId3" Type="http://schemas.microsoft.com/office/2019/04/relationships/documenttask" Target="../documenttasks/documenttask8.xml"/><Relationship Id="rId4" Type="http://schemas.openxmlformats.org/officeDocument/2006/relationships/drawing" Target="../drawings/drawing9.xml"/><Relationship Id="rId5" Type="http://schemas.openxmlformats.org/officeDocument/2006/relationships/vmlDrawing" Target="../drawings/vmlDrawing9.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0.xml"/><Relationship Id="rId3" Type="http://schemas.openxmlformats.org/officeDocument/2006/relationships/vmlDrawing" Target="../drawings/vmlDrawing10.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microsoft.com/office/2017/10/relationships/threadedComment" Target="../threadedComments/threadedComment9.xml"/><Relationship Id="rId3" Type="http://schemas.microsoft.com/office/2019/04/relationships/documenttask" Target="../documenttasks/documenttask9.xml"/><Relationship Id="rId4" Type="http://schemas.openxmlformats.org/officeDocument/2006/relationships/drawing" Target="../drawings/drawing11.xml"/><Relationship Id="rId5" Type="http://schemas.openxmlformats.org/officeDocument/2006/relationships/vmlDrawing" Target="../drawings/vmlDrawing11.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2.xml"/><Relationship Id="rId2" Type="http://schemas.microsoft.com/office/2017/10/relationships/threadedComment" Target="../threadedComments/threadedComment10.xml"/><Relationship Id="rId3" Type="http://schemas.microsoft.com/office/2019/04/relationships/documenttask" Target="../documenttasks/documenttask10.xml"/><Relationship Id="rId4" Type="http://schemas.openxmlformats.org/officeDocument/2006/relationships/drawing" Target="../drawings/drawing12.xml"/><Relationship Id="rId5" Type="http://schemas.openxmlformats.org/officeDocument/2006/relationships/vmlDrawing" Target="../drawings/vmlDrawing12.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3.xml"/><Relationship Id="rId2" Type="http://schemas.microsoft.com/office/2017/10/relationships/threadedComment" Target="../threadedComments/threadedComment11.xml"/><Relationship Id="rId3" Type="http://schemas.microsoft.com/office/2019/04/relationships/documenttask" Target="../documenttasks/documenttask11.xml"/><Relationship Id="rId4" Type="http://schemas.openxmlformats.org/officeDocument/2006/relationships/drawing" Target="../drawings/drawing13.xml"/><Relationship Id="rId5" Type="http://schemas.openxmlformats.org/officeDocument/2006/relationships/vmlDrawing" Target="../drawings/vmlDrawing13.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microsoft.com/office/2017/10/relationships/threadedComment" Target="../threadedComments/threadedComment12.xml"/><Relationship Id="rId3" Type="http://schemas.microsoft.com/office/2019/04/relationships/documenttask" Target="../documenttasks/documenttask12.xml"/><Relationship Id="rId4" Type="http://schemas.openxmlformats.org/officeDocument/2006/relationships/drawing" Target="../drawings/drawing14.xml"/><Relationship Id="rId5" Type="http://schemas.openxmlformats.org/officeDocument/2006/relationships/vmlDrawing" Target="../drawings/vmlDrawing14.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5.xml"/><Relationship Id="rId2" Type="http://schemas.microsoft.com/office/2017/10/relationships/threadedComment" Target="../threadedComments/threadedComment13.xml"/><Relationship Id="rId3" Type="http://schemas.microsoft.com/office/2019/04/relationships/documenttask" Target="../documenttasks/documenttask13.xml"/><Relationship Id="rId4" Type="http://schemas.openxmlformats.org/officeDocument/2006/relationships/drawing" Target="../drawings/drawing15.xml"/><Relationship Id="rId5" Type="http://schemas.openxmlformats.org/officeDocument/2006/relationships/vmlDrawing" Target="../drawings/vmlDrawing15.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6.xml"/><Relationship Id="rId2" Type="http://schemas.microsoft.com/office/2017/10/relationships/threadedComment" Target="../threadedComments/threadedComment14.xml"/><Relationship Id="rId3" Type="http://schemas.microsoft.com/office/2019/04/relationships/documenttask" Target="../documenttasks/documenttask14.xml"/><Relationship Id="rId4" Type="http://schemas.openxmlformats.org/officeDocument/2006/relationships/drawing" Target="../drawings/drawing16.xml"/><Relationship Id="rId5" Type="http://schemas.openxmlformats.org/officeDocument/2006/relationships/vmlDrawing" Target="../drawings/vmlDrawing16.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7.xml"/><Relationship Id="rId2" Type="http://schemas.microsoft.com/office/2017/10/relationships/threadedComment" Target="../threadedComments/threadedComment15.xml"/><Relationship Id="rId3" Type="http://schemas.microsoft.com/office/2019/04/relationships/documenttask" Target="../documenttasks/documenttask15.xml"/><Relationship Id="rId4" Type="http://schemas.openxmlformats.org/officeDocument/2006/relationships/drawing" Target="../drawings/drawing17.xml"/><Relationship Id="rId5" Type="http://schemas.openxmlformats.org/officeDocument/2006/relationships/vmlDrawing" Target="../drawings/vmlDrawing17.vml"/></Relationships>
</file>

<file path=xl/worksheets/_rels/sheet18.xml.rels><?xml version="1.0" encoding="UTF-8" standalone="yes"?><Relationships xmlns="http://schemas.openxmlformats.org/package/2006/relationships"><Relationship Id="rId1" Type="http://schemas.openxmlformats.org/officeDocument/2006/relationships/comments" Target="../comments18.xml"/><Relationship Id="rId2" Type="http://schemas.openxmlformats.org/officeDocument/2006/relationships/drawing" Target="../drawings/drawing18.xml"/><Relationship Id="rId3" Type="http://schemas.openxmlformats.org/officeDocument/2006/relationships/vmlDrawing" Target="../drawings/vmlDrawing18.vml"/></Relationships>
</file>

<file path=xl/worksheets/_rels/sheet19.xml.rels><?xml version="1.0" encoding="UTF-8" standalone="yes"?><Relationships xmlns="http://schemas.openxmlformats.org/package/2006/relationships"><Relationship Id="rId1" Type="http://schemas.openxmlformats.org/officeDocument/2006/relationships/comments" Target="../comments19.xml"/><Relationship Id="rId2" Type="http://schemas.microsoft.com/office/2017/10/relationships/threadedComment" Target="../threadedComments/threadedComment16.xml"/><Relationship Id="rId3" Type="http://schemas.microsoft.com/office/2019/04/relationships/documenttask" Target="../documenttasks/documenttask16.xml"/><Relationship Id="rId4" Type="http://schemas.openxmlformats.org/officeDocument/2006/relationships/drawing" Target="../drawings/drawing19.xml"/><Relationship Id="rId5" Type="http://schemas.openxmlformats.org/officeDocument/2006/relationships/vmlDrawing" Target="../drawings/vmlDrawing19.vml"/></Relationships>
</file>

<file path=xl/worksheets/_rels/sheet20.xml.rels><?xml version="1.0" encoding="UTF-8" standalone="yes"?><Relationships xmlns="http://schemas.openxmlformats.org/package/2006/relationships"><Relationship Id="rId1" Type="http://schemas.openxmlformats.org/officeDocument/2006/relationships/comments" Target="../comments20.xml"/><Relationship Id="rId2" Type="http://schemas.microsoft.com/office/2017/10/relationships/threadedComment" Target="../threadedComments/threadedComment17.xml"/><Relationship Id="rId3" Type="http://schemas.microsoft.com/office/2019/04/relationships/documenttask" Target="../documenttasks/documenttask17.xml"/><Relationship Id="rId4" Type="http://schemas.openxmlformats.org/officeDocument/2006/relationships/drawing" Target="../drawings/drawing20.xml"/><Relationship Id="rId5" Type="http://schemas.openxmlformats.org/officeDocument/2006/relationships/vmlDrawing" Target="../drawings/vmlDrawing20.vml"/></Relationships>
</file>

<file path=xl/worksheets/_rels/sheet21.xml.rels><?xml version="1.0" encoding="UTF-8" standalone="yes"?><Relationships xmlns="http://schemas.openxmlformats.org/package/2006/relationships"><Relationship Id="rId1" Type="http://schemas.openxmlformats.org/officeDocument/2006/relationships/comments" Target="../comments21.xml"/><Relationship Id="rId2" Type="http://schemas.microsoft.com/office/2017/10/relationships/threadedComment" Target="../threadedComments/threadedComment18.xml"/><Relationship Id="rId3" Type="http://schemas.microsoft.com/office/2019/04/relationships/documenttask" Target="../documenttasks/documenttask18.xml"/><Relationship Id="rId4" Type="http://schemas.openxmlformats.org/officeDocument/2006/relationships/drawing" Target="../drawings/drawing21.xml"/><Relationship Id="rId5" Type="http://schemas.openxmlformats.org/officeDocument/2006/relationships/vmlDrawing" Target="../drawings/vmlDrawing2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1" max="1" width="28.13"/>
    <col customWidth="1" min="2" max="2" width="11.25"/>
    <col customWidth="1" min="16" max="16" width="10.38"/>
  </cols>
  <sheetData>
    <row r="1">
      <c r="A1" s="3" t="s">
        <v>2</v>
      </c>
      <c r="B1" s="3" t="s">
        <v>4</v>
      </c>
      <c r="C1" s="2">
        <v>45748.0</v>
      </c>
      <c r="D1" s="2">
        <v>45778.0</v>
      </c>
      <c r="E1" s="2">
        <v>45809.0</v>
      </c>
      <c r="F1" s="2">
        <v>45839.0</v>
      </c>
      <c r="G1" s="4">
        <v>45870.0</v>
      </c>
      <c r="H1" s="2">
        <v>45901.0</v>
      </c>
      <c r="I1" s="2">
        <v>45931.0</v>
      </c>
      <c r="J1" s="2">
        <v>45962.0</v>
      </c>
      <c r="K1" s="2">
        <v>45992.0</v>
      </c>
      <c r="L1" s="2">
        <v>46023.0</v>
      </c>
      <c r="M1" s="2">
        <v>46054.0</v>
      </c>
      <c r="N1" s="2">
        <v>46082.0</v>
      </c>
      <c r="O1" s="5" t="s">
        <v>5</v>
      </c>
      <c r="P1" s="6"/>
      <c r="Q1" s="9"/>
      <c r="R1" s="9"/>
      <c r="S1" s="9"/>
      <c r="T1" s="9"/>
      <c r="U1" s="9"/>
      <c r="V1" s="9"/>
      <c r="W1" s="9"/>
      <c r="X1" s="9"/>
      <c r="Y1" s="9"/>
      <c r="Z1" s="9"/>
      <c r="AA1" s="9"/>
      <c r="AB1" s="9"/>
      <c r="AC1" s="9"/>
      <c r="AD1" s="9"/>
      <c r="AE1" s="9"/>
      <c r="AF1" s="9"/>
    </row>
    <row r="2">
      <c r="A2" s="7" t="s">
        <v>6</v>
      </c>
      <c r="B2" s="8"/>
      <c r="C2" s="8"/>
      <c r="D2" s="8"/>
      <c r="E2" s="8"/>
      <c r="F2" s="8"/>
      <c r="G2" s="10"/>
      <c r="H2" s="8"/>
      <c r="I2" s="8"/>
      <c r="J2" s="8"/>
      <c r="K2" s="8"/>
      <c r="L2" s="8"/>
      <c r="M2" s="8"/>
      <c r="N2" s="8"/>
      <c r="O2" s="8"/>
      <c r="P2" s="8"/>
      <c r="Q2" s="9"/>
      <c r="R2" s="9"/>
      <c r="S2" s="9"/>
      <c r="T2" s="9"/>
      <c r="U2" s="9"/>
      <c r="V2" s="9"/>
      <c r="W2" s="9"/>
      <c r="X2" s="9"/>
      <c r="Y2" s="9"/>
      <c r="Z2" s="9"/>
      <c r="AA2" s="9"/>
      <c r="AB2" s="9"/>
      <c r="AC2" s="9"/>
      <c r="AD2" s="9"/>
      <c r="AE2" s="9"/>
      <c r="AF2" s="9"/>
    </row>
    <row r="3">
      <c r="A3" s="11" t="s">
        <v>7</v>
      </c>
      <c r="B3" s="14" t="s">
        <v>8</v>
      </c>
      <c r="C3" s="14">
        <f>'Ideal Plaza'!B3+'Salt Lake JC -21'!B3+'Forum Mall'!B3+'Lake Town'!B3+'Quest Mall'!B3+'Rosedale Plaza'!B3+'Mani Square Mall'!B3+'Forum Rangoli'!B3+CSC!B3+Jameslong!B3+Technopolis!B3+Santoshpur!B3+'Chinar Park'!B3+'Lake Road'!B3+Kalikapur!B3+'Event Sales'!B3+'Sector 1'!B3</f>
        <v>481976.41</v>
      </c>
      <c r="D3" s="14">
        <f>'Ideal Plaza'!C3+'Salt Lake JC -21'!C3+'Forum Mall'!C3+'Lake Town'!C3+'Quest Mall'!C3+'Rosedale Plaza'!C3+'Mani Square Mall'!C3+'Forum Rangoli'!C3+CSC!C3+Jameslong!C3+Technopolis!C3+Santoshpur!C3+'Chinar Park'!C3+'Lake Road'!C3+Kalikapur!C3+'Event Sales'!C3+'Sector 1'!C3</f>
        <v>511140.61</v>
      </c>
      <c r="E3" s="14">
        <f>'Ideal Plaza'!D3+'Salt Lake JC -21'!D3+'Forum Mall'!D3+'Lake Town'!D3+'Quest Mall'!D3+'Rosedale Plaza'!D3+'Mani Square Mall'!D3+'Forum Rangoli'!D3+CSC!D3+Jameslong!D3+Technopolis!D3+Santoshpur!D3+'Chinar Park'!D3+'Lake Road'!D3+Kalikapur!D3+'Event Sales'!D3+'Sector 1'!D3</f>
        <v>503059.99</v>
      </c>
      <c r="F3" s="14">
        <f>'Ideal Plaza'!E3+'Salt Lake JC -21'!E3+'Forum Mall'!E3+'Lake Town'!E3+'Quest Mall'!E3+'Rosedale Plaza'!E3+'Mani Square Mall'!E3+'Forum Rangoli'!E3+CSC!E3+Jameslong!E3+Technopolis!E3+Santoshpur!E3+'Chinar Park'!E3+'Lake Road'!E3+Kalikapur!E3+'Event Sales'!E3+'Sector 1'!E3</f>
        <v>509757.55</v>
      </c>
      <c r="G3" s="14">
        <f>'Ideal Plaza'!F3+'Salt Lake JC -21'!F3+'Forum Mall'!F3+'Lake Town'!F3+'Quest Mall'!F3+'Rosedale Plaza'!F3+'Mani Square Mall'!F3+'Forum Rangoli'!F3+CSC!F3+Jameslong!F3+Technopolis!F3+Santoshpur!F3+'Chinar Park'!F3+'Lake Road'!F3+Kalikapur!F3+'Event Sales'!F3+'Sector 1'!F3</f>
        <v>535959.05</v>
      </c>
      <c r="H3" s="14">
        <f>'Ideal Plaza'!G3+'Salt Lake JC -21'!G3+'Forum Mall'!G3+'Lake Town'!G3+'Quest Mall'!G3+'Rosedale Plaza'!G3+'Mani Square Mall'!G3+'Forum Rangoli'!G3+CSC!G3+Jameslong!G3+Technopolis!G3+Santoshpur!G3+'Chinar Park'!G3+'Lake Road'!G3+Kalikapur!G3+'Event Sales'!G3+'Sector 1'!G3</f>
        <v>475720.3</v>
      </c>
      <c r="I3" s="14">
        <f>'Ideal Plaza'!H3+'Salt Lake JC -21'!H3+'Forum Mall'!H3+'Lake Town'!H3+'Quest Mall'!H3+'Rosedale Plaza'!H3+'Mani Square Mall'!H3+'Forum Rangoli'!H3+CSC!H3+Jameslong!H3+Technopolis!H3+Santoshpur!H3+'Chinar Park'!H3+'Lake Road'!H3+Kalikapur!H3+'Event Sales'!H3+'Sector 1'!H3</f>
        <v>580618.48</v>
      </c>
      <c r="J3" s="14">
        <f>'Ideal Plaza'!I3+'Salt Lake JC -21'!I3+'Forum Mall'!I3+'Lake Town'!I3+'Quest Mall'!I3+'Rosedale Plaza'!I3+'Mani Square Mall'!I3+'Forum Rangoli'!I3+CSC!I3+Jameslong!I3+Technopolis!I3+Santoshpur!I3+'Chinar Park'!I3+'Lake Road'!I3+Kalikapur!I3+'Event Sales'!I3+'Sector 1'!I3</f>
        <v>528450.61</v>
      </c>
      <c r="K3" s="14">
        <f>'Ideal Plaza'!J3+'Salt Lake JC -21'!J3+'Forum Mall'!J3+'Lake Town'!J3+'Quest Mall'!J3+'Rosedale Plaza'!J3+'Mani Square Mall'!J3+'Forum Rangoli'!J3+CSC!J3+Jameslong!J3+Technopolis!J3+Santoshpur!J3+'Chinar Park'!J3+'Lake Road'!J3+Kalikapur!J3+'Event Sales'!J3+'Sector 1'!J3</f>
        <v>489106.08</v>
      </c>
      <c r="L3" s="14">
        <f>'Ideal Plaza'!K3+'Salt Lake JC -21'!K3+'Forum Mall'!K3+'Lake Town'!K3+'Quest Mall'!K3+'Rosedale Plaza'!K3+'Mani Square Mall'!K3+'Forum Rangoli'!K3+CSC!K3+Jameslong!K3+Technopolis!K3+Santoshpur!K3+'Chinar Park'!K3+'Lake Road'!K3+Kalikapur!K3+'Event Sales'!K3+'Sector 1'!K3</f>
        <v>537937.63</v>
      </c>
      <c r="M3" s="14">
        <f>'Ideal Plaza'!L3+'Salt Lake JC -21'!L3+'Forum Mall'!L3+'Lake Town'!L3+'Quest Mall'!L3+'Rosedale Plaza'!L3+'Mani Square Mall'!L3+'Forum Rangoli'!L3+CSC!L3+Jameslong!L3+Technopolis!L3+Santoshpur!L3+'Chinar Park'!L3+'Lake Road'!L3+Kalikapur!L3+'Event Sales'!L3+'Sector 1'!L3</f>
        <v>501684.15</v>
      </c>
      <c r="N3" s="14">
        <f>'Ideal Plaza'!M3+'Salt Lake JC -21'!M3+'Forum Mall'!M3+'Lake Town'!M3+'Quest Mall'!M3+'Rosedale Plaza'!M3+'Mani Square Mall'!M3+'Forum Rangoli'!M3+CSC!M3+Jameslong!M3+Technopolis!M3+Santoshpur!M3+'Chinar Park'!M3+'Lake Road'!M3+Kalikapur!M3+'Event Sales'!M3+'Sector 1'!M3</f>
        <v>429071.62</v>
      </c>
      <c r="O3" s="15"/>
      <c r="P3" s="25"/>
      <c r="Q3" s="9"/>
      <c r="R3" s="9"/>
      <c r="S3" s="9"/>
      <c r="T3" s="9"/>
      <c r="U3" s="9"/>
      <c r="V3" s="9"/>
      <c r="W3" s="9"/>
      <c r="X3" s="9"/>
      <c r="Y3" s="9"/>
      <c r="Z3" s="9"/>
      <c r="AA3" s="9"/>
      <c r="AB3" s="9"/>
      <c r="AC3" s="9"/>
      <c r="AD3" s="9"/>
      <c r="AE3" s="9"/>
      <c r="AF3" s="9"/>
    </row>
    <row r="4">
      <c r="A4" s="11" t="s">
        <v>9</v>
      </c>
      <c r="B4" s="14" t="s">
        <v>8</v>
      </c>
      <c r="C4" s="14">
        <f>'Ideal Plaza'!B4+'Salt Lake JC -21'!B4+'Forum Mall'!B4+'Lake Town'!B4+'Quest Mall'!B4+'Rosedale Plaza'!B4+'Mani Square Mall'!B4+'Forum Rangoli'!B4+CSC!B4+Jameslong!B4+Technopolis!B4+Santoshpur!B4+'Chinar Park'!B4+'Lake Road'!B4+Kalikapur!B4+'Event Sales'!B4+'Sector 1'!B4+23882</f>
        <v>4234148.04</v>
      </c>
      <c r="D4" s="14">
        <f>'Ideal Plaza'!C4+'Salt Lake JC -21'!C4+'Forum Mall'!C4+'Lake Town'!C4+'Quest Mall'!C4+'Rosedale Plaza'!C4+'Mani Square Mall'!C4+'Forum Rangoli'!C4+CSC!C4+Jameslong!C4+Technopolis!C4+Santoshpur!C4+'Chinar Park'!C4+'Lake Road'!C4+Kalikapur!C4+'Event Sales'!C4+'Sector 1'!C4+121780</f>
        <v>4730248.46</v>
      </c>
      <c r="E4" s="14">
        <f>'Ideal Plaza'!D4+'Salt Lake JC -21'!D4+'Forum Mall'!D4+'Lake Town'!D4+'Quest Mall'!D4+'Rosedale Plaza'!D4+'Mani Square Mall'!D4+'Forum Rangoli'!D4+CSC!D4+Jameslong!D4+Technopolis!D4+Santoshpur!D4+'Chinar Park'!D4+'Lake Road'!D4+Kalikapur!D4+'Event Sales'!D4+'Sector 1'!D4+19791</f>
        <v>4509359.05</v>
      </c>
      <c r="F4" s="14">
        <f>'Ideal Plaza'!E4+'Salt Lake JC -21'!E4+'Forum Mall'!E4+'Lake Town'!E4+'Quest Mall'!E4+'Rosedale Plaza'!E4+'Mani Square Mall'!E4+'Forum Rangoli'!E4+CSC!E4+Jameslong!E4+Technopolis!E4+Santoshpur!E4+'Chinar Park'!E4+'Lake Road'!E4+Kalikapur!E4+'Event Sales'!E4+'Sector 1'!E4+173336</f>
        <v>5001231.92</v>
      </c>
      <c r="G4" s="14">
        <f>'Ideal Plaza'!F4+'Salt Lake JC -21'!F4+'Forum Mall'!F4+'Lake Town'!F4+'Quest Mall'!F4+'Rosedale Plaza'!F4+'Mani Square Mall'!F4+'Forum Rangoli'!F4+CSC!F4+Jameslong!F4+Technopolis!F4+Santoshpur!F4+'Chinar Park'!F4+'Lake Road'!F4+Kalikapur!F4+'Event Sales'!F4+'Sector 1'!F4+46932</f>
        <v>4933701.66</v>
      </c>
      <c r="H4" s="14">
        <f>'Ideal Plaza'!G4+'Salt Lake JC -21'!G4+'Forum Mall'!G4+'Lake Town'!G4+'Quest Mall'!G4+'Rosedale Plaza'!G4+'Mani Square Mall'!G4+'Forum Rangoli'!G4+CSC!G4+Jameslong!G4+Technopolis!G4+Santoshpur!G4+'Chinar Park'!G4+'Lake Road'!G4+Kalikapur!G4+'Event Sales'!G4+'Sector 1'!G4+398499</f>
        <v>5209917.76</v>
      </c>
      <c r="I4" s="14">
        <f>'Ideal Plaza'!H4+'Salt Lake JC -21'!H4+'Forum Mall'!H4+'Lake Town'!H4+'Quest Mall'!H4+'Rosedale Plaza'!H4+'Mani Square Mall'!H4+'Forum Rangoli'!H4+CSC!H4+Jameslong!H4+Technopolis!H4+Santoshpur!H4+'Chinar Park'!H4+'Lake Road'!H4+Kalikapur!H4+'Event Sales'!H4+'Sector 1'!H4+168591</f>
        <v>4961053.3</v>
      </c>
      <c r="J4" s="14">
        <f>'Ideal Plaza'!I4+'Salt Lake JC -21'!I4+'Forum Mall'!I4+'Lake Town'!I4+'Quest Mall'!I4+'Rosedale Plaza'!I4+'Mani Square Mall'!I4+'Forum Rangoli'!I4+CSC!I4+Jameslong!I4+Technopolis!I4+Santoshpur!I4+'Chinar Park'!I4+'Lake Road'!I4+Kalikapur!I4+'Event Sales'!I4+'Sector 1'!I4+145899</f>
        <v>4685135.03</v>
      </c>
      <c r="K4" s="14">
        <f>'Ideal Plaza'!J4+'Salt Lake JC -21'!J4+'Forum Mall'!J4+'Lake Town'!J4+'Quest Mall'!J4+'Rosedale Plaza'!J4+'Mani Square Mall'!J4+'Forum Rangoli'!J4+CSC!J4+Jameslong!J4+Technopolis!J4+Santoshpur!J4+'Chinar Park'!J4+'Lake Road'!J4+Kalikapur!J4+'Event Sales'!J4+'Sector 1'!J4+128494</f>
        <v>4955138.65</v>
      </c>
      <c r="L4" s="14">
        <f>'Ideal Plaza'!K4+'Salt Lake JC -21'!K4+'Forum Mall'!K4+'Lake Town'!K4+'Quest Mall'!K4+'Rosedale Plaza'!K4+'Mani Square Mall'!K4+'Forum Rangoli'!K4+CSC!K4+Jameslong!K4+Technopolis!K4+Santoshpur!K4+'Chinar Park'!K4+'Lake Road'!K4+Kalikapur!K4+'Event Sales'!K4+'Sector 1'!K4+29018</f>
        <v>4958819.23</v>
      </c>
      <c r="M4" s="14">
        <f>'Ideal Plaza'!L4+'Salt Lake JC -21'!L4+'Forum Mall'!L4+'Lake Town'!L4+'Quest Mall'!L4+'Rosedale Plaza'!L4+'Mani Square Mall'!L4+'Forum Rangoli'!L4+CSC!L4+Jameslong!L4+Technopolis!L4+Santoshpur!L4+'Chinar Park'!L4+'Lake Road'!L4+Kalikapur!L4+'Event Sales'!L4+'Sector 1'!L4+200000</f>
        <v>4678972.68</v>
      </c>
      <c r="N4" s="14">
        <f>'Ideal Plaza'!M4+'Salt Lake JC -21'!M4+'Forum Mall'!M4+'Lake Town'!M4+'Quest Mall'!M4+'Rosedale Plaza'!M4+'Mani Square Mall'!M4+'Forum Rangoli'!M4+CSC!M4+Jameslong!M4+Technopolis!M4+Santoshpur!M4+'Chinar Park'!M4+'Lake Road'!M4+Kalikapur!M4+'Event Sales'!M4+'Sector 1'!M4+188921</f>
        <v>5687723.76</v>
      </c>
      <c r="O4" s="15">
        <f t="shared" ref="O4:O7" si="1">sum(C4:N4)</f>
        <v>58545449.54</v>
      </c>
      <c r="P4" s="25"/>
      <c r="Q4" s="31"/>
      <c r="R4" s="9"/>
      <c r="S4" s="9"/>
      <c r="T4" s="9"/>
      <c r="U4" s="9"/>
      <c r="V4" s="9"/>
      <c r="W4" s="9"/>
      <c r="X4" s="9"/>
      <c r="Y4" s="9"/>
      <c r="Z4" s="9"/>
      <c r="AA4" s="9"/>
      <c r="AB4" s="9"/>
      <c r="AC4" s="9"/>
      <c r="AD4" s="9"/>
      <c r="AE4" s="9"/>
      <c r="AF4" s="9"/>
    </row>
    <row r="5">
      <c r="A5" s="11" t="s">
        <v>10</v>
      </c>
      <c r="B5" s="14" t="s">
        <v>8</v>
      </c>
      <c r="C5" s="14">
        <f>'Ideal Plaza'!B5+'Salt Lake JC -21'!B5+'Forum Mall'!B5+'Lake Town'!B5+'Quest Mall'!B5+'Rosedale Plaza'!B5+'Mani Square Mall'!B5+'Forum Rangoli'!B5+CSC!B5+Jameslong!B5+Technopolis!B5+Santoshpur!B5+'Chinar Park'!B5+'Lake Road'!B5+Kalikapur!B5+'Event Sales'!B5+'Sector 1'!B5</f>
        <v>9164.38</v>
      </c>
      <c r="D5" s="14">
        <f>'Ideal Plaza'!C5+'Salt Lake JC -21'!C5+'Forum Mall'!C5+'Lake Town'!C5+'Quest Mall'!C5+'Rosedale Plaza'!C5+'Mani Square Mall'!C5+'Forum Rangoli'!C5+CSC!C5+Jameslong!C5+Technopolis!C5+Santoshpur!C5+'Chinar Park'!C5+'Lake Road'!C5+Kalikapur!C5+'Event Sales'!C5+'Sector 1'!C5</f>
        <v>19210.5</v>
      </c>
      <c r="E5" s="14">
        <f>'Ideal Plaza'!D5+'Salt Lake JC -21'!D5+'Forum Mall'!D5+'Lake Town'!D5+'Quest Mall'!D5+'Rosedale Plaza'!D5+'Mani Square Mall'!D5+'Forum Rangoli'!D5+CSC!D5+Jameslong!D5+Technopolis!D5+Santoshpur!D5+'Chinar Park'!D5+'Lake Road'!D5+Kalikapur!D5+'Event Sales'!D5+'Sector 1'!D5</f>
        <v>9349.45</v>
      </c>
      <c r="F5" s="14">
        <f>'Ideal Plaza'!E5+'Salt Lake JC -21'!E5+'Forum Mall'!E5+'Lake Town'!E5+'Quest Mall'!E5+'Rosedale Plaza'!E5+'Mani Square Mall'!E5+'Forum Rangoli'!E5+CSC!E5+Jameslong!E5+Technopolis!E5+Santoshpur!E5+'Chinar Park'!E5+'Lake Road'!E5+Kalikapur!E5+'Event Sales'!E5+'Sector 1'!E5</f>
        <v>14961.98</v>
      </c>
      <c r="G5" s="14">
        <f>'Ideal Plaza'!F5+'Salt Lake JC -21'!F5+'Forum Mall'!F5+'Lake Town'!F5+'Quest Mall'!F5+'Rosedale Plaza'!F5+'Mani Square Mall'!F5+'Forum Rangoli'!F5+CSC!F5+Jameslong!F5+Technopolis!F5+Santoshpur!F5+'Chinar Park'!F5+'Lake Road'!F5+Kalikapur!F5+'Event Sales'!F5+'Sector 1'!F5</f>
        <v>5568.7</v>
      </c>
      <c r="H5" s="14">
        <f>'Ideal Plaza'!G5+'Salt Lake JC -21'!G5+'Forum Mall'!G5+'Lake Town'!G5+'Quest Mall'!G5+'Rosedale Plaza'!G5+'Mani Square Mall'!G5+'Forum Rangoli'!G5+CSC!G5+Jameslong!G5+Technopolis!G5+Santoshpur!G5+'Chinar Park'!G5+'Lake Road'!G5+Kalikapur!G5+'Event Sales'!G5+'Sector 1'!G5</f>
        <v>11717.04</v>
      </c>
      <c r="I5" s="14">
        <f>'Ideal Plaza'!H5+'Salt Lake JC -21'!H5+'Forum Mall'!H5+'Lake Town'!H5+'Quest Mall'!H5+'Rosedale Plaza'!H5+'Mani Square Mall'!H5+'Forum Rangoli'!H5+CSC!H5+Jameslong!H5+Technopolis!H5+Santoshpur!H5+'Chinar Park'!H5+'Lake Road'!H5+Kalikapur!H5+'Event Sales'!H5+'Sector 1'!H5</f>
        <v>10777.79</v>
      </c>
      <c r="J5" s="14">
        <f>'Ideal Plaza'!I5+'Salt Lake JC -21'!I5+'Forum Mall'!I5+'Lake Town'!I5+'Quest Mall'!I5+'Rosedale Plaza'!I5+'Mani Square Mall'!I5+'Forum Rangoli'!I5+CSC!I5+Jameslong!I5+Technopolis!I5+Santoshpur!I5+'Chinar Park'!I5+'Lake Road'!I5+Kalikapur!I5+'Event Sales'!I5+'Sector 1'!I5</f>
        <v>9860.07</v>
      </c>
      <c r="K5" s="14">
        <f>'Ideal Plaza'!J5+'Salt Lake JC -21'!J5+'Forum Mall'!J5+'Lake Town'!J5+'Quest Mall'!J5+'Rosedale Plaza'!J5+'Mani Square Mall'!J5+'Forum Rangoli'!J5+CSC!J5+Jameslong!J5+Technopolis!J5+Santoshpur!J5+'Chinar Park'!J5+'Lake Road'!J5+Kalikapur!J5+'Event Sales'!J5+'Sector 1'!J5</f>
        <v>21200.61</v>
      </c>
      <c r="L5" s="14">
        <f>'Ideal Plaza'!K5+'Salt Lake JC -21'!K5+'Forum Mall'!K5+'Lake Town'!K5+'Quest Mall'!K5+'Rosedale Plaza'!K5+'Mani Square Mall'!K5+'Forum Rangoli'!K5+CSC!K5+Jameslong!K5+Technopolis!K5+Santoshpur!K5+'Chinar Park'!K5+'Lake Road'!K5+Kalikapur!K5+'Event Sales'!K5+'Sector 1'!K5</f>
        <v>29154.29</v>
      </c>
      <c r="M5" s="14">
        <f>'Ideal Plaza'!L5+'Salt Lake JC -21'!L5+'Forum Mall'!L5+'Lake Town'!L5+'Quest Mall'!L5+'Rosedale Plaza'!L5+'Mani Square Mall'!L5+'Forum Rangoli'!L5+CSC!L5+Jameslong!L5+Technopolis!L5+Santoshpur!L5+'Chinar Park'!L5+'Lake Road'!L5+Kalikapur!L5+'Event Sales'!L5+'Sector 1'!L5</f>
        <v>13572.94</v>
      </c>
      <c r="N5" s="14">
        <f>'Ideal Plaza'!M5+'Salt Lake JC -21'!M5+'Forum Mall'!M5+'Lake Town'!M5+'Quest Mall'!M5+'Rosedale Plaza'!M5+'Mani Square Mall'!M5+'Forum Rangoli'!M5+CSC!M5+Jameslong!M5+Technopolis!M5+Santoshpur!M5+'Chinar Park'!M5+'Lake Road'!M5+Kalikapur!M5+'Event Sales'!M5+'Sector 1'!M5</f>
        <v>9274.74</v>
      </c>
      <c r="O5" s="15">
        <f t="shared" si="1"/>
        <v>163812.49</v>
      </c>
      <c r="P5" s="25"/>
      <c r="Q5" s="9"/>
      <c r="R5" s="9"/>
      <c r="S5" s="9"/>
      <c r="T5" s="9"/>
      <c r="U5" s="9"/>
      <c r="V5" s="9"/>
      <c r="W5" s="9"/>
      <c r="X5" s="9"/>
      <c r="Y5" s="9"/>
      <c r="Z5" s="9"/>
      <c r="AA5" s="9"/>
      <c r="AB5" s="9"/>
      <c r="AC5" s="9"/>
      <c r="AD5" s="9"/>
      <c r="AE5" s="9"/>
      <c r="AF5" s="9"/>
    </row>
    <row r="6">
      <c r="A6" s="11" t="s">
        <v>11</v>
      </c>
      <c r="B6" s="14" t="s">
        <v>8</v>
      </c>
      <c r="C6" s="14">
        <f>'Ideal Plaza'!B6+'Salt Lake JC -21'!B6+'Forum Mall'!B6+'Lake Town'!B6+'Quest Mall'!B6+'Rosedale Plaza'!B6+'Mani Square Mall'!B6+'Forum Rangoli'!B6+CSC!B6+Jameslong!B6+Technopolis!B6+Santoshpur!B6+'Chinar Park'!B6+'Lake Road'!B6+Kalikapur!B6+'Event Sales'!B6+'Sector 1'!B6</f>
        <v>169576.18</v>
      </c>
      <c r="D6" s="14">
        <f>'Ideal Plaza'!C6+'Salt Lake JC -21'!C6+'Forum Mall'!C6+'Lake Town'!C6+'Quest Mall'!C6+'Rosedale Plaza'!C6+'Mani Square Mall'!C6+'Forum Rangoli'!C6+CSC!C6+Jameslong!C6+Technopolis!C6+Santoshpur!C6+'Chinar Park'!C6+'Lake Road'!C6+Kalikapur!C6+'Event Sales'!C6+'Sector 1'!C6</f>
        <v>159755.04</v>
      </c>
      <c r="E6" s="14">
        <f>'Ideal Plaza'!D6+'Salt Lake JC -21'!D6+'Forum Mall'!D6+'Lake Town'!D6+'Quest Mall'!D6+'Rosedale Plaza'!D6+'Mani Square Mall'!D6+'Forum Rangoli'!D6+CSC!D6+Jameslong!D6+Technopolis!D6+Santoshpur!D6+'Chinar Park'!D6+'Lake Road'!D6+Kalikapur!D6+'Event Sales'!D6+'Sector 1'!D6</f>
        <v>155713.59</v>
      </c>
      <c r="F6" s="14">
        <f>'Ideal Plaza'!E6+'Salt Lake JC -21'!E6+'Forum Mall'!E6+'Lake Town'!E6+'Quest Mall'!E6+'Rosedale Plaza'!E6+'Mani Square Mall'!E6+'Forum Rangoli'!E6+CSC!E6+Jameslong!E6+Technopolis!E6+Santoshpur!E6+'Chinar Park'!E6+'Lake Road'!E6+Kalikapur!E6+'Event Sales'!E6+'Sector 1'!E6</f>
        <v>168665.32</v>
      </c>
      <c r="G6" s="14">
        <f>'Ideal Plaza'!F6+'Salt Lake JC -21'!F6+'Forum Mall'!F6+'Lake Town'!F6+'Quest Mall'!F6+'Rosedale Plaza'!F6+'Mani Square Mall'!F6+'Forum Rangoli'!F6+CSC!F6+Jameslong!F6+Technopolis!F6+Santoshpur!F6+'Chinar Park'!F6+'Lake Road'!F6+Kalikapur!F6+'Event Sales'!F6+'Sector 1'!F6</f>
        <v>154617.53</v>
      </c>
      <c r="H6" s="14">
        <f>'Ideal Plaza'!G6+'Salt Lake JC -21'!G6+'Forum Mall'!G6+'Lake Town'!G6+'Quest Mall'!G6+'Rosedale Plaza'!G6+'Mani Square Mall'!G6+'Forum Rangoli'!G6+CSC!G6+Jameslong!G6+Technopolis!G6+Santoshpur!G6+'Chinar Park'!G6+'Lake Road'!G6+Kalikapur!G6+'Event Sales'!G6+'Sector 1'!G6</f>
        <v>158807.8</v>
      </c>
      <c r="I6" s="14">
        <f>'Ideal Plaza'!H6+'Salt Lake JC -21'!H6+'Forum Mall'!H6+'Lake Town'!H6+'Quest Mall'!H6+'Rosedale Plaza'!H6+'Mani Square Mall'!H6+'Forum Rangoli'!H6+CSC!H6+Jameslong!H6+Technopolis!H6+Santoshpur!H6+'Chinar Park'!H6+'Lake Road'!H6+Kalikapur!H6+'Event Sales'!H6+'Sector 1'!H6</f>
        <v>164011.6</v>
      </c>
      <c r="J6" s="14">
        <f>'Ideal Plaza'!I6+'Salt Lake JC -21'!I6+'Forum Mall'!I6+'Lake Town'!I6+'Quest Mall'!I6+'Rosedale Plaza'!I6+'Mani Square Mall'!I6+'Forum Rangoli'!I6+CSC!I6+Jameslong!I6+Technopolis!I6+Santoshpur!I6+'Chinar Park'!I6+'Lake Road'!I6+Kalikapur!I6+'Event Sales'!I6+'Sector 1'!I6</f>
        <v>187550.4</v>
      </c>
      <c r="K6" s="14">
        <f>'Ideal Plaza'!J6+'Salt Lake JC -21'!J6+'Forum Mall'!J6+'Lake Town'!J6+'Quest Mall'!J6+'Rosedale Plaza'!J6+'Mani Square Mall'!J6+'Forum Rangoli'!J6+CSC!J6+Jameslong!J6+Technopolis!J6+Santoshpur!J6+'Chinar Park'!J6+'Lake Road'!J6+Kalikapur!J6+'Event Sales'!J6+'Sector 1'!J6</f>
        <v>195248.6</v>
      </c>
      <c r="L6" s="14">
        <f>'Ideal Plaza'!K6+'Salt Lake JC -21'!K6+'Forum Mall'!K6+'Lake Town'!K6+'Quest Mall'!K6+'Rosedale Plaza'!K6+'Mani Square Mall'!K6+'Forum Rangoli'!K6+CSC!K6+Jameslong!K6+Technopolis!K6+Santoshpur!K6+'Chinar Park'!K6+'Lake Road'!K6+Kalikapur!K6+'Event Sales'!K6+'Sector 1'!K6</f>
        <v>175367.27</v>
      </c>
      <c r="M6" s="14">
        <f>'Ideal Plaza'!L6+'Salt Lake JC -21'!L6+'Forum Mall'!L6+'Lake Town'!L6+'Quest Mall'!L6+'Rosedale Plaza'!L6+'Mani Square Mall'!L6+'Forum Rangoli'!L6+CSC!L6+Jameslong!L6+Technopolis!L6+Santoshpur!L6+'Chinar Park'!L6+'Lake Road'!L6+Kalikapur!L6+'Event Sales'!L6+'Sector 1'!L6</f>
        <v>174857.3</v>
      </c>
      <c r="N6" s="14">
        <f>'Ideal Plaza'!M6+'Salt Lake JC -21'!M6+'Forum Mall'!M6+'Lake Town'!M6+'Quest Mall'!M6+'Rosedale Plaza'!M6+'Mani Square Mall'!M6+'Forum Rangoli'!M6+CSC!M6+Jameslong!M6+Technopolis!M6+Santoshpur!M6+'Chinar Park'!M6+'Lake Road'!M6+Kalikapur!M6+'Event Sales'!M6+'Sector 1'!M6</f>
        <v>193727.21</v>
      </c>
      <c r="O6" s="15">
        <f t="shared" si="1"/>
        <v>2057897.84</v>
      </c>
      <c r="P6" s="25"/>
      <c r="Q6" s="9"/>
      <c r="R6" s="9"/>
      <c r="S6" s="9"/>
      <c r="T6" s="9"/>
      <c r="U6" s="9"/>
      <c r="V6" s="9"/>
      <c r="W6" s="9"/>
      <c r="X6" s="9"/>
      <c r="Y6" s="9"/>
      <c r="Z6" s="9"/>
      <c r="AA6" s="9"/>
      <c r="AB6" s="9"/>
      <c r="AC6" s="9"/>
      <c r="AD6" s="9"/>
      <c r="AE6" s="9"/>
      <c r="AF6" s="9"/>
    </row>
    <row r="7">
      <c r="A7" s="11" t="s">
        <v>12</v>
      </c>
      <c r="B7" s="14" t="s">
        <v>8</v>
      </c>
      <c r="C7" s="14">
        <f>'Ideal Plaza'!B7+'Salt Lake JC -21'!B7+'Forum Mall'!B7+'Lake Town'!B7+'Quest Mall'!B7+'Rosedale Plaza'!B7+'Mani Square Mall'!B7+'Forum Rangoli'!B7+CSC!B7+Jameslong!B7+Technopolis!B7+Santoshpur!B7+'Chinar Park'!B7+'Lake Road'!B7+Kalikapur!B7+'Event Sales'!B7+'Sector 1'!B7</f>
        <v>511140.61</v>
      </c>
      <c r="D7" s="14">
        <f>'Ideal Plaza'!C7+'Salt Lake JC -21'!C7+'Forum Mall'!C7+'Lake Town'!C7+'Quest Mall'!C7+'Rosedale Plaza'!C7+'Mani Square Mall'!C7+'Forum Rangoli'!C7+CSC!C7+Jameslong!C7+Technopolis!C7+Santoshpur!C7+'Chinar Park'!C7+'Lake Road'!C7+Kalikapur!C7+'Event Sales'!C7+'Sector 1'!C7</f>
        <v>503059.99</v>
      </c>
      <c r="E7" s="14">
        <f>'Ideal Plaza'!D7+'Salt Lake JC -21'!D7+'Forum Mall'!D7+'Lake Town'!D7+'Quest Mall'!D7+'Rosedale Plaza'!D7+'Mani Square Mall'!D7+'Forum Rangoli'!D7+CSC!D7+Jameslong!D7+Technopolis!D7+Santoshpur!D7+'Chinar Park'!D7+'Lake Road'!D7+Kalikapur!D7+'Event Sales'!D7+'Sector 1'!D7</f>
        <v>509757.55</v>
      </c>
      <c r="F7" s="14">
        <f>'Ideal Plaza'!E7+'Salt Lake JC -21'!E7+'Forum Mall'!E7+'Lake Town'!E7+'Quest Mall'!E7+'Rosedale Plaza'!E7+'Mani Square Mall'!E7+'Forum Rangoli'!E7+CSC!E7+Jameslong!E7+Technopolis!E7+Santoshpur!E7+'Chinar Park'!E7+'Lake Road'!E7+Kalikapur!E7+'Event Sales'!E7+'Sector 1'!E7</f>
        <v>535959.05</v>
      </c>
      <c r="G7" s="14">
        <f>'Ideal Plaza'!F7+'Salt Lake JC -21'!F7+'Forum Mall'!F7+'Lake Town'!F7+'Quest Mall'!F7+'Rosedale Plaza'!F7+'Mani Square Mall'!F7+'Forum Rangoli'!F7+CSC!F7+Jameslong!F7+Technopolis!F7+Santoshpur!F7+'Chinar Park'!F7+'Lake Road'!F7+Kalikapur!F7+'Event Sales'!F7+'Sector 1'!F7</f>
        <v>475720.3</v>
      </c>
      <c r="H7" s="14">
        <f>'Ideal Plaza'!G7+'Salt Lake JC -21'!G7+'Forum Mall'!G7+'Lake Town'!G7+'Quest Mall'!G7+'Rosedale Plaza'!G7+'Mani Square Mall'!G7+'Forum Rangoli'!G7+CSC!G7+Jameslong!G7+Technopolis!G7+Santoshpur!G7+'Chinar Park'!G7+'Lake Road'!G7+Kalikapur!G7+'Event Sales'!G7+'Sector 1'!G7</f>
        <v>580618.48</v>
      </c>
      <c r="I7" s="14">
        <f>'Ideal Plaza'!H7+'Salt Lake JC -21'!H7+'Forum Mall'!H7+'Lake Town'!H7+'Quest Mall'!H7+'Rosedale Plaza'!H7+'Mani Square Mall'!H7+'Forum Rangoli'!H7+CSC!H7+Jameslong!H7+Technopolis!H7+Santoshpur!H7+'Chinar Park'!H7+'Lake Road'!H7+Kalikapur!H7+'Event Sales'!H7+'Sector 1'!H7</f>
        <v>528450.61</v>
      </c>
      <c r="J7" s="14">
        <f>'Ideal Plaza'!I7+'Salt Lake JC -21'!I7+'Forum Mall'!I7+'Lake Town'!I7+'Quest Mall'!I7+'Rosedale Plaza'!I7+'Mani Square Mall'!I7+'Forum Rangoli'!I7+CSC!I7+Jameslong!I7+Technopolis!I7+Santoshpur!I7+'Chinar Park'!I7+'Lake Road'!I7+Kalikapur!I7+'Event Sales'!I7+'Sector 1'!I7</f>
        <v>489106.08</v>
      </c>
      <c r="K7" s="14">
        <f>'Ideal Plaza'!J7+'Salt Lake JC -21'!J7+'Forum Mall'!J7+'Lake Town'!J7+'Quest Mall'!J7+'Rosedale Plaza'!J7+'Mani Square Mall'!J7+'Forum Rangoli'!J7+CSC!J7+Jameslong!J7+Technopolis!J7+Santoshpur!J7+'Chinar Park'!J7+'Lake Road'!J7+Kalikapur!J7+'Event Sales'!J7+'Sector 1'!J7</f>
        <v>537937.63</v>
      </c>
      <c r="L7" s="14">
        <f>'Ideal Plaza'!K7+'Salt Lake JC -21'!K7+'Forum Mall'!K7+'Lake Town'!K7+'Quest Mall'!K7+'Rosedale Plaza'!K7+'Mani Square Mall'!K7+'Forum Rangoli'!K7+CSC!K7+Jameslong!K7+Technopolis!K7+Santoshpur!K7+'Chinar Park'!K7+'Lake Road'!K7+Kalikapur!K7+'Event Sales'!K7+'Sector 1'!K7</f>
        <v>501684.15</v>
      </c>
      <c r="M7" s="14">
        <f>'Ideal Plaza'!L7+'Salt Lake JC -21'!L7+'Forum Mall'!L7+'Lake Town'!L7+'Quest Mall'!L7+'Rosedale Plaza'!L7+'Mani Square Mall'!L7+'Forum Rangoli'!L7+CSC!L7+Jameslong!L7+Technopolis!L7+Santoshpur!L7+'Chinar Park'!L7+'Lake Road'!L7+Kalikapur!L7+'Event Sales'!L7+'Sector 1'!L7</f>
        <v>429071.62</v>
      </c>
      <c r="N7" s="14">
        <f>'Ideal Plaza'!M7+'Salt Lake JC -21'!M7+'Forum Mall'!M7+'Lake Town'!M7+'Quest Mall'!M7+'Rosedale Plaza'!M7+'Mani Square Mall'!M7+'Forum Rangoli'!M7+CSC!M7+Jameslong!M7+Technopolis!M7+Santoshpur!M7+'Chinar Park'!M7+'Lake Road'!M7+Kalikapur!M7+'Event Sales'!M7+'Sector 1'!M7</f>
        <v>447327.4</v>
      </c>
      <c r="O7" s="15">
        <f t="shared" si="1"/>
        <v>6049833.47</v>
      </c>
      <c r="P7" s="25"/>
      <c r="Q7" s="9"/>
      <c r="R7" s="9"/>
      <c r="S7" s="9"/>
      <c r="T7" s="9"/>
      <c r="U7" s="9"/>
      <c r="V7" s="9"/>
      <c r="W7" s="9"/>
      <c r="X7" s="9"/>
      <c r="Y7" s="9"/>
      <c r="Z7" s="9"/>
      <c r="AA7" s="9"/>
      <c r="AB7" s="9"/>
      <c r="AC7" s="9"/>
      <c r="AD7" s="9"/>
      <c r="AE7" s="9"/>
      <c r="AF7" s="9"/>
    </row>
    <row r="8">
      <c r="A8" s="8"/>
      <c r="B8" s="8"/>
      <c r="C8" s="8"/>
      <c r="D8" s="8"/>
      <c r="E8" s="8"/>
      <c r="F8" s="8"/>
      <c r="G8" s="10"/>
      <c r="H8" s="8"/>
      <c r="I8" s="8"/>
      <c r="J8" s="8"/>
      <c r="K8" s="8"/>
      <c r="L8" s="8"/>
      <c r="M8" s="8"/>
      <c r="N8" s="8"/>
      <c r="O8" s="8"/>
      <c r="P8" s="8"/>
      <c r="Q8" s="9"/>
      <c r="R8" s="9"/>
      <c r="S8" s="9"/>
      <c r="T8" s="9"/>
      <c r="U8" s="9"/>
      <c r="V8" s="9"/>
      <c r="W8" s="9"/>
      <c r="X8" s="9"/>
      <c r="Y8" s="9"/>
      <c r="Z8" s="9"/>
      <c r="AA8" s="9"/>
      <c r="AB8" s="9"/>
      <c r="AC8" s="9"/>
      <c r="AD8" s="9"/>
      <c r="AE8" s="9"/>
      <c r="AF8" s="9"/>
    </row>
    <row r="9">
      <c r="A9" s="19" t="s">
        <v>13</v>
      </c>
      <c r="B9" s="14" t="s">
        <v>38</v>
      </c>
      <c r="C9" s="14">
        <f>'Ideal Plaza'!B9+'Salt Lake JC -21'!B9+'Forum Mall'!B9+'Lake Town'!B9+'Quest Mall'!B9+'Rosedale Plaza'!B9+'Mani Square Mall'!B9+'Forum Rangoli'!B9+CSC!B9+Jameslong!B9+Technopolis!B9+Santoshpur!B9+'Chinar Park'!B9+'Lake Road'!B9+Kalikapur!B9+'Event Sales'!B9+'Sector 1'!B9</f>
        <v>19139166.36</v>
      </c>
      <c r="D9" s="14">
        <f>'Ideal Plaza'!C9+'Salt Lake JC -21'!C9+'Forum Mall'!C9+'Lake Town'!C9+'Quest Mall'!C9+'Rosedale Plaza'!C9+'Mani Square Mall'!C9+'Forum Rangoli'!C9+CSC!C9+Jameslong!C9+Technopolis!C9+Santoshpur!C9+'Chinar Park'!C9+'Lake Road'!C9+Kalikapur!C9+'Event Sales'!C9+'Sector 1'!C9</f>
        <v>21117889.01</v>
      </c>
      <c r="E9" s="14">
        <f>'Ideal Plaza'!D9+'Salt Lake JC -21'!D9+'Forum Mall'!D9+'Lake Town'!D9+'Quest Mall'!D9+'Rosedale Plaza'!D9+'Mani Square Mall'!D9+'Forum Rangoli'!D9+CSC!D9+Jameslong!D9+Technopolis!D9+Santoshpur!D9+'Chinar Park'!D9+'Lake Road'!D9+Kalikapur!D9+'Event Sales'!D9+'Sector 1'!D9</f>
        <v>20900295.66</v>
      </c>
      <c r="F9" s="14">
        <f>'Ideal Plaza'!E9+'Salt Lake JC -21'!E9+'Forum Mall'!E9+'Lake Town'!E9+'Quest Mall'!E9+'Rosedale Plaza'!E9+'Mani Square Mall'!E9+'Forum Rangoli'!E9+CSC!E9+Jameslong!E9+Technopolis!E9+Santoshpur!E9+'Chinar Park'!E9+'Lake Road'!E9+Kalikapur!E9+'Event Sales'!E9+'Sector 1'!E9</f>
        <v>21852255.15</v>
      </c>
      <c r="G9" s="14">
        <f>'Ideal Plaza'!F9+'Salt Lake JC -21'!F9+'Forum Mall'!F9+'Lake Town'!F9+'Quest Mall'!F9+'Rosedale Plaza'!F9+'Mani Square Mall'!F9+'Forum Rangoli'!F9+CSC!F9+Jameslong!F9+Technopolis!F9+Santoshpur!F9+'Chinar Park'!F9+'Lake Road'!F9+Kalikapur!F9+'Event Sales'!F9+'Sector 1'!F9</f>
        <v>22073887.58</v>
      </c>
      <c r="H9" s="14">
        <f>'Ideal Plaza'!G9+'Salt Lake JC -21'!G9+'Forum Mall'!G9+'Lake Town'!G9+'Quest Mall'!G9+'Rosedale Plaza'!G9+'Mani Square Mall'!G9+'Forum Rangoli'!G9+CSC!G9+Jameslong!G9+Technopolis!G9+Santoshpur!G9+'Chinar Park'!G9+'Lake Road'!G9+Kalikapur!G9+'Event Sales'!G9+'Sector 1'!G9</f>
        <v>22114564.56</v>
      </c>
      <c r="I9" s="14">
        <f>'Ideal Plaza'!H9+'Salt Lake JC -21'!H9+'Forum Mall'!H9+'Lake Town'!H9+'Quest Mall'!H9+'Rosedale Plaza'!H9+'Mani Square Mall'!H9+'Forum Rangoli'!H9+CSC!H9+Jameslong!H9+Technopolis!H9+Santoshpur!H9+'Chinar Park'!H9+'Lake Road'!H9+Kalikapur!H9+'Event Sales'!H9+'Sector 1'!H9</f>
        <v>21781995.08</v>
      </c>
      <c r="J9" s="14">
        <f>'Ideal Plaza'!I9+'Salt Lake JC -21'!I9+'Forum Mall'!I9+'Lake Town'!I9+'Quest Mall'!I9+'Rosedale Plaza'!I9+'Mani Square Mall'!I9+'Forum Rangoli'!I9+CSC!I9+Jameslong!I9+Technopolis!I9+Santoshpur!I9+'Chinar Park'!I9+'Lake Road'!I9+Kalikapur!I9+'Event Sales'!I9+'Sector 1'!I9</f>
        <v>20044349.14</v>
      </c>
      <c r="K9" s="14">
        <f>'Ideal Plaza'!J9+'Salt Lake JC -21'!J9+'Forum Mall'!J9+'Lake Town'!J9+'Quest Mall'!J9+'Rosedale Plaza'!J9+'Mani Square Mall'!J9+'Forum Rangoli'!J9+CSC!J9+Jameslong!J9+Technopolis!J9+Santoshpur!J9+'Chinar Park'!J9+'Lake Road'!J9+Kalikapur!J9+'Event Sales'!J9+'Sector 1'!J9</f>
        <v>21084639.92</v>
      </c>
      <c r="L9" s="14">
        <f>'Ideal Plaza'!K9+'Salt Lake JC -21'!K9+'Forum Mall'!K9+'Lake Town'!K9+'Quest Mall'!K9+'Rosedale Plaza'!K9+'Mani Square Mall'!K9+'Forum Rangoli'!K9+CSC!K9+Jameslong!K9+Technopolis!K9+Santoshpur!K9+'Chinar Park'!K9+'Lake Road'!K9+Kalikapur!K9+'Event Sales'!K9+'Sector 1'!K9</f>
        <v>21435509.43</v>
      </c>
      <c r="M9" s="14">
        <f>'Ideal Plaza'!L9+'Salt Lake JC -21'!L9+'Forum Mall'!L9+'Lake Town'!L9+'Quest Mall'!L9+'Rosedale Plaza'!L9+'Mani Square Mall'!L9+'Forum Rangoli'!L9+CSC!L9+Jameslong!L9+Technopolis!L9+Santoshpur!L9+'Chinar Park'!L9+'Lake Road'!L9+Kalikapur!L9+'Event Sales'!L9+'Sector 1'!L9</f>
        <v>19010396.25</v>
      </c>
      <c r="N9" s="14">
        <f>'Ideal Plaza'!M9+'Salt Lake JC -21'!M9+'Forum Mall'!M9+'Lake Town'!M9+'Quest Mall'!M9+'Rosedale Plaza'!M9+'Mani Square Mall'!M9+'Forum Rangoli'!M9+CSC!M9+Jameslong!M9+Technopolis!M9+Santoshpur!M9+'Chinar Park'!M9+'Lake Road'!M9+Kalikapur!M9+'Event Sales'!M9+'Sector 1'!M9</f>
        <v>23883535.24</v>
      </c>
      <c r="O9" s="15">
        <f t="shared" ref="O9:O12" si="2">+SUM(C9:N9)</f>
        <v>254438483.4</v>
      </c>
      <c r="P9" s="25"/>
      <c r="Q9" s="51"/>
      <c r="R9" s="49"/>
      <c r="S9" s="49"/>
      <c r="T9" s="49"/>
      <c r="U9" s="49"/>
      <c r="V9" s="49"/>
      <c r="W9" s="49"/>
      <c r="X9" s="49"/>
      <c r="Y9" s="49"/>
      <c r="Z9" s="49"/>
      <c r="AA9" s="49"/>
      <c r="AB9" s="49"/>
      <c r="AC9" s="49"/>
      <c r="AD9" s="49"/>
      <c r="AE9" s="9"/>
      <c r="AF9" s="9"/>
    </row>
    <row r="10">
      <c r="A10" s="19" t="s">
        <v>14</v>
      </c>
      <c r="B10" s="14" t="s">
        <v>38</v>
      </c>
      <c r="C10" s="14">
        <f>'Ideal Plaza'!B10+'Salt Lake JC -21'!B10+'Forum Mall'!B10+'Lake Town'!B10+'Quest Mall'!B10+'Rosedale Plaza'!B10+'Mani Square Mall'!B10+'Forum Rangoli'!B10+CSC!B10+Jameslong!B10+Technopolis!B10+Santoshpur!B10+'Chinar Park'!B10+'Lake Road'!B10+Kalikapur!B10+'Event Sales'!B10+'Sector 1'!B10</f>
        <v>0</v>
      </c>
      <c r="D10" s="14">
        <f>'Ideal Plaza'!C10+'Salt Lake JC -21'!C10+'Forum Mall'!C10+'Lake Town'!C10+'Quest Mall'!C10+'Rosedale Plaza'!C10+'Mani Square Mall'!C10+'Forum Rangoli'!C10+CSC!C10+Jameslong!C10+Technopolis!C10+Santoshpur!C10+'Chinar Park'!C10+'Lake Road'!C10+Kalikapur!C10+'Event Sales'!C10+'Sector 1'!C10</f>
        <v>0</v>
      </c>
      <c r="E10" s="14">
        <f>'Ideal Plaza'!D10+'Salt Lake JC -21'!D10+'Forum Mall'!D10+'Lake Town'!D10+'Quest Mall'!D10+'Rosedale Plaza'!D10+'Mani Square Mall'!D10+'Forum Rangoli'!D10+CSC!D10+Jameslong!D10+Technopolis!D10+Santoshpur!D10+'Chinar Park'!D10+'Lake Road'!D10+Kalikapur!D10+'Event Sales'!D10+'Sector 1'!D10</f>
        <v>0</v>
      </c>
      <c r="F10" s="14">
        <f>'Ideal Plaza'!E10+'Salt Lake JC -21'!E10+'Forum Mall'!E10+'Lake Town'!E10+'Quest Mall'!E10+'Rosedale Plaza'!E10+'Mani Square Mall'!E10+'Forum Rangoli'!E10+CSC!E10+Jameslong!E10+Technopolis!E10+Santoshpur!E10+'Chinar Park'!E10+'Lake Road'!E10+Kalikapur!E10+'Event Sales'!E10+'Sector 1'!E10</f>
        <v>0</v>
      </c>
      <c r="G10" s="14">
        <f>'Ideal Plaza'!F10+'Salt Lake JC -21'!F10+'Forum Mall'!F10+'Lake Town'!F10+'Quest Mall'!F10+'Rosedale Plaza'!F10+'Mani Square Mall'!F10+'Forum Rangoli'!F10+CSC!F10+Jameslong!F10+Technopolis!F10+Santoshpur!F10+'Chinar Park'!F10+'Lake Road'!F10+Kalikapur!F10+'Event Sales'!F10+'Sector 1'!F10</f>
        <v>0</v>
      </c>
      <c r="H10" s="14">
        <f>'Ideal Plaza'!G10+'Salt Lake JC -21'!G10+'Forum Mall'!G10+'Lake Town'!G10+'Quest Mall'!G10+'Rosedale Plaza'!G10+'Mani Square Mall'!G10+'Forum Rangoli'!G10+CSC!G10+Jameslong!G10+Technopolis!G10+Santoshpur!G10+'Chinar Park'!G10+'Lake Road'!G10+Kalikapur!G10+'Event Sales'!G10+'Sector 1'!G10</f>
        <v>0</v>
      </c>
      <c r="I10" s="14">
        <f>'Ideal Plaza'!H10+'Salt Lake JC -21'!H10+'Forum Mall'!H10+'Lake Town'!H10+'Quest Mall'!H10+'Rosedale Plaza'!H10+'Mani Square Mall'!H10+'Forum Rangoli'!H10+CSC!H10+Jameslong!H10+Technopolis!H10+Santoshpur!H10+'Chinar Park'!H10+'Lake Road'!H10+Kalikapur!H10+'Event Sales'!H10+'Sector 1'!H10</f>
        <v>0</v>
      </c>
      <c r="J10" s="14">
        <f>'Ideal Plaza'!I10+'Salt Lake JC -21'!I10+'Forum Mall'!I10+'Lake Town'!I10+'Quest Mall'!I10+'Rosedale Plaza'!I10+'Mani Square Mall'!I10+'Forum Rangoli'!I10+CSC!I10+Jameslong!I10+Technopolis!I10+Santoshpur!I10+'Chinar Park'!I10+'Lake Road'!I10+Kalikapur!I10+'Event Sales'!I10+'Sector 1'!I10</f>
        <v>0</v>
      </c>
      <c r="K10" s="14">
        <f>'Ideal Plaza'!J10+'Salt Lake JC -21'!J10+'Forum Mall'!J10+'Lake Town'!J10+'Quest Mall'!J10+'Rosedale Plaza'!J10+'Mani Square Mall'!J10+'Forum Rangoli'!J10+CSC!J10+Jameslong!J10+Technopolis!J10+Santoshpur!J10+'Chinar Park'!J10+'Lake Road'!J10+Kalikapur!J10+'Event Sales'!J10+'Sector 1'!J10</f>
        <v>0</v>
      </c>
      <c r="L10" s="14">
        <f>'Ideal Plaza'!K10+'Salt Lake JC -21'!K10+'Forum Mall'!K10+'Lake Town'!K10+'Quest Mall'!K10+'Rosedale Plaza'!K10+'Mani Square Mall'!K10+'Forum Rangoli'!K10+CSC!K10+Jameslong!K10+Technopolis!K10+Santoshpur!K10+'Chinar Park'!K10+'Lake Road'!K10+Kalikapur!K10+'Event Sales'!K10+'Sector 1'!K10</f>
        <v>0</v>
      </c>
      <c r="M10" s="14">
        <f>'Ideal Plaza'!L10+'Salt Lake JC -21'!L10+'Forum Mall'!L10+'Lake Town'!L10+'Quest Mall'!L10+'Rosedale Plaza'!L10+'Mani Square Mall'!L10+'Forum Rangoli'!L10+CSC!L10+Jameslong!L10+Technopolis!L10+Santoshpur!L10+'Chinar Park'!L10+'Lake Road'!L10+Kalikapur!L10+'Event Sales'!L10+'Sector 1'!L10</f>
        <v>0</v>
      </c>
      <c r="N10" s="14">
        <f>'Ideal Plaza'!M10+'Salt Lake JC -21'!M10+'Forum Mall'!M10+'Lake Town'!M10+'Quest Mall'!M10+'Rosedale Plaza'!M10+'Mani Square Mall'!M10+'Forum Rangoli'!M10+CSC!M10+Jameslong!M10+Technopolis!M10+Santoshpur!M10+'Chinar Park'!M10+'Lake Road'!M10+Kalikapur!M10+'Event Sales'!M10+'Sector 1'!M10</f>
        <v>0</v>
      </c>
      <c r="O10" s="15">
        <f t="shared" si="2"/>
        <v>0</v>
      </c>
      <c r="P10" s="25"/>
      <c r="Q10" s="49"/>
      <c r="R10" s="49"/>
      <c r="S10" s="47"/>
      <c r="T10" s="9"/>
      <c r="U10" s="9"/>
      <c r="V10" s="9"/>
      <c r="W10" s="9"/>
      <c r="X10" s="9"/>
      <c r="Y10" s="9"/>
      <c r="Z10" s="9"/>
      <c r="AA10" s="9"/>
      <c r="AB10" s="9"/>
      <c r="AC10" s="9"/>
      <c r="AD10" s="47"/>
      <c r="AE10" s="9"/>
      <c r="AF10" s="9"/>
    </row>
    <row r="11">
      <c r="A11" s="19" t="s">
        <v>15</v>
      </c>
      <c r="B11" s="14" t="s">
        <v>38</v>
      </c>
      <c r="C11" s="14">
        <f>'Ideal Plaza'!B11+'Salt Lake JC -21'!B11+'Forum Mall'!B11+'Lake Town'!B11+'Quest Mall'!B11+'Rosedale Plaza'!B11+'Mani Square Mall'!B11+'Forum Rangoli'!B11+CSC!B11+Jameslong!B11+Technopolis!B11+Santoshpur!B11+'Chinar Park'!B11+'Lake Road'!B11+Kalikapur!B11+'Event Sales'!B11+'Sector 1'!B11</f>
        <v>911388.8745</v>
      </c>
      <c r="D11" s="14">
        <f>'Ideal Plaza'!C11+'Salt Lake JC -21'!C11+'Forum Mall'!C11+'Lake Town'!C11+'Quest Mall'!C11+'Rosedale Plaza'!C11+'Mani Square Mall'!C11+'Forum Rangoli'!C11+CSC!C11+Jameslong!C11+Technopolis!C11+Santoshpur!C11+'Chinar Park'!C11+'Lake Road'!C11+Kalikapur!C11+'Event Sales'!C11+'Sector 1'!C11</f>
        <v>1005613.763</v>
      </c>
      <c r="E11" s="14">
        <f>'Ideal Plaza'!D11+'Salt Lake JC -21'!D11+'Forum Mall'!D11+'Lake Town'!D11+'Quest Mall'!D11+'Rosedale Plaza'!D11+'Mani Square Mall'!D11+'Forum Rangoli'!D11+CSC!D11+Jameslong!D11+Technopolis!D11+Santoshpur!D11+'Chinar Park'!D11+'Lake Road'!D11+Kalikapur!D11+'Event Sales'!D11+'Sector 1'!D11</f>
        <v>995252.1745</v>
      </c>
      <c r="F11" s="14">
        <f>'Ideal Plaza'!E11+'Salt Lake JC -21'!E11+'Forum Mall'!E11+'Lake Town'!E11+'Quest Mall'!E11+'Rosedale Plaza'!E11+'Mani Square Mall'!E11+'Forum Rangoli'!E11+CSC!E11+Jameslong!E11+Technopolis!E11+Santoshpur!E11+'Chinar Park'!E11+'Lake Road'!E11+Kalikapur!E11+'Event Sales'!E11+'Sector 1'!E11</f>
        <v>1040583.579</v>
      </c>
      <c r="G11" s="14">
        <f>'Ideal Plaza'!F11+'Salt Lake JC -21'!F11+'Forum Mall'!F11+'Lake Town'!F11+'Quest Mall'!F11+'Rosedale Plaza'!F11+'Mani Square Mall'!F11+'Forum Rangoli'!F11+CSC!F11+Jameslong!F11+Technopolis!F11+Santoshpur!F11+'Chinar Park'!F11+'Lake Road'!F11+Kalikapur!F11+'Event Sales'!F11+'Sector 1'!F11</f>
        <v>1051137.504</v>
      </c>
      <c r="H11" s="14">
        <f>'Ideal Plaza'!G11+'Salt Lake JC -21'!G11+'Forum Mall'!G11+'Lake Town'!G11+'Quest Mall'!G11+'Rosedale Plaza'!G11+'Mani Square Mall'!G11+'Forum Rangoli'!G11+CSC!G11+Jameslong!G11+Technopolis!G11+Santoshpur!G11+'Chinar Park'!G11+'Lake Road'!G11+Kalikapur!G11+'Event Sales'!G11+'Sector 1'!G11</f>
        <v>1053074.503</v>
      </c>
      <c r="I11" s="14">
        <f>'Ideal Plaza'!H11+'Salt Lake JC -21'!H11+'Forum Mall'!H11+'Lake Town'!H11+'Quest Mall'!H11+'Rosedale Plaza'!H11+'Mani Square Mall'!H11+'Forum Rangoli'!H11+CSC!H11+Jameslong!H11+Technopolis!H11+Santoshpur!H11+'Chinar Park'!H11+'Lake Road'!H11+Kalikapur!H11+'Event Sales'!H11+'Sector 1'!H11</f>
        <v>1037237.861</v>
      </c>
      <c r="J11" s="14">
        <f>'Ideal Plaza'!I11+'Salt Lake JC -21'!I11+'Forum Mall'!I11+'Lake Town'!I11+'Quest Mall'!I11+'Rosedale Plaza'!I11+'Mani Square Mall'!I11+'Forum Rangoli'!I11+CSC!I11+Jameslong!I11+Technopolis!I11+Santoshpur!I11+'Chinar Park'!I11+'Lake Road'!I11+Kalikapur!I11+'Event Sales'!I11+'Sector 1'!I11</f>
        <v>954492.816</v>
      </c>
      <c r="K11" s="14">
        <f>'Ideal Plaza'!J11+'Salt Lake JC -21'!J11+'Forum Mall'!J11+'Lake Town'!J11+'Quest Mall'!J11+'Rosedale Plaza'!J11+'Mani Square Mall'!J11+'Forum Rangoli'!J11+CSC!J11+Jameslong!J11+Technopolis!J11+Santoshpur!J11+'Chinar Park'!J11+'Lake Road'!J11+Kalikapur!J11+'Event Sales'!J11+'Sector 1'!J11</f>
        <v>1004030.473</v>
      </c>
      <c r="L11" s="14">
        <f>'Ideal Plaza'!K11+'Salt Lake JC -21'!K11+'Forum Mall'!K11+'Lake Town'!K11+'Quest Mall'!K11+'Rosedale Plaza'!K11+'Mani Square Mall'!K11+'Forum Rangoli'!K11+CSC!K11+Jameslong!K11+Technopolis!K11+Santoshpur!K11+'Chinar Park'!K11+'Lake Road'!K11+Kalikapur!K11+'Event Sales'!K11+'Sector 1'!K11</f>
        <v>1020738.545</v>
      </c>
      <c r="M11" s="14">
        <f>'Ideal Plaza'!L11+'Salt Lake JC -21'!L11+'Forum Mall'!L11+'Lake Town'!L11+'Quest Mall'!L11+'Rosedale Plaza'!L11+'Mani Square Mall'!L11+'Forum Rangoli'!L11+CSC!L11+Jameslong!L11+Technopolis!L11+Santoshpur!L11+'Chinar Park'!L11+'Lake Road'!L11+Kalikapur!L11+'Event Sales'!L11+'Sector 1'!L11</f>
        <v>905256.9645</v>
      </c>
      <c r="N11" s="14">
        <f>'Ideal Plaza'!M11+'Salt Lake JC -21'!M11+'Forum Mall'!M11+'Lake Town'!M11+'Quest Mall'!M11+'Rosedale Plaza'!M11+'Mani Square Mall'!M11+'Forum Rangoli'!M11+CSC!M11+Jameslong!M11+Technopolis!M11+Santoshpur!M11+'Chinar Park'!M11+'Lake Road'!M11+Kalikapur!M11+'Event Sales'!M11+'Sector 1'!M11</f>
        <v>1137311.202</v>
      </c>
      <c r="O11" s="15">
        <f t="shared" si="2"/>
        <v>12116118.26</v>
      </c>
      <c r="P11" s="25"/>
      <c r="Q11" s="49"/>
      <c r="R11" s="49">
        <f>O9-O11</f>
        <v>242322365.1</v>
      </c>
      <c r="S11" s="9"/>
      <c r="T11" s="9"/>
      <c r="U11" s="9"/>
      <c r="V11" s="9"/>
      <c r="W11" s="9"/>
      <c r="X11" s="9"/>
      <c r="Y11" s="9"/>
      <c r="Z11" s="9"/>
      <c r="AA11" s="9"/>
      <c r="AB11" s="9"/>
      <c r="AC11" s="9"/>
      <c r="AD11" s="9"/>
      <c r="AE11" s="9"/>
      <c r="AF11" s="9"/>
    </row>
    <row r="12">
      <c r="A12" s="19" t="s">
        <v>17</v>
      </c>
      <c r="B12" s="14" t="s">
        <v>38</v>
      </c>
      <c r="C12" s="14">
        <f>'Ideal Plaza'!B12+'Salt Lake JC -21'!B12+'Forum Mall'!B12+'Lake Town'!B12+'Quest Mall'!B12+'Rosedale Plaza'!B12+'Mani Square Mall'!B12+'Forum Rangoli'!B12+CSC!B12+Jameslong!B12+Technopolis!B12+Santoshpur!B12+'Chinar Park'!B12+'Lake Road'!B12+Kalikapur!B12+'Event Sales'!B12+'Sector 1'!B12</f>
        <v>1472424.98</v>
      </c>
      <c r="D12" s="14">
        <f>'Ideal Plaza'!C12+'Salt Lake JC -21'!C12+'Forum Mall'!C12+'Lake Town'!C12+'Quest Mall'!C12+'Rosedale Plaza'!C12+'Mani Square Mall'!C12+'Forum Rangoli'!C12+CSC!C12+Jameslong!C12+Technopolis!C12+Santoshpur!C12+'Chinar Park'!C12+'Lake Road'!C12+Kalikapur!C12+'Event Sales'!C12+'Sector 1'!C12</f>
        <v>1754242.88</v>
      </c>
      <c r="E12" s="14">
        <f>'Ideal Plaza'!D12+'Salt Lake JC -21'!D12+'Forum Mall'!D12+'Lake Town'!D12+'Quest Mall'!D12+'Rosedale Plaza'!D12+'Mani Square Mall'!D12+'Forum Rangoli'!D12+CSC!D12+Jameslong!D12+Technopolis!D12+Santoshpur!D12+'Chinar Park'!D12+'Lake Road'!D12+Kalikapur!D12+'Event Sales'!D12+'Sector 1'!D12</f>
        <v>1807217.15</v>
      </c>
      <c r="F12" s="14">
        <f>'Ideal Plaza'!E12+'Salt Lake JC -21'!E12+'Forum Mall'!E12+'Lake Town'!E12+'Quest Mall'!E12+'Rosedale Plaza'!E12+'Mani Square Mall'!E12+'Forum Rangoli'!E12+CSC!E12+Jameslong!E12+Technopolis!E12+Santoshpur!E12+'Chinar Park'!E12+'Lake Road'!E12+Kalikapur!E12+'Event Sales'!E12+'Sector 1'!E12</f>
        <v>1894214.57</v>
      </c>
      <c r="G12" s="14">
        <f>'Ideal Plaza'!F12+'Salt Lake JC -21'!F12+'Forum Mall'!F12+'Lake Town'!F12+'Quest Mall'!F12+'Rosedale Plaza'!F12+'Mani Square Mall'!F12+'Forum Rangoli'!F12+CSC!F12+Jameslong!F12+Technopolis!F12+Santoshpur!F12+'Chinar Park'!F12+'Lake Road'!F12+Kalikapur!F12+'Event Sales'!F12+'Sector 1'!F12</f>
        <v>1928717.774</v>
      </c>
      <c r="H12" s="14">
        <f>'Ideal Plaza'!G12+'Salt Lake JC -21'!G12+'Forum Mall'!G12+'Lake Town'!G12+'Quest Mall'!G12+'Rosedale Plaza'!G12+'Mani Square Mall'!G12+'Forum Rangoli'!G12+CSC!G12+Jameslong!G12+Technopolis!G12+Santoshpur!G12+'Chinar Park'!G12+'Lake Road'!G12+Kalikapur!G12+'Event Sales'!G12+'Sector 1'!G12</f>
        <v>1812909.707</v>
      </c>
      <c r="I12" s="14">
        <f>'Ideal Plaza'!H12+'Salt Lake JC -21'!H12+'Forum Mall'!H12+'Lake Town'!H12+'Quest Mall'!H12+'Rosedale Plaza'!H12+'Mani Square Mall'!H12+'Forum Rangoli'!H12+CSC!H12+Jameslong!H12+Technopolis!H12+Santoshpur!H12+'Chinar Park'!H12+'Lake Road'!H12+Kalikapur!H12+'Event Sales'!H12+'Sector 1'!H12</f>
        <v>1975471.144</v>
      </c>
      <c r="J12" s="14">
        <f>'Ideal Plaza'!I12+'Salt Lake JC -21'!I12+'Forum Mall'!I12+'Lake Town'!I12+'Quest Mall'!I12+'Rosedale Plaza'!I12+'Mani Square Mall'!I12+'Forum Rangoli'!I12+CSC!I12+Jameslong!I12+Technopolis!I12+Santoshpur!I12+'Chinar Park'!I12+'Lake Road'!I12+Kalikapur!I12+'Event Sales'!I12+'Sector 1'!I12</f>
        <v>1751596.118</v>
      </c>
      <c r="K12" s="14">
        <f>'Ideal Plaza'!J12+'Salt Lake JC -21'!J12+'Forum Mall'!J12+'Lake Town'!J12+'Quest Mall'!J12+'Rosedale Plaza'!J12+'Mani Square Mall'!J12+'Forum Rangoli'!J12+CSC!J12+Jameslong!J12+Technopolis!J12+Santoshpur!J12+'Chinar Park'!J12+'Lake Road'!J12+Kalikapur!J12+'Event Sales'!J12+'Sector 1'!J12</f>
        <v>1688148.037</v>
      </c>
      <c r="L12" s="14">
        <f>'Ideal Plaza'!K12+'Salt Lake JC -21'!K12+'Forum Mall'!K12+'Lake Town'!K12+'Quest Mall'!K12+'Rosedale Plaza'!K12+'Mani Square Mall'!K12+'Forum Rangoli'!K12+CSC!K12+Jameslong!K12+Technopolis!K12+Santoshpur!K12+'Chinar Park'!K12+'Lake Road'!K12+Kalikapur!K12+'Event Sales'!K12+'Sector 1'!K12</f>
        <v>1700896.946</v>
      </c>
      <c r="M12" s="14">
        <f>'Ideal Plaza'!L12+'Salt Lake JC -21'!L12+'Forum Mall'!L12+'Lake Town'!L12+'Quest Mall'!L12+'Rosedale Plaza'!L12+'Mani Square Mall'!L12+'Forum Rangoli'!L12+CSC!L12+Jameslong!L12+Technopolis!L12+Santoshpur!L12+'Chinar Park'!L12+'Lake Road'!L12+Kalikapur!L12+'Event Sales'!L12+'Sector 1'!L12</f>
        <v>1637274.249</v>
      </c>
      <c r="N12" s="14">
        <f>'Ideal Plaza'!M12+'Salt Lake JC -21'!M12+'Forum Mall'!M12+'Lake Town'!M12+'Quest Mall'!M12+'Rosedale Plaza'!M12+'Mani Square Mall'!M12+'Forum Rangoli'!M12+CSC!M12+Jameslong!M12+Technopolis!M12+Santoshpur!M12+'Chinar Park'!M12+'Lake Road'!M12+Kalikapur!M12+'Event Sales'!M12+'Sector 1'!M12</f>
        <v>2081410.095</v>
      </c>
      <c r="O12" s="15">
        <f t="shared" si="2"/>
        <v>21504523.65</v>
      </c>
      <c r="P12" s="25"/>
      <c r="Q12" s="61"/>
      <c r="R12" s="9"/>
      <c r="S12" s="9"/>
      <c r="T12" s="9"/>
      <c r="U12" s="9"/>
      <c r="V12" s="9"/>
      <c r="W12" s="9"/>
      <c r="X12" s="9"/>
      <c r="Y12" s="9"/>
      <c r="Z12" s="9"/>
      <c r="AA12" s="9"/>
      <c r="AB12" s="9"/>
      <c r="AC12" s="9"/>
      <c r="AD12" s="9"/>
      <c r="AE12" s="9"/>
      <c r="AF12" s="9"/>
    </row>
    <row r="13">
      <c r="A13" s="62" t="s">
        <v>41</v>
      </c>
      <c r="B13" s="15"/>
      <c r="C13" s="27">
        <f t="shared" ref="C13:N13" si="3">C12/C9</f>
        <v>0.07693255558</v>
      </c>
      <c r="D13" s="27">
        <f t="shared" si="3"/>
        <v>0.08306904535</v>
      </c>
      <c r="E13" s="27">
        <f t="shared" si="3"/>
        <v>0.08646849686</v>
      </c>
      <c r="F13" s="27">
        <f t="shared" si="3"/>
        <v>0.08668279576</v>
      </c>
      <c r="G13" s="27">
        <f t="shared" si="3"/>
        <v>0.0873755367</v>
      </c>
      <c r="H13" s="27">
        <f t="shared" si="3"/>
        <v>0.08197808744</v>
      </c>
      <c r="I13" s="27">
        <f t="shared" si="3"/>
        <v>0.09069284686</v>
      </c>
      <c r="J13" s="27">
        <f t="shared" si="3"/>
        <v>0.08738603116</v>
      </c>
      <c r="K13" s="27">
        <f t="shared" si="3"/>
        <v>0.08006530079</v>
      </c>
      <c r="L13" s="27">
        <f t="shared" si="3"/>
        <v>0.07934949955</v>
      </c>
      <c r="M13" s="27">
        <f t="shared" si="3"/>
        <v>0.08612520363</v>
      </c>
      <c r="N13" s="27">
        <f t="shared" si="3"/>
        <v>0.08714832514</v>
      </c>
      <c r="O13" s="15"/>
      <c r="P13" s="63"/>
      <c r="Q13" s="64"/>
      <c r="R13" s="64"/>
      <c r="S13" s="64"/>
      <c r="T13" s="64"/>
      <c r="U13" s="64"/>
      <c r="V13" s="64"/>
      <c r="W13" s="64"/>
      <c r="X13" s="64"/>
      <c r="Y13" s="64"/>
      <c r="Z13" s="64"/>
      <c r="AA13" s="64"/>
      <c r="AB13" s="64"/>
      <c r="AC13" s="64"/>
      <c r="AD13" s="64"/>
      <c r="AE13" s="64"/>
      <c r="AF13" s="64"/>
    </row>
    <row r="14">
      <c r="A14" s="21" t="s">
        <v>19</v>
      </c>
      <c r="B14" s="8"/>
      <c r="C14" s="22">
        <f t="shared" ref="C14:N14" si="4">C9+C10-C11-C12</f>
        <v>16755352.51</v>
      </c>
      <c r="D14" s="22">
        <f t="shared" si="4"/>
        <v>18358032.37</v>
      </c>
      <c r="E14" s="22">
        <f t="shared" si="4"/>
        <v>18097826.34</v>
      </c>
      <c r="F14" s="23">
        <f t="shared" si="4"/>
        <v>18917457</v>
      </c>
      <c r="G14" s="23">
        <f t="shared" si="4"/>
        <v>19094032.3</v>
      </c>
      <c r="H14" s="23">
        <f t="shared" si="4"/>
        <v>19248580.35</v>
      </c>
      <c r="I14" s="22">
        <f t="shared" si="4"/>
        <v>18769286.08</v>
      </c>
      <c r="J14" s="22">
        <f t="shared" si="4"/>
        <v>17338260.2</v>
      </c>
      <c r="K14" s="22">
        <f t="shared" si="4"/>
        <v>18392461.41</v>
      </c>
      <c r="L14" s="22">
        <f t="shared" si="4"/>
        <v>18713873.94</v>
      </c>
      <c r="M14" s="22">
        <f t="shared" si="4"/>
        <v>16467865.04</v>
      </c>
      <c r="N14" s="22">
        <f t="shared" si="4"/>
        <v>20664813.95</v>
      </c>
      <c r="O14" s="22">
        <f t="shared" ref="O14:O31" si="6">sum(C14:N14)</f>
        <v>220817841.5</v>
      </c>
      <c r="P14" s="24">
        <f t="shared" ref="P14:P31" si="7">O14/$O$14</f>
        <v>1</v>
      </c>
      <c r="Q14" s="66" t="s">
        <v>43</v>
      </c>
      <c r="R14" s="61"/>
      <c r="S14" s="9"/>
      <c r="T14" s="9"/>
      <c r="U14" s="9"/>
      <c r="V14" s="9"/>
      <c r="W14" s="9"/>
      <c r="X14" s="9"/>
      <c r="Y14" s="9"/>
      <c r="Z14" s="9"/>
      <c r="AA14" s="9"/>
      <c r="AB14" s="9"/>
      <c r="AC14" s="9"/>
      <c r="AD14" s="9"/>
      <c r="AE14" s="9"/>
      <c r="AF14" s="9"/>
    </row>
    <row r="15">
      <c r="A15" s="19" t="s">
        <v>20</v>
      </c>
      <c r="B15" s="67" t="s">
        <v>38</v>
      </c>
      <c r="C15" s="14">
        <f t="shared" ref="C15:N15" si="5">C3+C4-C5-C7</f>
        <v>4195819.46</v>
      </c>
      <c r="D15" s="14">
        <f t="shared" si="5"/>
        <v>4719118.58</v>
      </c>
      <c r="E15" s="14">
        <f t="shared" si="5"/>
        <v>4493312.04</v>
      </c>
      <c r="F15" s="14">
        <f t="shared" si="5"/>
        <v>4960068.44</v>
      </c>
      <c r="G15" s="14">
        <f t="shared" si="5"/>
        <v>4988371.71</v>
      </c>
      <c r="H15" s="14">
        <f t="shared" si="5"/>
        <v>5093302.54</v>
      </c>
      <c r="I15" s="14">
        <f t="shared" si="5"/>
        <v>5002443.38</v>
      </c>
      <c r="J15" s="14">
        <f t="shared" si="5"/>
        <v>4714619.49</v>
      </c>
      <c r="K15" s="14">
        <f t="shared" si="5"/>
        <v>4885106.49</v>
      </c>
      <c r="L15" s="14">
        <f t="shared" si="5"/>
        <v>4965918.42</v>
      </c>
      <c r="M15" s="14">
        <f t="shared" si="5"/>
        <v>4738012.27</v>
      </c>
      <c r="N15" s="14">
        <f t="shared" si="5"/>
        <v>5660193.24</v>
      </c>
      <c r="O15" s="15">
        <f t="shared" si="6"/>
        <v>58416286.06</v>
      </c>
      <c r="P15" s="63">
        <f t="shared" si="7"/>
        <v>0.2645451367</v>
      </c>
      <c r="Q15" s="68">
        <f t="shared" ref="Q15:Q17" si="8">AVERAGE(C15:N15)/14</f>
        <v>347715.9885</v>
      </c>
      <c r="R15" s="69"/>
      <c r="S15" s="9"/>
      <c r="T15" s="9"/>
      <c r="U15" s="9"/>
      <c r="V15" s="9"/>
      <c r="W15" s="9"/>
      <c r="X15" s="9"/>
      <c r="Y15" s="9"/>
      <c r="Z15" s="9"/>
      <c r="AA15" s="9"/>
      <c r="AB15" s="9"/>
      <c r="AC15" s="9"/>
      <c r="AD15" s="9"/>
      <c r="AE15" s="9"/>
      <c r="AF15" s="9"/>
    </row>
    <row r="16">
      <c r="A16" s="19" t="s">
        <v>21</v>
      </c>
      <c r="B16" s="67" t="s">
        <v>38</v>
      </c>
      <c r="C16" s="14">
        <f>'Ideal Plaza'!B15+'Salt Lake JC -21'!B15+'Forum Mall'!B15+'Lake Town'!B15+'Quest Mall'!B15+'Rosedale Plaza'!B15+'Mani Square Mall'!B15+'Forum Rangoli'!B15+CSC!B17+Jameslong!B15+Technopolis!B15+Santoshpur!B15+'Chinar Park'!B15+'Lake Road'!B15+Kalikapur!B15+'Event Sales'!B15+'Sector 1'!B15</f>
        <v>820496.63</v>
      </c>
      <c r="D16" s="14">
        <f>'Ideal Plaza'!C15+'Salt Lake JC -21'!C15+'Forum Mall'!C15+'Lake Town'!C15+'Quest Mall'!C15+'Rosedale Plaza'!C15+'Mani Square Mall'!C15+'Forum Rangoli'!C15+CSC!C15+Jameslong!C15+Technopolis!C15+Santoshpur!C15+'Chinar Park'!C15+'Lake Road'!C15+Kalikapur!C15+'Event Sales'!C15+'Sector 1'!C15</f>
        <v>921345.56</v>
      </c>
      <c r="E16" s="14">
        <f>'Ideal Plaza'!D15+'Salt Lake JC -21'!D15+'Forum Mall'!D15+'Lake Town'!D15+'Quest Mall'!D15+'Rosedale Plaza'!D15+'Mani Square Mall'!D15+'Forum Rangoli'!D15+CSC!D15+Jameslong!D15+Technopolis!D15+Santoshpur!D15+'Chinar Park'!D15+'Lake Road'!D15+Kalikapur!D15+'Event Sales'!D15+'Sector 1'!D15</f>
        <v>877451.53</v>
      </c>
      <c r="F16" s="14">
        <f>'Ideal Plaza'!E15+'Salt Lake JC -21'!E15+'Forum Mall'!E15+'Lake Town'!E15+'Quest Mall'!E15+'Rosedale Plaza'!E15+'Mani Square Mall'!E15+'Forum Rangoli'!E15+CSC!E15+Jameslong!E15+Technopolis!E15+Santoshpur!E15+'Chinar Park'!E15+'Lake Road'!E15+Kalikapur!E15+'Event Sales'!E15+'Sector 1'!E15</f>
        <v>868000.52</v>
      </c>
      <c r="G16" s="14">
        <f>'Ideal Plaza'!F15+'Salt Lake JC -21'!F15+'Forum Mall'!F15+'Lake Town'!F15+'Quest Mall'!F15+'Rosedale Plaza'!F15+'Mani Square Mall'!F15+'Forum Rangoli'!F15+CSC!F15+Jameslong!F15+Technopolis!F15+Santoshpur!F15+'Chinar Park'!F15+'Lake Road'!F15+Kalikapur!F15+'Event Sales'!F15+'Sector 1'!F15</f>
        <v>864909.84</v>
      </c>
      <c r="H16" s="14">
        <f>'Ideal Plaza'!G15+'Salt Lake JC -21'!G15+'Forum Mall'!G15+'Lake Town'!G15+'Quest Mall'!G15+'Rosedale Plaza'!G15+'Mani Square Mall'!G15+'Forum Rangoli'!G15+CSC!G15+Jameslong!G15+Technopolis!G15+Santoshpur!G15+'Chinar Park'!G15+'Lake Road'!G15+Kalikapur!G15+'Event Sales'!G15+'Sector 1'!G15</f>
        <v>896155.49</v>
      </c>
      <c r="I16" s="14">
        <f>'Ideal Plaza'!H15+'Salt Lake JC -21'!H15+'Forum Mall'!H15+'Lake Town'!H15+'Quest Mall'!H15+'Rosedale Plaza'!H15+'Mani Square Mall'!H15+'Forum Rangoli'!H15+CSC!H15+Jameslong!H15+Technopolis!H15+Santoshpur!H15+'Chinar Park'!H15+'Lake Road'!H15+Kalikapur!H15+'Event Sales'!H15+'Sector 1'!H15</f>
        <v>832346.38</v>
      </c>
      <c r="J16" s="14">
        <f>'Ideal Plaza'!I15+'Salt Lake JC -21'!I15+'Forum Mall'!I15+'Lake Town'!I15+'Quest Mall'!I15+'Rosedale Plaza'!I15+'Mani Square Mall'!I15+'Forum Rangoli'!I15+CSC!I15+Jameslong!I15+Technopolis!I15+Santoshpur!I15+'Chinar Park'!I15+'Lake Road'!I15+Kalikapur!I15+'Event Sales'!I15+'Sector 1'!I15</f>
        <v>689788.13</v>
      </c>
      <c r="K16" s="14">
        <f>'Ideal Plaza'!J15+'Salt Lake JC -21'!J15+'Forum Mall'!J15+'Lake Town'!J15+'Quest Mall'!J15+'Rosedale Plaza'!J15+'Mani Square Mall'!J15+'Forum Rangoli'!J15+CSC!J15+Jameslong!J15+Technopolis!J15+Santoshpur!J15+'Chinar Park'!J15+'Lake Road'!J15+Kalikapur!J15+'Event Sales'!J15+'Sector 1'!J15</f>
        <v>638203.51</v>
      </c>
      <c r="L16" s="14">
        <f>'Ideal Plaza'!K15+'Salt Lake JC -21'!K15+'Forum Mall'!K15+'Lake Town'!K15+'Quest Mall'!K15+'Rosedale Plaza'!K15+'Mani Square Mall'!K15+'Forum Rangoli'!K15+CSC!K15+Jameslong!K15+Technopolis!K15+Santoshpur!K15+'Chinar Park'!K15+'Lake Road'!K15+Kalikapur!K15+'Event Sales'!K15+'Sector 1'!K15</f>
        <v>624007.88</v>
      </c>
      <c r="M16" s="14">
        <f>'Ideal Plaza'!L15+'Salt Lake JC -21'!L15+'Forum Mall'!L15+'Lake Town'!L15+'Quest Mall'!L15+'Rosedale Plaza'!L15+'Mani Square Mall'!L15+'Forum Rangoli'!L15+CSC!L15+Jameslong!L15+Technopolis!L15+Santoshpur!L15+'Chinar Park'!L15+'Lake Road'!L15+Kalikapur!L15+'Event Sales'!L15+'Sector 1'!L15</f>
        <v>651727.48</v>
      </c>
      <c r="N16" s="14">
        <f>'Ideal Plaza'!M15+'Salt Lake JC -21'!M15+'Forum Mall'!M15+'Lake Town'!M15+'Quest Mall'!M15+'Rosedale Plaza'!M15+'Mani Square Mall'!M15+'Forum Rangoli'!M15+CSC!M15+Jameslong!M15+Technopolis!M15+Santoshpur!M15+'Chinar Park'!M15+'Lake Road'!M15+Kalikapur!M15+'Event Sales'!M15+'Sector 1'!M15</f>
        <v>814985.13</v>
      </c>
      <c r="O16" s="15">
        <f t="shared" si="6"/>
        <v>9499418.08</v>
      </c>
      <c r="P16" s="63">
        <f t="shared" si="7"/>
        <v>0.04301925069</v>
      </c>
      <c r="Q16" s="68">
        <f t="shared" si="8"/>
        <v>56544.15524</v>
      </c>
      <c r="R16" s="61"/>
      <c r="S16" s="9"/>
      <c r="T16" s="9"/>
      <c r="U16" s="9"/>
      <c r="V16" s="9"/>
      <c r="W16" s="9"/>
      <c r="X16" s="9"/>
      <c r="Y16" s="9"/>
      <c r="Z16" s="9"/>
      <c r="AA16" s="9"/>
      <c r="AB16" s="9"/>
      <c r="AC16" s="9"/>
      <c r="AD16" s="9"/>
      <c r="AE16" s="9"/>
      <c r="AF16" s="9"/>
    </row>
    <row r="17">
      <c r="A17" s="19" t="s">
        <v>22</v>
      </c>
      <c r="B17" s="67" t="s">
        <v>38</v>
      </c>
      <c r="C17" s="14">
        <f>'Ideal Plaza'!B16+'Salt Lake JC -21'!B16+'Forum Mall'!B16+'Lake Town'!B16+'Quest Mall'!B16+'Rosedale Plaza'!B16+'Mani Square Mall'!B16+'Forum Rangoli'!B16+CSC!B16+Jameslong!B16+Technopolis!B16+Santoshpur!B16+'Chinar Park'!B16+'Lake Road'!B16+Kalikapur!B16+'Event Sales'!B16+'Sector 1'!B16</f>
        <v>11088.82667</v>
      </c>
      <c r="D17" s="14">
        <f>'Ideal Plaza'!C16+'Salt Lake JC -21'!C16+'Forum Mall'!C16+'Lake Town'!C16+'Quest Mall'!C16+'Rosedale Plaza'!C16+'Mani Square Mall'!C16+'Forum Rangoli'!C16+CSC!C16+Jameslong!C16+Technopolis!C16+Santoshpur!C16+'Chinar Park'!C16+'Lake Road'!C16+Kalikapur!C16+'Event Sales'!C16+'Sector 1'!C16</f>
        <v>12130.82667</v>
      </c>
      <c r="E17" s="14">
        <f>'Ideal Plaza'!D16+'Salt Lake JC -21'!D16+'Forum Mall'!D16+'Lake Town'!D16+'Quest Mall'!D16+'Rosedale Plaza'!D16+'Mani Square Mall'!D16+'Forum Rangoli'!D16+CSC!D16+Jameslong!D16+Technopolis!D16+Santoshpur!D16+'Chinar Park'!D16+'Lake Road'!D16+Kalikapur!D16+'Event Sales'!D16+'Sector 1'!D16</f>
        <v>13758.41</v>
      </c>
      <c r="F17" s="14">
        <f>'Ideal Plaza'!E16+'Salt Lake JC -21'!E16+'Forum Mall'!E16+'Lake Town'!E16+'Quest Mall'!E16+'Rosedale Plaza'!E16+'Mani Square Mall'!E16+'Forum Rangoli'!E16+CSC!E16+Jameslong!E16+Technopolis!E16+Santoshpur!E16+'Chinar Park'!E16+'Lake Road'!E16+Kalikapur!E16+'Event Sales'!E16+'Sector 1'!E16</f>
        <v>13883.11667</v>
      </c>
      <c r="G17" s="14">
        <f>'Ideal Plaza'!F16+'Salt Lake JC -21'!F16+'Forum Mall'!F16+'Lake Town'!F16+'Quest Mall'!F16+'Rosedale Plaza'!F16+'Mani Square Mall'!F16+'Forum Rangoli'!F16+CSC!F16+Jameslong!F16+Technopolis!F16+Santoshpur!F16+'Chinar Park'!F16+'Lake Road'!F16+Kalikapur!F16+'Event Sales'!F16+'Sector 1'!F16</f>
        <v>15377.20667</v>
      </c>
      <c r="H17" s="14">
        <f>'Ideal Plaza'!G16+'Salt Lake JC -21'!G16+'Forum Mall'!G16+'Lake Town'!G16+'Quest Mall'!G16+'Rosedale Plaza'!G16+'Mani Square Mall'!G16+'Forum Rangoli'!G16+CSC!G16+Jameslong!G16+Technopolis!G16+Santoshpur!G16+'Chinar Park'!G16+'Lake Road'!G16+Kalikapur!G16+'Event Sales'!G16+'Sector 1'!G16</f>
        <v>16381.38667</v>
      </c>
      <c r="I17" s="14">
        <f>'Ideal Plaza'!H16+'Salt Lake JC -21'!H16+'Forum Mall'!H16+'Lake Town'!H16+'Quest Mall'!H16+'Rosedale Plaza'!H16+'Mani Square Mall'!H16+'Forum Rangoli'!H16+CSC!H16+Jameslong!H16+Technopolis!H16+Santoshpur!H16+'Chinar Park'!H16+'Lake Road'!H16+Kalikapur!H16+'Event Sales'!H16+'Sector 1'!H16</f>
        <v>15803.72</v>
      </c>
      <c r="J17" s="14">
        <f>'Ideal Plaza'!I16+'Salt Lake JC -21'!I16+'Forum Mall'!I16+'Lake Town'!I16+'Quest Mall'!I16+'Rosedale Plaza'!I16+'Mani Square Mall'!I16+'Forum Rangoli'!I16+CSC!I16+Jameslong!I16+Technopolis!I16+Santoshpur!I16+'Chinar Park'!H16+'Lake Road'!I16+Kalikapur!I16+'Event Sales'!I16+'Sector 1'!I16</f>
        <v>14614.72</v>
      </c>
      <c r="K17" s="14">
        <f>'Ideal Plaza'!J16+'Salt Lake JC -21'!J16+'Forum Mall'!J16+'Lake Town'!J16+'Quest Mall'!J16+'Rosedale Plaza'!J16+'Mani Square Mall'!J16+'Forum Rangoli'!J16+CSC!J16+Jameslong!J16+Technopolis!J16+Santoshpur!J16+'Chinar Park'!J16+'Lake Road'!J16+Kalikapur!J16+'Event Sales'!J16+'Sector 1'!J16</f>
        <v>15670.88667</v>
      </c>
      <c r="L17" s="14">
        <f>'Ideal Plaza'!K16+'Salt Lake JC -21'!K16+'Forum Mall'!K16+'Lake Town'!K16+'Quest Mall'!K16+'Rosedale Plaza'!K16+'Mani Square Mall'!K16+'Forum Rangoli'!K16+CSC!K16+Jameslong!K16+Technopolis!K16+Santoshpur!K16+'Chinar Park'!K16+'Lake Road'!K16+Kalikapur!K16+'Event Sales'!K16+'Sector 1'!K16</f>
        <v>16485.55333</v>
      </c>
      <c r="M17" s="14">
        <f>'Ideal Plaza'!L16+'Salt Lake JC -21'!L16+'Forum Mall'!L16+'Lake Town'!L16+'Quest Mall'!L16+'Rosedale Plaza'!L16+'Mani Square Mall'!L16+'Forum Rangoli'!L16+CSC!L16+Jameslong!L16+Technopolis!L16+Santoshpur!L16+'Chinar Park'!L16+'Lake Road'!L16+Kalikapur!L16+'Event Sales'!L16+'Sector 1'!L16</f>
        <v>17592.17667</v>
      </c>
      <c r="N17" s="14">
        <f>'Ideal Plaza'!M16+'Salt Lake JC -21'!M16+'Forum Mall'!M16+'Lake Town'!M16+'Quest Mall'!M16+'Rosedale Plaza'!M16+'Mani Square Mall'!M16+'Forum Rangoli'!M16+CSC!M16+Jameslong!M16+Technopolis!M16+Santoshpur!M16+'Chinar Park'!M16+'Lake Road'!M16+Kalikapur!M16+'Event Sales'!M16+'Sector 1'!M16</f>
        <v>17592.17667</v>
      </c>
      <c r="O17" s="15">
        <f t="shared" si="6"/>
        <v>180379.0067</v>
      </c>
      <c r="P17" s="63">
        <f t="shared" si="7"/>
        <v>0.0008168679009</v>
      </c>
      <c r="Q17" s="68">
        <f t="shared" si="8"/>
        <v>1073.684563</v>
      </c>
      <c r="R17" s="9"/>
      <c r="S17" s="9"/>
      <c r="T17" s="9"/>
      <c r="U17" s="9"/>
      <c r="V17" s="9"/>
      <c r="W17" s="9"/>
      <c r="X17" s="9"/>
      <c r="Y17" s="9"/>
      <c r="Z17" s="9"/>
      <c r="AA17" s="9"/>
      <c r="AB17" s="9"/>
      <c r="AC17" s="9"/>
      <c r="AD17" s="9"/>
      <c r="AE17" s="9"/>
      <c r="AF17" s="9"/>
    </row>
    <row r="18">
      <c r="A18" s="19" t="s">
        <v>23</v>
      </c>
      <c r="B18" s="67" t="s">
        <v>38</v>
      </c>
      <c r="C18" s="14">
        <f>'Ideal Plaza'!B17+'Salt Lake JC -21'!B17+'Forum Mall'!B17+'Lake Town'!B17+'Quest Mall'!B17+'Rosedale Plaza'!B17+'Mani Square Mall'!B17+'Forum Rangoli'!B17+CSC!B17+Jameslong!B17+Technopolis!B17+Santoshpur!B17+'Chinar Park'!B17+'Lake Road'!B17+Kalikapur!B17+'Event Sales'!B17+'Sector 1'!B17</f>
        <v>259532.3</v>
      </c>
      <c r="D18" s="14">
        <f>'Ideal Plaza'!C17+'Salt Lake JC -21'!C17+'Forum Mall'!C17+'Lake Town'!C17+'Quest Mall'!C17+'Rosedale Plaza'!C17+'Mani Square Mall'!C17+'Forum Rangoli'!C17+CSC!C17+Jameslong!C17+Technopolis!C17+Santoshpur!C17+'Chinar Park'!C17+'Lake Road'!C17+Kalikapur!C17+'Event Sales'!C17+'Sector 1'!C17</f>
        <v>263345.22</v>
      </c>
      <c r="E18" s="14">
        <f>'Ideal Plaza'!D17+'Salt Lake JC -21'!D17+'Forum Mall'!D17+'Lake Town'!D17+'Quest Mall'!D17+'Rosedale Plaza'!D17+'Mani Square Mall'!D17+'Forum Rangoli'!D17+CSC!D17+Jameslong!D17+Technopolis!D17+Santoshpur!D17+'Chinar Park'!D17+'Lake Road'!D17+Kalikapur!D17+'Event Sales'!D17+'Sector 1'!D17</f>
        <v>257091</v>
      </c>
      <c r="F18" s="14">
        <f>'Ideal Plaza'!E17+'Salt Lake JC -21'!E17+'Forum Mall'!E17+'Lake Town'!E17+'Quest Mall'!E17+'Rosedale Plaza'!E17+'Mani Square Mall'!E17+'Forum Rangoli'!E17+CSC!E17+Jameslong!E17+Technopolis!E17+Santoshpur!E17+'Chinar Park'!E17+'Lake Road'!E17+Kalikapur!E17+'Event Sales'!E17+'Sector 1'!E17</f>
        <v>287704</v>
      </c>
      <c r="G18" s="14">
        <f>'Ideal Plaza'!F17+'Salt Lake JC -21'!F17+'Forum Mall'!F17+'Lake Town'!F17+'Quest Mall'!F17+'Rosedale Plaza'!F17+'Mani Square Mall'!F17+'Forum Rangoli'!F17+CSC!F17+Jameslong!F17+Technopolis!F17+Santoshpur!F17+'Chinar Park'!F17+'Lake Road'!F17+Kalikapur!F17+'Event Sales'!F17+'Sector 1'!F17</f>
        <v>263086.42</v>
      </c>
      <c r="H18" s="14">
        <f>'Ideal Plaza'!G17+'Salt Lake JC -21'!G17+'Forum Mall'!G17+'Lake Town'!G17+'Quest Mall'!G17+'Rosedale Plaza'!G17+'Mani Square Mall'!G17+'Forum Rangoli'!G17+CSC!G17+Jameslong!G17+Technopolis!G17+Santoshpur!G17+'Chinar Park'!G17+'Lake Road'!G17+Kalikapur!G17+'Event Sales'!G17+'Sector 1'!G17</f>
        <v>280706</v>
      </c>
      <c r="I18" s="14">
        <f>'Ideal Plaza'!H17+'Salt Lake JC -21'!H17+'Forum Mall'!H17+'Lake Town'!H17+'Quest Mall'!H17+'Rosedale Plaza'!H17+'Mani Square Mall'!H17+'Forum Rangoli'!H17+CSC!H17+Jameslong!H17+Technopolis!H17+Santoshpur!H17+'Chinar Park'!H17+'Lake Road'!H17+Kalikapur!H17+'Event Sales'!H17+'Sector 1'!H17</f>
        <v>264253</v>
      </c>
      <c r="J18" s="14">
        <f>'Ideal Plaza'!I17+'Salt Lake JC -21'!I17+'Forum Mall'!I17+'Lake Town'!I17+'Quest Mall'!I17+'Rosedale Plaza'!I17+'Mani Square Mall'!I17+'Forum Rangoli'!I17+CSC!I17+Jameslong!I17+Technopolis!I17+Santoshpur!I17+'Chinar Park'!I17+'Lake Road'!I17+Kalikapur!I17+'Event Sales'!I17+'Sector 1'!I17</f>
        <v>273603</v>
      </c>
      <c r="K18" s="14">
        <f>'Ideal Plaza'!J17+'Salt Lake JC -21'!J17+'Forum Mall'!J17+'Lake Town'!J17+'Quest Mall'!J17+'Rosedale Plaza'!J17+'Mani Square Mall'!J17+'Forum Rangoli'!J17+CSC!J17+Jameslong!J17+Technopolis!J17+Santoshpur!J17+'Chinar Park'!J17+'Lake Road'!J17+Kalikapur!J17+'Event Sales'!J17+'Sector 1'!J17</f>
        <v>275654</v>
      </c>
      <c r="L18" s="14">
        <f>'Ideal Plaza'!K17+'Salt Lake JC -21'!K17+'Forum Mall'!K17+'Lake Town'!K17+'Quest Mall'!K17+'Rosedale Plaza'!K17+'Mani Square Mall'!K17+'Forum Rangoli'!K17+CSC!K17+Jameslong!K17+Technopolis!K17+Santoshpur!K17+'Chinar Park'!K17+'Lake Road'!K17+Kalikapur!K17+'Event Sales'!K17+'Sector 1'!K17</f>
        <v>308580</v>
      </c>
      <c r="M18" s="14">
        <f>'Ideal Plaza'!L17+'Salt Lake JC -21'!L17+'Forum Mall'!L17+'Lake Town'!L17+'Quest Mall'!L17+'Rosedale Plaza'!L17+'Mani Square Mall'!L17+'Forum Rangoli'!L17+CSC!L17+Jameslong!L17+Technopolis!L17+Santoshpur!L17+'Chinar Park'!L17+'Lake Road'!L17+Kalikapur!L17+'Event Sales'!L17+'Sector 1'!L17</f>
        <v>304428</v>
      </c>
      <c r="N18" s="14">
        <f>'Ideal Plaza'!M17+'Salt Lake JC -21'!M17+'Forum Mall'!M17+'Lake Town'!M17+'Quest Mall'!M17+'Rosedale Plaza'!M17+'Mani Square Mall'!M17+'Forum Rangoli'!M17+CSC!M17+Jameslong!M17+Technopolis!M17+Santoshpur!M17+'Chinar Park'!M17+'Lake Road'!M17+Kalikapur!M17+'Event Sales'!M17+'Sector 1'!M17</f>
        <v>470434</v>
      </c>
      <c r="O18" s="15">
        <f t="shared" si="6"/>
        <v>3508416.94</v>
      </c>
      <c r="P18" s="63">
        <f t="shared" si="7"/>
        <v>0.01588828564</v>
      </c>
      <c r="Q18" s="68">
        <f>AVERAGE(C18:N18)/7</f>
        <v>41766.86833</v>
      </c>
      <c r="R18" s="9"/>
      <c r="S18" s="9"/>
      <c r="T18" s="9"/>
      <c r="U18" s="9"/>
      <c r="V18" s="9"/>
      <c r="W18" s="9"/>
      <c r="X18" s="9"/>
      <c r="Y18" s="9"/>
      <c r="Z18" s="9"/>
      <c r="AA18" s="9"/>
      <c r="AB18" s="9"/>
      <c r="AC18" s="9"/>
      <c r="AD18" s="9"/>
      <c r="AE18" s="9"/>
      <c r="AF18" s="9"/>
    </row>
    <row r="19">
      <c r="A19" s="19" t="s">
        <v>24</v>
      </c>
      <c r="B19" s="67" t="s">
        <v>48</v>
      </c>
      <c r="C19" s="14">
        <f>'Ideal Plaza'!B18+'Salt Lake JC -21'!B18+'Forum Mall'!B18+'Lake Town'!B18+'Quest Mall'!B18+'Rosedale Plaza'!B18+'Mani Square Mall'!B18+'Forum Rangoli'!B18+CSC!B18+Jameslong!B18+Technopolis!B18+Santoshpur!B18+'Chinar Park'!B18+'Lake Road'!B18+Kalikapur!B18+'Event Sales'!B18+'Sector 1'!B18</f>
        <v>1714474.478</v>
      </c>
      <c r="D19" s="14">
        <f>'Ideal Plaza'!C18+'Salt Lake JC -21'!C18+'Forum Mall'!C18+'Lake Town'!C18+'Quest Mall'!C18+'Rosedale Plaza'!C18+'Mani Square Mall'!C18+'Forum Rangoli'!C18+CSC!C18+Jameslong!C18+Technopolis!C18+Santoshpur!C18+'Chinar Park'!C18+'Lake Road'!C18+Kalikapur!C18+'Event Sales'!C18+'Sector 1'!C18</f>
        <v>1829647.918</v>
      </c>
      <c r="E19" s="14">
        <f>'Ideal Plaza'!D18+'Salt Lake JC -21'!D18+'Forum Mall'!D18+'Lake Town'!D18+'Quest Mall'!D18+'Rosedale Plaza'!D18+'Mani Square Mall'!D18+'Forum Rangoli'!D18+CSC!D18+Jameslong!D18+Technopolis!D18+Santoshpur!D18+'Chinar Park'!D18+'Lake Road'!D18+Kalikapur!D18+'Event Sales'!D18+'Sector 1'!D18</f>
        <v>1849680.021</v>
      </c>
      <c r="F19" s="14">
        <f>'Ideal Plaza'!E18+'Salt Lake JC -21'!E18+'Forum Mall'!E18+'Lake Town'!E18+'Quest Mall'!E18+'Rosedale Plaza'!E18+'Mani Square Mall'!E18+'Forum Rangoli'!E18+CSC!E18+Jameslong!E18+Technopolis!E18+Santoshpur!E18+'Chinar Park'!E18+'Lake Road'!E18+Kalikapur!E18+'Event Sales'!E18+'Sector 1'!E18</f>
        <v>2097753.236</v>
      </c>
      <c r="G19" s="14">
        <f>'Ideal Plaza'!F18+'Salt Lake JC -21'!F18+'Forum Mall'!F18+'Lake Town'!F18+'Quest Mall'!F18+'Rosedale Plaza'!F18+'Mani Square Mall'!F18+'Forum Rangoli'!F18+CSC!F18+Jameslong!F18+Technopolis!F18+Santoshpur!F18+'Chinar Park'!F18+'Lake Road'!F18+Kalikapur!F18+'Event Sales'!F18+'Sector 1'!F18</f>
        <v>2100565.67</v>
      </c>
      <c r="H19" s="14">
        <f>'Ideal Plaza'!G18+'Salt Lake JC -21'!G18+'Forum Mall'!G18+'Lake Town'!G18+'Quest Mall'!G18+'Rosedale Plaza'!G18+'Mani Square Mall'!G18+'Forum Rangoli'!G18+CSC!G18+Jameslong!G18+Technopolis!G18+Santoshpur!G18+'Chinar Park'!G18+'Lake Road'!G18+Kalikapur!G18+'Event Sales'!G18+'Sector 1'!G18</f>
        <v>2189167.154</v>
      </c>
      <c r="I19" s="14">
        <f>'Ideal Plaza'!H18+'Salt Lake JC -21'!H18+'Forum Mall'!H18+'Lake Town'!H18+'Quest Mall'!H18+'Rosedale Plaza'!H18+'Mani Square Mall'!H18+'Forum Rangoli'!H18+CSC!H18+Jameslong!H18+Technopolis!H18+Santoshpur!H18+'Chinar Park'!H18+'Lake Road'!H18+Kalikapur!H18+'Event Sales'!H18+'Sector 1'!H18</f>
        <v>2092027.916</v>
      </c>
      <c r="J19" s="14">
        <f>'Ideal Plaza'!I18+'Salt Lake JC -21'!I18+'Forum Mall'!I18+'Lake Town'!I18+'Quest Mall'!I18+'Rosedale Plaza'!I18+'Mani Square Mall'!I18+'Forum Rangoli'!I18+CSC!I18+Jameslong!I18+Technopolis!I18+Santoshpur!I18+'Chinar Park'!I18+'Lake Road'!I18+Kalikapur!I18+'Event Sales'!I18+'Sector 1'!I18</f>
        <v>2057423.456</v>
      </c>
      <c r="K19" s="14">
        <f>'Ideal Plaza'!J18+'Salt Lake JC -21'!J18+'Forum Mall'!J18+'Lake Town'!J18+'Quest Mall'!J18+'Rosedale Plaza'!J18+'Mani Square Mall'!J18+'Forum Rangoli'!J18+CSC!J18+Jameslong!J18+Technopolis!J18+Santoshpur!J18+'Chinar Park'!J18+'Lake Road'!J18+Kalikapur!J18+'Event Sales'!J18+'Sector 1'!J18</f>
        <v>2170148.97</v>
      </c>
      <c r="L19" s="14">
        <f>'Ideal Plaza'!K18+'Salt Lake JC -21'!K18+'Forum Mall'!K18+'Lake Town'!K18+'Quest Mall'!K18+'Rosedale Plaza'!K18+'Mani Square Mall'!K18+'Forum Rangoli'!K18+CSC!K18+Jameslong!K18+Technopolis!K18+Santoshpur!K18+'Chinar Park'!K18+'Lake Road'!K18+Kalikapur!K18+'Event Sales'!K18+'Sector 1'!K18</f>
        <v>2159890.097</v>
      </c>
      <c r="M19" s="14">
        <f>'Ideal Plaza'!L18+'Salt Lake JC -21'!L18+'Forum Mall'!L18+'Lake Town'!L18+'Quest Mall'!L18+'Rosedale Plaza'!L18+'Mani Square Mall'!L18+'Forum Rangoli'!L18+CSC!L18+Jameslong!L18+Technopolis!L18+Santoshpur!L18+'Chinar Park'!L18+'Lake Road'!L18+Kalikapur!L18+'Event Sales'!L18+'Sector 1'!L18</f>
        <v>1934564.3</v>
      </c>
      <c r="N19" s="14">
        <f>'Ideal Plaza'!M18+'Salt Lake JC -21'!M18+'Forum Mall'!M18+'Lake Town'!M18+'Quest Mall'!M18+'Rosedale Plaza'!M18+'Mani Square Mall'!M18+'Forum Rangoli'!M18+CSC!M18+Jameslong!M18+Technopolis!M18+Santoshpur!M18+'Chinar Park'!M18+'Lake Road'!M18+Kalikapur!M18+'Event Sales'!M18+'Sector 1'!M18</f>
        <v>2202285.949</v>
      </c>
      <c r="O19" s="15">
        <f t="shared" si="6"/>
        <v>24397629.16</v>
      </c>
      <c r="P19" s="63">
        <f t="shared" si="7"/>
        <v>0.1104875811</v>
      </c>
      <c r="Q19" s="68">
        <f t="shared" ref="Q19:Q29" si="9">AVERAGE(C19:N19)/14</f>
        <v>145223.9831</v>
      </c>
      <c r="R19" s="9"/>
      <c r="S19" s="9"/>
      <c r="T19" s="9"/>
      <c r="U19" s="9"/>
      <c r="V19" s="9"/>
      <c r="W19" s="9"/>
      <c r="X19" s="9"/>
      <c r="Y19" s="9"/>
      <c r="Z19" s="9"/>
      <c r="AA19" s="9"/>
      <c r="AB19" s="9"/>
      <c r="AC19" s="9"/>
      <c r="AD19" s="9"/>
      <c r="AE19" s="9"/>
      <c r="AF19" s="9"/>
    </row>
    <row r="20">
      <c r="A20" s="19" t="s">
        <v>25</v>
      </c>
      <c r="B20" s="67" t="s">
        <v>38</v>
      </c>
      <c r="C20" s="14">
        <f>'Ideal Plaza'!B19+'Salt Lake JC -21'!B19+'Forum Mall'!B19+'Lake Town'!B19+'Quest Mall'!B19+'Rosedale Plaza'!B19+'Mani Square Mall'!B19+'Forum Rangoli'!B19+CSC!B19+Jameslong!B19+Technopolis!B19+Santoshpur!B19+'Chinar Park'!B19+'Lake Road'!B19+Kalikapur!B19+'Event Sales'!B19+'Sector 1'!B19</f>
        <v>82801</v>
      </c>
      <c r="D20" s="14">
        <f>'Ideal Plaza'!C19+'Salt Lake JC -21'!C19+'Forum Mall'!C19+'Lake Town'!C19+'Quest Mall'!C19+'Rosedale Plaza'!C19+'Mani Square Mall'!C19+'Forum Rangoli'!C19+CSC!C19+Jameslong!C19+Technopolis!C19+Santoshpur!C19+'Chinar Park'!C19+'Lake Road'!C19+Kalikapur!C19+'Event Sales'!C19+'Sector 1'!C19</f>
        <v>82801.5</v>
      </c>
      <c r="E20" s="14">
        <f>'Ideal Plaza'!D19+'Salt Lake JC -21'!D19+'Forum Mall'!D19+'Lake Town'!D19+'Quest Mall'!D19+'Rosedale Plaza'!D19+'Mani Square Mall'!D19+'Forum Rangoli'!D19+CSC!D19+Jameslong!D19+Technopolis!D19+Santoshpur!D19+'Chinar Park'!D19+'Lake Road'!D19+Kalikapur!D19+'Event Sales'!D19+'Sector 1'!D19</f>
        <v>83539.25</v>
      </c>
      <c r="F20" s="14">
        <f>'Ideal Plaza'!E19+'Salt Lake JC -21'!E19+'Forum Mall'!E19+'Lake Town'!E19+'Quest Mall'!E19+'Rosedale Plaza'!E19+'Mani Square Mall'!E19+'Forum Rangoli'!E19+CSC!E19+Jameslong!E19+Technopolis!E19+Santoshpur!E19+'Chinar Park'!E19+'Lake Road'!E19+Kalikapur!E19+'Event Sales'!E19+'Sector 1'!E19</f>
        <v>83539.25</v>
      </c>
      <c r="G20" s="14">
        <f>'Ideal Plaza'!F19+'Salt Lake JC -21'!F19+'Forum Mall'!F19+'Lake Town'!F19+'Quest Mall'!F19+'Rosedale Plaza'!F19+'Mani Square Mall'!F19+'Forum Rangoli'!F19+CSC!F19+Jameslong!F19+Technopolis!F19+Santoshpur!F19+'Chinar Park'!F19+'Lake Road'!F19+Kalikapur!F19+'Event Sales'!F19+'Sector 1'!F19</f>
        <v>83539.25</v>
      </c>
      <c r="H20" s="14">
        <f>'Ideal Plaza'!G19+'Salt Lake JC -21'!G19+'Forum Mall'!G19+'Lake Town'!G19+'Quest Mall'!G19+'Rosedale Plaza'!G19+'Mani Square Mall'!G19+'Forum Rangoli'!G19+CSC!G19+Jameslong!G19+Technopolis!G19+Santoshpur!G19+'Chinar Park'!G19+'Lake Road'!G19+Kalikapur!G19+'Event Sales'!G19+'Sector 1'!G19</f>
        <v>75666.83333</v>
      </c>
      <c r="I20" s="14">
        <f>'Ideal Plaza'!H19+'Salt Lake JC -21'!H19+'Forum Mall'!H19+'Lake Town'!H19+'Quest Mall'!H19+'Rosedale Plaza'!H19+'Mani Square Mall'!H19+'Forum Rangoli'!H19+CSC!H19+Jameslong!H19+Technopolis!H19+Santoshpur!H19+'Chinar Park'!H19+'Lake Road'!H19+Kalikapur!H19+'Event Sales'!H19+'Sector 1'!H19</f>
        <v>76085.08333</v>
      </c>
      <c r="J20" s="14">
        <f>'Ideal Plaza'!I19+'Salt Lake JC -21'!I19+'Forum Mall'!I19+'Lake Town'!I19+'Quest Mall'!I19+'Rosedale Plaza'!I19+'Mani Square Mall'!I19+'Forum Rangoli'!I19+CSC!I19+Jameslong!I19+Technopolis!I19+Santoshpur!I19+'Chinar Park'!I19+'Lake Road'!I19+Kalikapur!I19+'Event Sales'!I19+'Sector 1'!I19</f>
        <v>76503.25</v>
      </c>
      <c r="K20" s="14">
        <f>'Ideal Plaza'!J19+'Salt Lake JC -21'!J19+'Forum Mall'!J19+'Lake Town'!J19+'Quest Mall'!J19+'Rosedale Plaza'!J19+'Mani Square Mall'!J19+'Forum Rangoli'!J19+CSC!J19+Jameslong!J19+Technopolis!J19+Santoshpur!J19+'Chinar Park'!J19+'Lake Road'!J19+Kalikapur!J19+'Event Sales'!J19+'Sector 1'!J19</f>
        <v>76503</v>
      </c>
      <c r="L20" s="14">
        <f>'Ideal Plaza'!K19+'Salt Lake JC -21'!K19+'Forum Mall'!K19+'Lake Town'!K19+'Quest Mall'!K19+'Rosedale Plaza'!K19+'Mani Square Mall'!K19+'Forum Rangoli'!K19+CSC!K19+Jameslong!K19+Technopolis!K19+Santoshpur!K19+'Chinar Park'!K19+'Lake Road'!K19+Kalikapur!K19+'Event Sales'!K19+'Sector 1'!K19</f>
        <v>72994.41667</v>
      </c>
      <c r="M20" s="14">
        <f>'Ideal Plaza'!L19+'Salt Lake JC -21'!L19+'Forum Mall'!L19+'Lake Town'!L19+'Quest Mall'!L19+'Rosedale Plaza'!L19+'Mani Square Mall'!L19+'Forum Rangoli'!L19+CSC!L19+Jameslong!L19+Technopolis!L19+Santoshpur!L19+'Chinar Park'!L19+'Lake Road'!L19+Kalikapur!L19+'Event Sales'!L19+'Sector 1'!L19</f>
        <v>72994.75</v>
      </c>
      <c r="N20" s="14">
        <f>'Ideal Plaza'!M19+'Salt Lake JC -21'!M19+'Forum Mall'!M19+'Lake Town'!M19+'Quest Mall'!M19+'Rosedale Plaza'!M19+'Mani Square Mall'!M19+'Forum Rangoli'!M19+CSC!M19+Jameslong!M19+Technopolis!M19+Santoshpur!M19+'Chinar Park'!M19+'Lake Road'!M19+Kalikapur!M19+'Event Sales'!M19+'Sector 1'!M19</f>
        <v>72994.75</v>
      </c>
      <c r="O20" s="15">
        <f t="shared" si="6"/>
        <v>939962.3333</v>
      </c>
      <c r="P20" s="63">
        <f t="shared" si="7"/>
        <v>0.004256731825</v>
      </c>
      <c r="Q20" s="68">
        <f t="shared" si="9"/>
        <v>5595.013889</v>
      </c>
      <c r="R20" s="9"/>
      <c r="S20" s="9"/>
      <c r="T20" s="9"/>
      <c r="U20" s="9"/>
      <c r="V20" s="9"/>
      <c r="W20" s="9"/>
      <c r="X20" s="9"/>
      <c r="Y20" s="9"/>
      <c r="Z20" s="9"/>
      <c r="AA20" s="9"/>
      <c r="AB20" s="9"/>
      <c r="AC20" s="9"/>
      <c r="AD20" s="9"/>
      <c r="AE20" s="9"/>
      <c r="AF20" s="9"/>
    </row>
    <row r="21">
      <c r="A21" s="19" t="s">
        <v>47</v>
      </c>
      <c r="B21" s="67" t="s">
        <v>50</v>
      </c>
      <c r="C21" s="14">
        <f>'Ideal Plaza'!B20+'Salt Lake JC -21'!B20+'Forum Mall'!B20+'Lake Town'!B20+'Quest Mall'!B20+'Rosedale Plaza'!B20+'Mani Square Mall'!B20+'Forum Rangoli'!B20+CSC!B20+Jameslong!B20+Technopolis!B20+Santoshpur!B20+'Chinar Park'!B20+'Lake Road'!B20+Kalikapur!B20+'Event Sales'!B20+'Sector 1'!B20</f>
        <v>2891988.016</v>
      </c>
      <c r="D21" s="14">
        <f>'Ideal Plaza'!C20+'Salt Lake JC -21'!C20+'Forum Mall'!C20+'Lake Town'!C20+'Quest Mall'!C20+'Rosedale Plaza'!C20+'Mani Square Mall'!C20+'Forum Rangoli'!C20+CSC!C20+Jameslong!C20+Technopolis!C20+Santoshpur!C20+'Chinar Park'!C20+'Lake Road'!C20+Kalikapur!C20+'Event Sales'!C20+'Sector 1'!C20</f>
        <v>2933580.02</v>
      </c>
      <c r="E21" s="14">
        <f>'Ideal Plaza'!D20+'Salt Lake JC -21'!D20+'Forum Mall'!D20+'Lake Town'!D20+'Quest Mall'!D20+'Rosedale Plaza'!D20+'Mani Square Mall'!D20+'Forum Rangoli'!D20+CSC!D20+Jameslong!D20+Technopolis!D20+Santoshpur!D20+'Chinar Park'!D20+'Lake Road'!D20+Kalikapur!D20+'Event Sales'!D20+'Sector 1'!D20</f>
        <v>2926089.74</v>
      </c>
      <c r="F21" s="14">
        <f>'Ideal Plaza'!E20+'Salt Lake JC -21'!E20+'Forum Mall'!E20+'Lake Town'!E20+'Quest Mall'!E20+'Rosedale Plaza'!E20+'Mani Square Mall'!E20+'Forum Rangoli'!E20+CSC!E20+Jameslong!E20+Technopolis!E20+Santoshpur!E20+'Chinar Park'!E20+'Lake Road'!E20+Kalikapur!E20+'Event Sales'!E20+'Sector 1'!E20</f>
        <v>2954189.4</v>
      </c>
      <c r="G21" s="14">
        <f>'Ideal Plaza'!F20+'Salt Lake JC -21'!F20+'Forum Mall'!F20+'Lake Town'!F20+'Quest Mall'!F20+'Rosedale Plaza'!F20+'Mani Square Mall'!F20+'Forum Rangoli'!F20+CSC!F20+Jameslong!F20+Technopolis!F20+Santoshpur!F20+'Chinar Park'!F20+'Lake Road'!F20+Kalikapur!F20+'Event Sales'!F20+'Sector 1'!F20</f>
        <v>3050210.32</v>
      </c>
      <c r="H21" s="14">
        <f>'Ideal Plaza'!G20+'Salt Lake JC -21'!G20+'Forum Mall'!G20+'Lake Town'!G20+'Quest Mall'!G20+'Rosedale Plaza'!G20+'Mani Square Mall'!G20+'Forum Rangoli'!G20+CSC!G20+Jameslong!G20+Technopolis!G20+Santoshpur!G20+'Chinar Park'!G20+'Lake Road'!G20+Kalikapur!G20+'Event Sales'!G20+'Sector 1'!G20</f>
        <v>3055416.81</v>
      </c>
      <c r="I21" s="14">
        <f>'Ideal Plaza'!H20+'Salt Lake JC -21'!H20+'Forum Mall'!H20+'Lake Town'!H20+'Quest Mall'!H20+'Rosedale Plaza'!H20+'Mani Square Mall'!H20+'Forum Rangoli'!H20+CSC!H20+Jameslong!H20+Technopolis!H20+Santoshpur!H20+'Chinar Park'!H20+'Lake Road'!H20+Kalikapur!H20+'Event Sales'!H20+'Sector 1'!H20</f>
        <v>2923769.07</v>
      </c>
      <c r="J21" s="14">
        <f>'Ideal Plaza'!I20+'Salt Lake JC -21'!I20+'Forum Mall'!I20+'Lake Town'!I20+'Quest Mall'!I20+'Rosedale Plaza'!I20+'Mani Square Mall'!I20+'Forum Rangoli'!I20+CSC!I20+Jameslong!I20+Technopolis!I20+Santoshpur!I20+'Chinar Park'!I20+'Lake Road'!I20+Kalikapur!I20+'Event Sales'!I20+'Sector 1'!I20</f>
        <v>3025177.25</v>
      </c>
      <c r="K21" s="14">
        <f>'Ideal Plaza'!J20+'Salt Lake JC -21'!J20+'Forum Mall'!J20+'Lake Town'!J20+'Quest Mall'!J20+'Rosedale Plaza'!J20+'Mani Square Mall'!J20+'Forum Rangoli'!J20+CSC!J20+Jameslong!J20+Technopolis!J20+Santoshpur!J20+'Chinar Park'!J20+'Lake Road'!J20+Kalikapur!J20+'Event Sales'!J20+'Sector 1'!J20</f>
        <v>3031886.25</v>
      </c>
      <c r="L21" s="14">
        <f>'Ideal Plaza'!K20+'Salt Lake JC -21'!K20+'Forum Mall'!K20+'Lake Town'!K20+'Quest Mall'!K20+'Rosedale Plaza'!K20+'Mani Square Mall'!K20+'Forum Rangoli'!K20+CSC!K20+Jameslong!K20+Technopolis!K20+Santoshpur!K20+'Chinar Park'!K20+'Lake Road'!K20+Kalikapur!K20+'Event Sales'!K20+'Sector 1'!K20</f>
        <v>3038309.25</v>
      </c>
      <c r="M21" s="14">
        <f>'Ideal Plaza'!L20+'Salt Lake JC -21'!L20+'Forum Mall'!L20+'Lake Town'!L20+'Quest Mall'!L20+'Rosedale Plaza'!L20+'Mani Square Mall'!L20+'Forum Rangoli'!L20+CSC!L20+Jameslong!L20+Technopolis!L20+Santoshpur!L20+'Chinar Park'!L20+'Lake Road'!L20+Kalikapur!L20+'Event Sales'!L20+'Sector 1'!L20</f>
        <v>3092271.54</v>
      </c>
      <c r="N21" s="14">
        <f>'Ideal Plaza'!M20+'Salt Lake JC -21'!M20+'Forum Mall'!M20+'Lake Town'!M20+'Quest Mall'!M20+'Rosedale Plaza'!M20+'Mani Square Mall'!M20+'Forum Rangoli'!M20+CSC!M20+Jameslong!M20+Technopolis!M20+Santoshpur!M20+'Chinar Park'!M20+'Lake Road'!M20+Kalikapur!M20+'Event Sales'!M20+'Sector 1'!M20</f>
        <v>3081995.25</v>
      </c>
      <c r="O21" s="15">
        <f t="shared" si="6"/>
        <v>36004882.92</v>
      </c>
      <c r="P21" s="63">
        <f t="shared" si="7"/>
        <v>0.1630524177</v>
      </c>
      <c r="Q21" s="68">
        <f t="shared" si="9"/>
        <v>214314.7793</v>
      </c>
      <c r="R21" s="9"/>
      <c r="S21" s="9"/>
      <c r="T21" s="9"/>
      <c r="U21" s="9"/>
      <c r="V21" s="9"/>
      <c r="W21" s="9"/>
      <c r="X21" s="9"/>
      <c r="Y21" s="9"/>
      <c r="Z21" s="9"/>
      <c r="AA21" s="9"/>
      <c r="AB21" s="9"/>
      <c r="AC21" s="9"/>
      <c r="AD21" s="9"/>
      <c r="AE21" s="9"/>
      <c r="AF21" s="9"/>
    </row>
    <row r="22">
      <c r="A22" s="11" t="s">
        <v>27</v>
      </c>
      <c r="B22" s="67" t="s">
        <v>38</v>
      </c>
      <c r="C22" s="14">
        <f>'Ideal Plaza'!B21+'Salt Lake JC -21'!B21+'Forum Mall'!B21+'Lake Town'!B21+'Quest Mall'!B21+'Rosedale Plaza'!B21+'Mani Square Mall'!B21+'Forum Rangoli'!B21+CSC!B21+Jameslong!B21+Technopolis!B21+Santoshpur!B21+'Chinar Park'!B21+'Lake Road'!B21+Kalikapur!B21+'Event Sales'!B21+'Sector 1'!B21</f>
        <v>116012.4167</v>
      </c>
      <c r="D22" s="14">
        <f>'Ideal Plaza'!C21+'Salt Lake JC -21'!C21+'Forum Mall'!C21+'Lake Town'!C21+'Quest Mall'!C21+'Rosedale Plaza'!C21+'Mani Square Mall'!C21+'Forum Rangoli'!C21+CSC!C21+Jameslong!C21+Technopolis!C21+Santoshpur!C21+'Chinar Park'!C21+'Lake Road'!C21+Kalikapur!C21+'Event Sales'!C21+'Sector 1'!C21</f>
        <v>130825.4167</v>
      </c>
      <c r="E22" s="14">
        <f>'Ideal Plaza'!D21+'Salt Lake JC -21'!D21+'Forum Mall'!D21+'Lake Town'!D21+'Quest Mall'!D21+'Rosedale Plaza'!D21+'Mani Square Mall'!D21+'Forum Rangoli'!D21+CSC!D21+Jameslong!D21+Technopolis!D21+Santoshpur!D21+'Chinar Park'!D21+'Lake Road'!D21+Kalikapur!D21+'Event Sales'!D21+'Sector 1'!D21</f>
        <v>121291.4167</v>
      </c>
      <c r="F22" s="14">
        <f>'Ideal Plaza'!E21+'Salt Lake JC -21'!E21+'Forum Mall'!E21+'Lake Town'!E21+'Quest Mall'!E21+'Rosedale Plaza'!E21+'Mani Square Mall'!E21+'Forum Rangoli'!E21+CSC!E21+Jameslong!E21+Technopolis!E21+Santoshpur!E21+'Chinar Park'!E21+'Lake Road'!E21+Kalikapur!E21+'Event Sales'!E21+'Sector 1'!E21</f>
        <v>131765.4167</v>
      </c>
      <c r="G22" s="14">
        <f>'Ideal Plaza'!F21+'Salt Lake JC -21'!F21+'Forum Mall'!F21+'Lake Town'!F21+'Quest Mall'!F21+'Rosedale Plaza'!F21+'Mani Square Mall'!F21+'Forum Rangoli'!F21+CSC!F21+Jameslong!F21+Technopolis!F21+Santoshpur!F21+'Chinar Park'!F21+'Lake Road'!F21+Kalikapur!F21+'Event Sales'!F21+'Sector 1'!F21</f>
        <v>127315.4167</v>
      </c>
      <c r="H22" s="14">
        <f>'Ideal Plaza'!G21+'Salt Lake JC -21'!G21+'Forum Mall'!G21+'Lake Town'!G21+'Quest Mall'!G21+'Rosedale Plaza'!G21+'Mani Square Mall'!G21+'Forum Rangoli'!G21+CSC!G21+Jameslong!G21+Technopolis!G21+Santoshpur!G21+'Chinar Park'!G21+'Lake Road'!G21+Kalikapur!G21+'Event Sales'!G21+'Sector 1'!G21</f>
        <v>132425.4167</v>
      </c>
      <c r="I22" s="14">
        <f>'Ideal Plaza'!H21+'Salt Lake JC -21'!H21+'Forum Mall'!H21+'Lake Town'!H21+'Quest Mall'!H21+'Rosedale Plaza'!H21+'Mani Square Mall'!H21+'Forum Rangoli'!H21+CSC!H21+Jameslong!H21+Technopolis!H21+Santoshpur!H21+'Chinar Park'!H21+'Lake Road'!H21+Kalikapur!H21+'Event Sales'!H21+'Sector 1'!H21</f>
        <v>125035.4167</v>
      </c>
      <c r="J22" s="14">
        <f>'Ideal Plaza'!I21+'Salt Lake JC -21'!I21+'Forum Mall'!I21+'Lake Town'!I21+'Quest Mall'!I21+'Rosedale Plaza'!I21+'Mani Square Mall'!I21+'Forum Rangoli'!I21+CSC!I21+Jameslong!I21+Technopolis!I21+Santoshpur!I21+'Chinar Park'!I21+'Lake Road'!I21+Kalikapur!I21+'Event Sales'!I21+'Sector 1'!I21</f>
        <v>126285.4167</v>
      </c>
      <c r="K22" s="14">
        <f>'Ideal Plaza'!J21+'Salt Lake JC -21'!J21+'Forum Mall'!J21+'Lake Town'!J21+'Quest Mall'!J21+'Rosedale Plaza'!J21+'Mani Square Mall'!J21+'Forum Rangoli'!J21+CSC!J21+Jameslong!J21+Technopolis!J21+Santoshpur!J21+'Chinar Park'!J21+'Lake Road'!J21+Kalikapur!J21+'Event Sales'!J21+'Sector 1'!J21</f>
        <v>127043.4167</v>
      </c>
      <c r="L22" s="14">
        <f>'Ideal Plaza'!K21+'Salt Lake JC -21'!K21+'Forum Mall'!K21+'Lake Town'!K21+'Quest Mall'!K21+'Rosedale Plaza'!K21+'Mani Square Mall'!K21+'Forum Rangoli'!K21+CSC!K21+Jameslong!K21+Technopolis!K21+Santoshpur!K21+'Chinar Park'!K21+'Lake Road'!K21+Kalikapur!K21+'Event Sales'!K21+'Sector 1'!K21</f>
        <v>131015.4167</v>
      </c>
      <c r="M22" s="14">
        <f>'Ideal Plaza'!L21+'Salt Lake JC -21'!L21+'Forum Mall'!L21+'Lake Town'!L21+'Quest Mall'!L21+'Rosedale Plaza'!L21+'Mani Square Mall'!L21+'Forum Rangoli'!L21+CSC!L21+Jameslong!L21+Technopolis!L21+Santoshpur!L21+'Chinar Park'!L21+'Lake Road'!L21+Kalikapur!L21+'Event Sales'!L21+'Sector 1'!L21</f>
        <v>142072.4167</v>
      </c>
      <c r="N22" s="14">
        <f>'Ideal Plaza'!M21+'Salt Lake JC -21'!M21+'Forum Mall'!M21+'Lake Town'!M21+'Quest Mall'!M21+'Rosedale Plaza'!M21+'Mani Square Mall'!M21+'Forum Rangoli'!M21+CSC!M21+Jameslong!M21+Technopolis!M21+Santoshpur!M21+'Chinar Park'!M21+'Lake Road'!M21+Kalikapur!M21+'Event Sales'!M21+'Sector 1'!M21</f>
        <v>132352.4167</v>
      </c>
      <c r="O22" s="15">
        <f t="shared" si="6"/>
        <v>1543440</v>
      </c>
      <c r="P22" s="63">
        <f t="shared" si="7"/>
        <v>0.0069896526</v>
      </c>
      <c r="Q22" s="68">
        <f t="shared" si="9"/>
        <v>9187.142857</v>
      </c>
      <c r="R22" s="9"/>
      <c r="S22" s="9"/>
      <c r="T22" s="9"/>
      <c r="U22" s="9"/>
      <c r="V22" s="9"/>
      <c r="W22" s="9"/>
      <c r="X22" s="9"/>
      <c r="Y22" s="9"/>
      <c r="Z22" s="9"/>
      <c r="AA22" s="9"/>
      <c r="AB22" s="9"/>
      <c r="AC22" s="9"/>
      <c r="AD22" s="9"/>
      <c r="AE22" s="9"/>
      <c r="AF22" s="9"/>
    </row>
    <row r="23">
      <c r="A23" s="32" t="s">
        <v>28</v>
      </c>
      <c r="B23" s="67" t="s">
        <v>38</v>
      </c>
      <c r="C23" s="14">
        <f>'Ideal Plaza'!B22+'Salt Lake JC -21'!B22+'Forum Mall'!B22+'Lake Town'!B22+'Quest Mall'!B22+'Rosedale Plaza'!B22+'Mani Square Mall'!B22+'Forum Rangoli'!B22+CSC!B22+Jameslong!B22+Technopolis!B22+Santoshpur!B22+'Chinar Park'!B22+'Lake Road'!B22+Kalikapur!B22+'Event Sales'!B22+'Sector 1'!B22</f>
        <v>57927.66667</v>
      </c>
      <c r="D23" s="14">
        <f>'Ideal Plaza'!C22+'Salt Lake JC -21'!C22+'Forum Mall'!C22+'Lake Town'!C22+'Quest Mall'!C22+'Rosedale Plaza'!C22+'Mani Square Mall'!C22+'Forum Rangoli'!C22+CSC!C22+Jameslong!C22+Technopolis!C22+Santoshpur!C22+'Chinar Park'!C22+'Lake Road'!C22+Kalikapur!C22+'Event Sales'!C22+'Sector 1'!C22</f>
        <v>57927.66667</v>
      </c>
      <c r="E23" s="14">
        <f>'Ideal Plaza'!D22+'Salt Lake JC -21'!D22+'Forum Mall'!D22+'Lake Town'!D22+'Quest Mall'!D22+'Rosedale Plaza'!D22+'Mani Square Mall'!D22+'Forum Rangoli'!D22+CSC!D22+Jameslong!D22+Technopolis!D22+Santoshpur!D22+'Chinar Park'!D22+'Lake Road'!D22+Kalikapur!D22+'Event Sales'!D22+'Sector 1'!D22</f>
        <v>55470.66667</v>
      </c>
      <c r="F23" s="14">
        <f>'Ideal Plaza'!E22+'Salt Lake JC -21'!E22+'Forum Mall'!E22+'Lake Town'!E22+'Quest Mall'!E22+'Rosedale Plaza'!E22+'Mani Square Mall'!E22+'Forum Rangoli'!E22+CSC!E22+Jameslong!E22+Technopolis!E22+Santoshpur!E22+'Chinar Park'!E22+'Lake Road'!E22+Kalikapur!E22+'Event Sales'!E22+'Sector 1'!E22</f>
        <v>57470.66667</v>
      </c>
      <c r="G23" s="14">
        <f>'Ideal Plaza'!F22+'Salt Lake JC -21'!F22+'Forum Mall'!F22+'Lake Town'!F22+'Quest Mall'!F22+'Rosedale Plaza'!F22+'Mani Square Mall'!F22+'Forum Rangoli'!F22+CSC!F22+Jameslong!F22+Technopolis!F22+Santoshpur!F22+'Chinar Park'!F22+'Lake Road'!F22+Kalikapur!F22+'Event Sales'!F22+'Sector 1'!F22</f>
        <v>38470.66667</v>
      </c>
      <c r="H23" s="14">
        <f>'Ideal Plaza'!G22+'Salt Lake JC -21'!G22+'Forum Mall'!G22+'Lake Town'!G22+'Quest Mall'!G22+'Rosedale Plaza'!G22+'Mani Square Mall'!G22+'Forum Rangoli'!G22+CSC!G22+Jameslong!G22+Technopolis!G22+Santoshpur!G22+'Chinar Park'!G22+'Lake Road'!G22+Kalikapur!G22+'Event Sales'!G22+'Sector 1'!G22</f>
        <v>38470.66667</v>
      </c>
      <c r="I23" s="14">
        <f>'Ideal Plaza'!H22+'Salt Lake JC -21'!H22+'Forum Mall'!H22+'Lake Town'!H22+'Quest Mall'!H22+'Rosedale Plaza'!H22+'Mani Square Mall'!H22+'Forum Rangoli'!H22+CSC!H22+Jameslong!H22+Technopolis!H22+Santoshpur!H22+'Chinar Park'!H22+'Lake Road'!H22+Kalikapur!H22+'Event Sales'!H22+'Sector 1'!H22</f>
        <v>48970.66667</v>
      </c>
      <c r="J23" s="14">
        <f>'Ideal Plaza'!I22+'Salt Lake JC -21'!I22+'Forum Mall'!I22+'Lake Town'!I22+'Quest Mall'!I22+'Rosedale Plaza'!I22+'Mani Square Mall'!I22+'Forum Rangoli'!I22+CSC!I22+Jameslong!I22+Technopolis!I22+Santoshpur!I22+'Chinar Park'!I22+'Lake Road'!I22+Kalikapur!I22+'Event Sales'!I22+'Sector 1'!I22</f>
        <v>48970.66667</v>
      </c>
      <c r="K23" s="14">
        <f>'Ideal Plaza'!J22+'Salt Lake JC -21'!J22+'Forum Mall'!J22+'Lake Town'!J22+'Quest Mall'!J22+'Rosedale Plaza'!J22+'Mani Square Mall'!J22+'Forum Rangoli'!J22+CSC!J22+Jameslong!J22+Technopolis!J22+Santoshpur!J22+'Chinar Park'!J22+'Lake Road'!J22+Kalikapur!J22+'Event Sales'!J22+'Sector 1'!J22</f>
        <v>48970.66667</v>
      </c>
      <c r="L23" s="14">
        <f>'Ideal Plaza'!K22+'Salt Lake JC -21'!K22+'Forum Mall'!K22+'Lake Town'!K22+'Quest Mall'!K22+'Rosedale Plaza'!K22+'Mani Square Mall'!K22+'Forum Rangoli'!K22+CSC!K22+Jameslong!K22+Technopolis!K22+Santoshpur!K22+'Chinar Park'!K22+'Lake Road'!K22+Kalikapur!K22+'Event Sales'!K22+'Sector 1'!K22</f>
        <v>53942.38667</v>
      </c>
      <c r="M23" s="14">
        <f>'Ideal Plaza'!L22+'Salt Lake JC -21'!L22+'Forum Mall'!L22+'Lake Town'!L22+'Quest Mall'!L22+'Rosedale Plaza'!L22+'Mani Square Mall'!L22+'Forum Rangoli'!L22+CSC!L22+Jameslong!L22+Technopolis!L22+Santoshpur!L22+'Chinar Park'!L22+'Lake Road'!L22+Kalikapur!L22+'Event Sales'!L22+'Sector 1'!L22</f>
        <v>53942.38667</v>
      </c>
      <c r="N23" s="14">
        <f>'Ideal Plaza'!M22+'Salt Lake JC -21'!M22+'Forum Mall'!M22+'Lake Town'!M22+'Quest Mall'!M22+'Rosedale Plaza'!M22+'Mani Square Mall'!M22+'Forum Rangoli'!M22+CSC!M22+Jameslong!M22+Technopolis!M22+Santoshpur!M22+'Chinar Park'!M22+'Lake Road'!M22+Kalikapur!M22+'Event Sales'!M22+'Sector 1'!M22</f>
        <v>53942.38667</v>
      </c>
      <c r="O23" s="15">
        <f t="shared" si="6"/>
        <v>614477.16</v>
      </c>
      <c r="P23" s="63">
        <f t="shared" si="7"/>
        <v>0.002782733297</v>
      </c>
      <c r="Q23" s="68">
        <f t="shared" si="9"/>
        <v>3657.602143</v>
      </c>
      <c r="R23" s="9"/>
      <c r="S23" s="9"/>
      <c r="T23" s="9"/>
      <c r="U23" s="9"/>
      <c r="V23" s="9"/>
      <c r="W23" s="9"/>
      <c r="X23" s="9"/>
      <c r="Y23" s="9"/>
      <c r="Z23" s="9"/>
      <c r="AA23" s="9"/>
      <c r="AB23" s="9"/>
      <c r="AC23" s="9"/>
      <c r="AD23" s="9"/>
      <c r="AE23" s="9"/>
      <c r="AF23" s="9"/>
    </row>
    <row r="24">
      <c r="A24" s="20" t="s">
        <v>53</v>
      </c>
      <c r="B24" s="81" t="s">
        <v>54</v>
      </c>
      <c r="C24" s="14">
        <f>'Ideal Plaza'!B23+'Salt Lake JC -21'!B23+'Forum Mall'!B23+'Lake Town'!B23+'Quest Mall'!B23+'Rosedale Plaza'!B23+'Mani Square Mall'!B23+'Forum Rangoli'!B23+CSC!B23+Jameslong!B23+Technopolis!B23+Santoshpur!B23+'Chinar Park'!B23+'Lake Road'!B23+Kalikapur!B23+'Event Sales'!B23+'Sector 1'!B23</f>
        <v>0</v>
      </c>
      <c r="D24" s="14">
        <f>'Ideal Plaza'!C23+'Salt Lake JC -21'!C23+'Forum Mall'!C23+'Lake Town'!C23+'Quest Mall'!C23+'Rosedale Plaza'!C23+'Mani Square Mall'!C23+'Forum Rangoli'!C23+CSC!C23+Jameslong!C23+Technopolis!C23+Santoshpur!C23+'Chinar Park'!C23+'Lake Road'!C23+Kalikapur!C23+'Event Sales'!C23+'Sector 1'!C23</f>
        <v>11536.81333</v>
      </c>
      <c r="E24" s="14">
        <f>'Ideal Plaza'!D23+'Salt Lake JC -21'!D23+'Forum Mall'!D23+'Lake Town'!D23+'Quest Mall'!D23+'Rosedale Plaza'!D23+'Mani Square Mall'!D23+'Forum Rangoli'!D23+CSC!D23+Jameslong!D23+Technopolis!D23+Santoshpur!D23+'Chinar Park'!D23+'Lake Road'!D23+Kalikapur!D23+'Event Sales'!D23+'Sector 1'!D23</f>
        <v>11536.81333</v>
      </c>
      <c r="F24" s="14">
        <f>'Ideal Plaza'!E23+'Salt Lake JC -21'!E23+'Forum Mall'!E23+'Lake Town'!E23+'Quest Mall'!E23+'Rosedale Plaza'!E23+'Mani Square Mall'!E23+'Forum Rangoli'!E23+CSC!E23+Jameslong!E23+Technopolis!E23+Santoshpur!E23+'Chinar Park'!E23+'Lake Road'!E23+Kalikapur!E23+'Event Sales'!E23+'Sector 1'!E23</f>
        <v>11536.81333</v>
      </c>
      <c r="G24" s="14">
        <f>'Ideal Plaza'!F23+'Salt Lake JC -21'!F23+'Forum Mall'!F23+'Lake Town'!F23+'Quest Mall'!F23+'Rosedale Plaza'!F23+'Mani Square Mall'!F23+'Forum Rangoli'!F23+CSC!F23+Jameslong!F23+Technopolis!F23+Santoshpur!F23+'Chinar Park'!F23+'Lake Road'!F23+Kalikapur!F23+'Event Sales'!F23+'Sector 1'!F23</f>
        <v>11536.81333</v>
      </c>
      <c r="H24" s="14">
        <f>'Ideal Plaza'!G23+'Salt Lake JC -21'!G23+'Forum Mall'!G23+'Lake Town'!G23+'Quest Mall'!G23+'Rosedale Plaza'!G23+'Mani Square Mall'!G23+'Forum Rangoli'!G23+CSC!G23+Jameslong!G23+Technopolis!G23+Santoshpur!G23+'Chinar Park'!G23+'Lake Road'!G23+Kalikapur!G23+'Event Sales'!G23+'Sector 1'!G23</f>
        <v>11536.81333</v>
      </c>
      <c r="I24" s="14">
        <f>'Ideal Plaza'!H23+'Salt Lake JC -21'!H23+'Forum Mall'!H23+'Lake Town'!H23+'Quest Mall'!H23+'Rosedale Plaza'!H23+'Mani Square Mall'!H23+'Forum Rangoli'!H23+CSC!H23+Jameslong!H23+Technopolis!H23+Santoshpur!H23+'Chinar Park'!H23+'Lake Road'!H23+Kalikapur!H23+'Event Sales'!H23+'Sector 1'!H23</f>
        <v>11536.81333</v>
      </c>
      <c r="J24" s="14">
        <f>'Ideal Plaza'!I23+'Salt Lake JC -21'!I23+'Forum Mall'!I23+'Lake Town'!I23+'Quest Mall'!I23+'Rosedale Plaza'!I23+'Mani Square Mall'!I23+'Forum Rangoli'!I23+CSC!I23+Jameslong!I23+Technopolis!I23+Santoshpur!I23+'Chinar Park'!I23+'Lake Road'!I23+Kalikapur!I23+'Event Sales'!I23+'Sector 1'!I23</f>
        <v>11536.81333</v>
      </c>
      <c r="K24" s="14">
        <f>'Ideal Plaza'!J23+'Salt Lake JC -21'!J23+'Forum Mall'!J23+'Lake Town'!J23+'Quest Mall'!J23+'Rosedale Plaza'!J23+'Mani Square Mall'!J23+'Forum Rangoli'!J23+CSC!J23+Jameslong!J23+Technopolis!J23+Santoshpur!J23+'Chinar Park'!J23+'Lake Road'!J23+Kalikapur!J23+'Event Sales'!J23+'Sector 1'!J23</f>
        <v>11536.81333</v>
      </c>
      <c r="L24" s="14">
        <f>'Ideal Plaza'!K23+'Salt Lake JC -21'!K23+'Forum Mall'!K23+'Lake Town'!K23+'Quest Mall'!K23+'Rosedale Plaza'!K23+'Mani Square Mall'!K23+'Forum Rangoli'!K23+CSC!K23+Jameslong!K23+Technopolis!K23+Santoshpur!K23+'Chinar Park'!K23+'Lake Road'!K23+Kalikapur!K23+'Event Sales'!K23+'Sector 1'!K23</f>
        <v>11536.81333</v>
      </c>
      <c r="M24" s="14">
        <f>'Ideal Plaza'!L23+'Salt Lake JC -21'!L23+'Forum Mall'!L23+'Lake Town'!L23+'Quest Mall'!L23+'Rosedale Plaza'!L23+'Mani Square Mall'!L23+'Forum Rangoli'!L23+CSC!L23+Jameslong!L23+Technopolis!L23+Santoshpur!L23+'Chinar Park'!L23+'Lake Road'!L23+Kalikapur!L23+'Event Sales'!L23+'Sector 1'!L23</f>
        <v>11536.81333</v>
      </c>
      <c r="N24" s="14">
        <f>'Ideal Plaza'!M23+'Salt Lake JC -21'!M23+'Forum Mall'!M23+'Lake Town'!M23+'Quest Mall'!M23+'Rosedale Plaza'!M23+'Mani Square Mall'!M23+'Forum Rangoli'!M23+CSC!M23+Jameslong!M23+Technopolis!M23+Santoshpur!M23+'Chinar Park'!M23+'Lake Road'!M23+Kalikapur!M23+'Event Sales'!M23+'Sector 1'!M23</f>
        <v>11536.81333</v>
      </c>
      <c r="O24" s="15">
        <f t="shared" si="6"/>
        <v>126904.9467</v>
      </c>
      <c r="P24" s="63">
        <f t="shared" si="7"/>
        <v>0.0005747042259</v>
      </c>
      <c r="Q24" s="68">
        <f t="shared" si="9"/>
        <v>755.3865873</v>
      </c>
      <c r="R24" s="9"/>
      <c r="S24" s="9"/>
      <c r="T24" s="9"/>
      <c r="U24" s="9"/>
      <c r="V24" s="9"/>
      <c r="W24" s="9"/>
      <c r="X24" s="9"/>
      <c r="Y24" s="9"/>
      <c r="Z24" s="9"/>
      <c r="AA24" s="9"/>
      <c r="AB24" s="9"/>
      <c r="AC24" s="9"/>
      <c r="AD24" s="9"/>
      <c r="AE24" s="9"/>
      <c r="AF24" s="9"/>
    </row>
    <row r="25">
      <c r="A25" s="19" t="s">
        <v>30</v>
      </c>
      <c r="B25" s="67" t="s">
        <v>38</v>
      </c>
      <c r="C25" s="14">
        <f>'Ideal Plaza'!B24+'Salt Lake JC -21'!B24+'Forum Mall'!B24+'Lake Town'!B24+'Quest Mall'!B24+'Rosedale Plaza'!B24+'Mani Square Mall'!B24+'Forum Rangoli'!B24+CSC!B24+Jameslong!B24+Technopolis!B24+Santoshpur!B24+'Chinar Park'!B24+'Lake Road'!B24+Kalikapur!B24+'Event Sales'!B24+'Sector 1'!B24</f>
        <v>11261</v>
      </c>
      <c r="D25" s="14">
        <f>'Ideal Plaza'!C24+'Salt Lake JC -21'!C24+'Forum Mall'!C24+'Lake Town'!C24+'Quest Mall'!C24+'Rosedale Plaza'!C24+'Mani Square Mall'!C24+'Forum Rangoli'!C24+CSC!C24+Jameslong!C24+Technopolis!C24+Santoshpur!C24+'Chinar Park'!C24+'Lake Road'!C24+Kalikapur!C24+'Event Sales'!C24+'Sector 1'!C24</f>
        <v>46220</v>
      </c>
      <c r="E25" s="14">
        <f>'Ideal Plaza'!D24+'Salt Lake JC -21'!D24+'Forum Mall'!D24+'Lake Town'!D24+'Quest Mall'!D24+'Rosedale Plaza'!D24+'Mani Square Mall'!D24+'Forum Rangoli'!D24+CSC!D24+Jameslong!D24+Technopolis!D24+Santoshpur!D24+'Chinar Park'!D24+'Lake Road'!D24+Kalikapur!D24+'Event Sales'!D24+'Sector 1'!D24</f>
        <v>77624.38</v>
      </c>
      <c r="F25" s="14">
        <f>'Ideal Plaza'!E24+'Salt Lake JC -21'!E24+'Forum Mall'!E24+'Lake Town'!E24+'Quest Mall'!E24+'Rosedale Plaza'!E24+'Mani Square Mall'!E24+'Forum Rangoli'!E24+CSC!E24+Jameslong!E24+Technopolis!E24+Santoshpur!E24+'Chinar Park'!E24+'Lake Road'!E24+Kalikapur!E24+'Event Sales'!E24+'Sector 1'!E24</f>
        <v>105499</v>
      </c>
      <c r="G25" s="14">
        <f>'Ideal Plaza'!F24+'Salt Lake JC -21'!F24+'Forum Mall'!F24+'Lake Town'!F24+'Quest Mall'!F24+'Rosedale Plaza'!F24+'Mani Square Mall'!F24+'Forum Rangoli'!F24+CSC!F24+Jameslong!F24+Technopolis!F24+Santoshpur!F24+'Chinar Park'!F24+'Lake Road'!F24+Kalikapur!F24+'Event Sales'!F24+'Sector 1'!F24</f>
        <v>102556</v>
      </c>
      <c r="H25" s="14">
        <f>'Ideal Plaza'!G24+'Salt Lake JC -21'!G24+'Forum Mall'!G24+'Lake Town'!G24+'Quest Mall'!G24+'Rosedale Plaza'!G24+'Mani Square Mall'!G24+'Forum Rangoli'!G24+CSC!G24+Jameslong!G24+Technopolis!G24+Santoshpur!G24+'Chinar Park'!G24+'Lake Road'!G24+Kalikapur!G24+'Event Sales'!G24+'Sector 1'!G24</f>
        <v>114010</v>
      </c>
      <c r="I25" s="14">
        <f>'Ideal Plaza'!H24+'Salt Lake JC -21'!H24+'Forum Mall'!H24+'Lake Town'!H24+'Quest Mall'!H24+'Rosedale Plaza'!H24+'Mani Square Mall'!H24+'Forum Rangoli'!H24+CSC!H24+Jameslong!H24+Technopolis!H24+Santoshpur!H24+'Chinar Park'!H24+'Lake Road'!H24+Kalikapur!H24+'Event Sales'!H24+'Sector 1'!H24</f>
        <v>92296</v>
      </c>
      <c r="J25" s="14">
        <f>'Ideal Plaza'!I24+'Salt Lake JC -21'!I24+'Forum Mall'!I24+'Lake Town'!I24+'Quest Mall'!I24+'Rosedale Plaza'!I24+'Mani Square Mall'!I24+'Forum Rangoli'!I24+CSC!I24+Jameslong!I24+Technopolis!I24+Santoshpur!I24+'Chinar Park'!I24+'Lake Road'!I24+Kalikapur!I24+'Event Sales'!I24+'Sector 1'!I24</f>
        <v>98069</v>
      </c>
      <c r="K25" s="14">
        <f>'Ideal Plaza'!J24+'Salt Lake JC -21'!J24+'Forum Mall'!J24+'Lake Town'!J24+'Quest Mall'!J24+'Rosedale Plaza'!J24+'Mani Square Mall'!J24+'Forum Rangoli'!J24+CSC!J24+Jameslong!J24+Technopolis!J24+Santoshpur!J24+'Chinar Park'!J24+'Lake Road'!J24+Kalikapur!J24+'Event Sales'!J24+'Sector 1'!J24</f>
        <v>109430</v>
      </c>
      <c r="L25" s="14">
        <f>'Ideal Plaza'!K24+'Salt Lake JC -21'!K24+'Forum Mall'!K24+'Lake Town'!K24+'Quest Mall'!K24+'Rosedale Plaza'!K24+'Mani Square Mall'!K24+'Forum Rangoli'!K24+CSC!K24+Jameslong!K24+Technopolis!K24+Santoshpur!K24+'Chinar Park'!K24+'Lake Road'!K24+Kalikapur!K24+'Event Sales'!K24+'Sector 1'!K24</f>
        <v>182025.52</v>
      </c>
      <c r="M25" s="14">
        <f>'Ideal Plaza'!L24+'Salt Lake JC -21'!L24+'Forum Mall'!L24+'Lake Town'!L24+'Quest Mall'!L24+'Rosedale Plaza'!L24+'Mani Square Mall'!L24+'Forum Rangoli'!L24+CSC!L24+Jameslong!L24+Technopolis!L24+Santoshpur!L24+'Chinar Park'!L24+'Lake Road'!L24+Kalikapur!L24+'Event Sales'!L24+'Sector 1'!L24</f>
        <v>139717</v>
      </c>
      <c r="N25" s="14">
        <f>'Ideal Plaza'!M24+'Salt Lake JC -21'!M24+'Forum Mall'!M24+'Lake Town'!M24+'Quest Mall'!M24+'Rosedale Plaza'!M24+'Mani Square Mall'!M24+'Forum Rangoli'!M24+CSC!M24+Jameslong!M24+Technopolis!M24+Santoshpur!M24+'Chinar Park'!M24+'Lake Road'!M24+Kalikapur!M24+'Event Sales'!M24+'Sector 1'!M24</f>
        <v>179908</v>
      </c>
      <c r="O25" s="15">
        <f t="shared" si="6"/>
        <v>1258615.9</v>
      </c>
      <c r="P25" s="63">
        <f t="shared" si="7"/>
        <v>0.005699792605</v>
      </c>
      <c r="Q25" s="68">
        <f t="shared" si="9"/>
        <v>7491.76131</v>
      </c>
      <c r="R25" s="9"/>
      <c r="S25" s="9"/>
      <c r="T25" s="9"/>
      <c r="U25" s="9"/>
      <c r="V25" s="9"/>
      <c r="W25" s="9"/>
      <c r="X25" s="9"/>
      <c r="Y25" s="9"/>
      <c r="Z25" s="9"/>
      <c r="AA25" s="9"/>
      <c r="AB25" s="9"/>
      <c r="AC25" s="9"/>
      <c r="AD25" s="9"/>
      <c r="AE25" s="9"/>
      <c r="AF25" s="9"/>
    </row>
    <row r="26">
      <c r="A26" s="19" t="s">
        <v>31</v>
      </c>
      <c r="B26" s="67" t="s">
        <v>48</v>
      </c>
      <c r="C26" s="14">
        <f>'Ideal Plaza'!B25+'Salt Lake JC -21'!B25+'Forum Mall'!B25+'Lake Town'!B25+'Quest Mall'!B25+'Rosedale Plaza'!B25+'Mani Square Mall'!B25+'Forum Rangoli'!B25+CSC!B25+Jameslong!B25+Technopolis!B25+Santoshpur!B25+'Chinar Park'!B25+'Lake Road'!B25+Kalikapur!B25+'Event Sales'!B25+'Sector 1'!B25</f>
        <v>135902.35</v>
      </c>
      <c r="D26" s="14">
        <f>'Ideal Plaza'!C25+'Salt Lake JC -21'!C25+'Forum Mall'!C25+'Lake Town'!C25+'Quest Mall'!C25+'Rosedale Plaza'!C25+'Mani Square Mall'!C25+'Forum Rangoli'!C25+CSC!C25+Jameslong!C25+Technopolis!C25+Santoshpur!C25+'Chinar Park'!C25+'Lake Road'!C25+Kalikapur!C25+'Event Sales'!C25+'Sector 1'!C25</f>
        <v>216210.09</v>
      </c>
      <c r="E26" s="14">
        <f>'Ideal Plaza'!D25+'Salt Lake JC -21'!D25+'Forum Mall'!D25+'Lake Town'!D25+'Quest Mall'!D25+'Rosedale Plaza'!D25+'Mani Square Mall'!D25+'Forum Rangoli'!D25+CSC!D25+Jameslong!D25+Technopolis!D25+Santoshpur!D25+'Chinar Park'!D25+'Lake Road'!D25+Kalikapur!D25+'Event Sales'!D25+'Sector 1'!D25</f>
        <v>165486.47</v>
      </c>
      <c r="F26" s="14">
        <f>'Ideal Plaza'!E25+'Salt Lake JC -21'!E25+'Forum Mall'!E25+'Lake Town'!E25+'Quest Mall'!E25+'Rosedale Plaza'!E25+'Mani Square Mall'!E25+'Forum Rangoli'!E25+CSC!E25+Jameslong!E25+Technopolis!E25+Santoshpur!E25+'Chinar Park'!E25+'Lake Road'!E25+Kalikapur!E25+'Event Sales'!E25+'Sector 1'!E25</f>
        <v>230564.32</v>
      </c>
      <c r="G26" s="14">
        <f>'Ideal Plaza'!F25+'Salt Lake JC -21'!F25+'Forum Mall'!F25+'Lake Town'!F25+'Quest Mall'!F25+'Rosedale Plaza'!F25+'Mani Square Mall'!F25+'Forum Rangoli'!F25+CSC!F25+Jameslong!F25+Technopolis!F25+Santoshpur!F25+'Chinar Park'!F24+'Lake Road'!F25+Kalikapur!F25+'Event Sales'!F25+'Sector 1'!F25</f>
        <v>201540.31</v>
      </c>
      <c r="H26" s="14">
        <f>'Ideal Plaza'!G25+'Salt Lake JC -21'!G25+'Forum Mall'!G25+'Lake Town'!G25+'Quest Mall'!G25+'Rosedale Plaza'!G25+'Mani Square Mall'!G25+'Forum Rangoli'!G25+CSC!G25+Jameslong!G25+Technopolis!G25+Santoshpur!G25+'Chinar Park'!G25+'Lake Road'!G25+Kalikapur!G25+'Event Sales'!G25+'Sector 1'!G25</f>
        <v>203928.02</v>
      </c>
      <c r="I26" s="14">
        <f>'Ideal Plaza'!H25+'Salt Lake JC -21'!H25+'Forum Mall'!H25+'Lake Town'!H25+'Quest Mall'!H25+'Rosedale Plaza'!H25+'Mani Square Mall'!H25+'Forum Rangoli'!H25+CSC!H25+Jameslong!H25+Technopolis!H25+Santoshpur!H25+'Chinar Park'!H25+'Lake Road'!H25+Kalikapur!H25+'Event Sales'!H25+'Sector 1'!H25</f>
        <v>212709.14</v>
      </c>
      <c r="J26" s="14">
        <f>'Ideal Plaza'!I25+'Salt Lake JC -21'!I25+'Forum Mall'!I25+'Lake Town'!I25+'Quest Mall'!I25+'Rosedale Plaza'!I25+'Mani Square Mall'!I25+'Forum Rangoli'!I25+CSC!I25+Jameslong!I25+Technopolis!I25+Santoshpur!I25+'Chinar Park'!I25+'Lake Road'!I25+Kalikapur!I25+'Event Sales'!I25+'Sector 1'!I25</f>
        <v>180612.72</v>
      </c>
      <c r="K26" s="14">
        <f>'Ideal Plaza'!J25+'Salt Lake JC -21'!J25+'Forum Mall'!J25+'Lake Town'!J25+'Quest Mall'!J25+'Rosedale Plaza'!J25+'Mani Square Mall'!J25+'Forum Rangoli'!J25+CSC!J25+Jameslong!J25+Technopolis!J25+Santoshpur!J25+'Chinar Park'!J25+'Lake Road'!J25+Kalikapur!J25+'Event Sales'!J25+'Sector 1'!J25</f>
        <v>248932.48</v>
      </c>
      <c r="L26" s="14">
        <f>'Ideal Plaza'!K25+'Salt Lake JC -21'!K25+'Forum Mall'!K25+'Lake Town'!K25+'Quest Mall'!K25+'Rosedale Plaza'!K25+'Mani Square Mall'!K25+'Forum Rangoli'!K25+CSC!K25+Jameslong!K25+Technopolis!K25+Santoshpur!K25+'Chinar Park'!K25+'Lake Road'!K25+Kalikapur!K25+'Event Sales'!K25+'Sector 1'!K25</f>
        <v>217041.3</v>
      </c>
      <c r="M26" s="14">
        <f>'Ideal Plaza'!L25+'Salt Lake JC -21'!L25+'Forum Mall'!L25+'Lake Town'!L25+'Quest Mall'!L25+'Rosedale Plaza'!L25+'Mani Square Mall'!L25+'Forum Rangoli'!L25+CSC!L25+Jameslong!L25+Technopolis!L25+Santoshpur!L25+'Chinar Park'!L25+'Lake Road'!L25+Kalikapur!L25+'Event Sales'!L25+'Sector 1'!L25</f>
        <v>200181.79</v>
      </c>
      <c r="N26" s="14">
        <f>'Ideal Plaza'!M25+'Salt Lake JC -21'!M25+'Forum Mall'!M25+'Lake Town'!M25+'Quest Mall'!M25+'Rosedale Plaza'!M25+'Mani Square Mall'!M25+'Forum Rangoli'!M25+CSC!M25+Jameslong!M25+Technopolis!M25+Santoshpur!M25+'Chinar Park'!M25+'Lake Road'!M25+Kalikapur!M25+'Event Sales'!M25+'Sector 1'!M25</f>
        <v>298730.61</v>
      </c>
      <c r="O26" s="15">
        <f t="shared" si="6"/>
        <v>2511839.6</v>
      </c>
      <c r="P26" s="63">
        <f t="shared" si="7"/>
        <v>0.01137516599</v>
      </c>
      <c r="Q26" s="68">
        <f t="shared" si="9"/>
        <v>14951.42619</v>
      </c>
      <c r="R26" s="9"/>
      <c r="S26" s="9"/>
      <c r="T26" s="9"/>
      <c r="U26" s="9"/>
      <c r="V26" s="9"/>
      <c r="W26" s="9"/>
      <c r="X26" s="9"/>
      <c r="Y26" s="9"/>
      <c r="Z26" s="9"/>
      <c r="AA26" s="9"/>
      <c r="AB26" s="9"/>
      <c r="AC26" s="9"/>
      <c r="AD26" s="9"/>
      <c r="AE26" s="9"/>
      <c r="AF26" s="9"/>
    </row>
    <row r="27">
      <c r="A27" s="19" t="s">
        <v>32</v>
      </c>
      <c r="B27" s="67" t="s">
        <v>48</v>
      </c>
      <c r="C27" s="14">
        <f>'Ideal Plaza'!B26+'Salt Lake JC -21'!B26+'Forum Mall'!B26+'Lake Town'!B26+'Quest Mall'!B26+'Rosedale Plaza'!B26+'Mani Square Mall'!B26+'Forum Rangoli'!B26+CSC!B26+Jameslong!B26+Technopolis!B26+Santoshpur!B26+'Chinar Park'!B26+'Lake Road'!B26+Kalikapur!B26+'Event Sales'!B26+'Sector 1'!B26</f>
        <v>368505</v>
      </c>
      <c r="D27" s="14">
        <f>'Ideal Plaza'!C26+'Salt Lake JC -21'!C26+'Forum Mall'!C26+'Lake Town'!C26+'Quest Mall'!C26+'Rosedale Plaza'!C26+'Mani Square Mall'!C26+'Forum Rangoli'!C26+CSC!C26+Jameslong!C26+Technopolis!C26+Santoshpur!C26+'Chinar Park'!C26+'Lake Road'!C26+Kalikapur!C26+'Event Sales'!C26+'Sector 1'!C26</f>
        <v>368505</v>
      </c>
      <c r="E27" s="14">
        <f>'Ideal Plaza'!D26+'Salt Lake JC -21'!D26+'Forum Mall'!D26+'Lake Town'!D26+'Quest Mall'!D26+'Rosedale Plaza'!D26+'Mani Square Mall'!D26+'Forum Rangoli'!D26+CSC!D26+Jameslong!D26+Technopolis!D26+Santoshpur!D26+'Chinar Park'!D26+'Lake Road'!D26+Kalikapur!D26+'Event Sales'!D26+'Sector 1'!D26</f>
        <v>370275</v>
      </c>
      <c r="F27" s="14">
        <f>'Ideal Plaza'!E26+'Salt Lake JC -21'!E26+'Forum Mall'!E26+'Lake Town'!E26+'Quest Mall'!E26+'Rosedale Plaza'!E26+'Mani Square Mall'!E26+'Forum Rangoli'!E26+CSC!E26+Jameslong!E26+Technopolis!E26+Santoshpur!E26+'Chinar Park'!E26+'Lake Road'!E26+Kalikapur!E26+'Event Sales'!E26+'Sector 1'!E26</f>
        <v>374919</v>
      </c>
      <c r="G27" s="14">
        <f>'Ideal Plaza'!F26+'Salt Lake JC -21'!F26+'Forum Mall'!F26+'Lake Town'!F26+'Quest Mall'!F26+'Rosedale Plaza'!F26+'Mani Square Mall'!F26+'Forum Rangoli'!F26+CSC!F26+Jameslong!F26+Technopolis!F26+Santoshpur!F26+'Chinar Park'!F26+'Lake Road'!F26+Kalikapur!F26+'Event Sales'!F26+'Sector 1'!F26</f>
        <v>375508</v>
      </c>
      <c r="H27" s="14">
        <f>'Ideal Plaza'!G26+'Salt Lake JC -21'!G26+'Forum Mall'!G26+'Lake Town'!G26+'Quest Mall'!G26+'Rosedale Plaza'!G26+'Mani Square Mall'!G26+'Forum Rangoli'!G26+CSC!G26+Jameslong!G26+Technopolis!G26+Santoshpur!G26+'Chinar Park'!G26+'Lake Road'!G26+Kalikapur!G26+'Event Sales'!G26+'Sector 1'!G26</f>
        <v>375326</v>
      </c>
      <c r="I27" s="14">
        <f>'Ideal Plaza'!H26+'Salt Lake JC -21'!H26+'Forum Mall'!H26+'Lake Town'!H26+'Quest Mall'!H26+'Rosedale Plaza'!H26+'Mani Square Mall'!H26+'Forum Rangoli'!H26+CSC!H26+Jameslong!H26+Technopolis!H26+Santoshpur!H26+'Chinar Park'!H26+'Lake Road'!H26+Kalikapur!H26+'Event Sales'!H26+'Sector 1'!H26</f>
        <v>379717.98</v>
      </c>
      <c r="J27" s="14">
        <f>'Ideal Plaza'!I26+'Salt Lake JC -21'!I26+'Forum Mall'!I26+'Lake Town'!I26+'Quest Mall'!I26+'Rosedale Plaza'!I26+'Mani Square Mall'!I26+'Forum Rangoli'!I26+CSC!I26+Jameslong!I26+Technopolis!I26+Santoshpur!I26+'Chinar Park'!I26+'Lake Road'!I26+Kalikapur!I26+'Event Sales'!I26+'Sector 1'!I26</f>
        <v>379758</v>
      </c>
      <c r="K27" s="14">
        <f>'Ideal Plaza'!J26+'Salt Lake JC -21'!J26+'Forum Mall'!J26+'Lake Town'!J26+'Quest Mall'!J26+'Rosedale Plaza'!J26+'Mani Square Mall'!J26+'Forum Rangoli'!J26+CSC!J26+Jameslong!J26+Technopolis!J26+Santoshpur!J26+'Chinar Park'!J26+'Lake Road'!J26+Kalikapur!J26+'Event Sales'!J26+'Sector 1'!J26</f>
        <v>379501</v>
      </c>
      <c r="L27" s="14">
        <f>'Ideal Plaza'!K26+'Salt Lake JC -21'!K26+'Forum Mall'!K26+'Lake Town'!K26+'Quest Mall'!K26+'Rosedale Plaza'!K26+'Mani Square Mall'!K26+'Forum Rangoli'!K26+CSC!K26+Jameslong!K26+Technopolis!K26+Santoshpur!K26+'Chinar Park'!K26+'Lake Road'!K26+Kalikapur!K26+'Event Sales'!K26+'Sector 1'!K26</f>
        <v>379291</v>
      </c>
      <c r="M27" s="14">
        <f>'Ideal Plaza'!L26+'Salt Lake JC -21'!L26+'Forum Mall'!L26+'Lake Town'!L26+'Quest Mall'!L26+'Rosedale Plaza'!L26+'Mani Square Mall'!L26+'Forum Rangoli'!L26+CSC!L26+Jameslong!L26+Technopolis!L26+Santoshpur!L26+'Chinar Park'!L26+'Lake Road'!L26+Kalikapur!L26+'Event Sales'!L26+'Sector 1'!L26</f>
        <v>379352</v>
      </c>
      <c r="N27" s="14">
        <f>'Ideal Plaza'!M26+'Salt Lake JC -21'!M26+'Forum Mall'!M26+'Lake Town'!M26+'Quest Mall'!M26+'Rosedale Plaza'!M26+'Mani Square Mall'!M26+'Forum Rangoli'!M26+CSC!M26+Jameslong!M26+Technopolis!M26+Santoshpur!M26+'Chinar Park'!M26+'Lake Road'!M26+Kalikapur!M26+'Event Sales'!M26+'Sector 1'!M26</f>
        <v>379326</v>
      </c>
      <c r="O27" s="15">
        <f t="shared" si="6"/>
        <v>4509983.98</v>
      </c>
      <c r="P27" s="63">
        <f t="shared" si="7"/>
        <v>0.02042400175</v>
      </c>
      <c r="Q27" s="68">
        <f t="shared" si="9"/>
        <v>26845.14274</v>
      </c>
      <c r="R27" s="9"/>
      <c r="S27" s="9"/>
      <c r="T27" s="9"/>
      <c r="U27" s="9"/>
      <c r="V27" s="9"/>
      <c r="W27" s="9"/>
      <c r="X27" s="9"/>
      <c r="Y27" s="9"/>
      <c r="Z27" s="9"/>
      <c r="AA27" s="9"/>
      <c r="AB27" s="9"/>
      <c r="AC27" s="9"/>
      <c r="AD27" s="9"/>
      <c r="AE27" s="9"/>
      <c r="AF27" s="9"/>
    </row>
    <row r="28">
      <c r="A28" s="20" t="s">
        <v>57</v>
      </c>
      <c r="B28" s="67" t="s">
        <v>48</v>
      </c>
      <c r="C28" s="14">
        <f>'Ads Account'!B12</f>
        <v>618589</v>
      </c>
      <c r="D28" s="14">
        <f>'Ads Account'!C12</f>
        <v>644882.61</v>
      </c>
      <c r="E28" s="14">
        <f>'Ads Account'!D12</f>
        <v>804890.4</v>
      </c>
      <c r="F28" s="14">
        <f>'Ads Account'!E12</f>
        <v>405466</v>
      </c>
      <c r="G28" s="14">
        <f>'Ads Account'!F12</f>
        <v>532635.83</v>
      </c>
      <c r="H28" s="14">
        <f>'Ads Account'!G12</f>
        <v>593071.02</v>
      </c>
      <c r="I28" s="14">
        <f>'Ads Account'!H12</f>
        <v>570206.14</v>
      </c>
      <c r="J28" s="14">
        <f>'Ads Account'!I12</f>
        <v>619813.96</v>
      </c>
      <c r="K28" s="14">
        <f>'Ads Account'!J12</f>
        <v>823613.83</v>
      </c>
      <c r="L28" s="14">
        <f>'Ads Account'!K12</f>
        <v>808688.58</v>
      </c>
      <c r="M28" s="14">
        <f>'Ads Account'!L12</f>
        <v>606664</v>
      </c>
      <c r="N28" s="14">
        <f>'Ads Account'!M12</f>
        <v>859544.64</v>
      </c>
      <c r="O28" s="15">
        <f t="shared" si="6"/>
        <v>7888066.01</v>
      </c>
      <c r="P28" s="63">
        <f t="shared" si="7"/>
        <v>0.03572205016</v>
      </c>
      <c r="Q28" s="68">
        <f t="shared" si="9"/>
        <v>46952.77387</v>
      </c>
      <c r="R28" s="9"/>
      <c r="S28" s="9"/>
      <c r="T28" s="9"/>
      <c r="U28" s="9"/>
      <c r="V28" s="9"/>
      <c r="W28" s="9"/>
      <c r="X28" s="9"/>
      <c r="Y28" s="9"/>
      <c r="Z28" s="9"/>
      <c r="AA28" s="9"/>
      <c r="AB28" s="9"/>
      <c r="AC28" s="9"/>
      <c r="AD28" s="9"/>
      <c r="AE28" s="9"/>
      <c r="AF28" s="9"/>
    </row>
    <row r="29">
      <c r="A29" s="19" t="s">
        <v>33</v>
      </c>
      <c r="B29" s="67" t="s">
        <v>48</v>
      </c>
      <c r="C29" s="14">
        <f>'Ideal Plaza'!B27+'Salt Lake JC -21'!B27+'Forum Mall'!B27+'Lake Town'!B27+'Quest Mall'!B27+'Rosedale Plaza'!B27+'Mani Square Mall'!B27+'Forum Rangoli'!B27+CSC!B27+Jameslong!B27+Technopolis!B27+Santoshpur!B27+'Chinar Park'!B27+'Lake Road'!B27+Kalikapur!B27+'Event Sales'!B27+'Sector 1'!B27</f>
        <v>3398453.79</v>
      </c>
      <c r="D29" s="14">
        <f>'Ideal Plaza'!C27+'Salt Lake JC -21'!C27+'Forum Mall'!C27+'Lake Town'!C27+'Quest Mall'!C27+'Rosedale Plaza'!C27+'Mani Square Mall'!C27+'Forum Rangoli'!C27+CSC!C27+Jameslong!C27+Technopolis!C27+Santoshpur!C27+'Chinar Park'!C27+'Lake Road'!C27+Kalikapur!C27+'Event Sales'!C27+'Sector 1'!C27</f>
        <v>3689032.753</v>
      </c>
      <c r="E29" s="14">
        <f>'Ideal Plaza'!D27+'Salt Lake JC -21'!D27+'Forum Mall'!D27+'Lake Town'!D27+'Quest Mall'!D27+'Rosedale Plaza'!D27+'Mani Square Mall'!D27+'Forum Rangoli'!D27+CSC!D27+Jameslong!D27+Technopolis!D27+Santoshpur!D27+'Chinar Park'!D27+'Lake Road'!D27+Kalikapur!D27+'Event Sales'!D27+'Sector 1'!D27</f>
        <v>3599598.29</v>
      </c>
      <c r="F29" s="14">
        <f>'Ideal Plaza'!E27+'Salt Lake JC -21'!E27+'Forum Mall'!E27+'Lake Town'!E27+'Quest Mall'!E27+'Rosedale Plaza'!E27+'Mani Square Mall'!E27+'Forum Rangoli'!E27+CSC!E27+Jameslong!E27+Technopolis!E27+Santoshpur!E27+'Chinar Park'!E27+'Lake Road'!E27+Kalikapur!E27+'Event Sales'!E27+'Sector 1'!E27</f>
        <v>4046350.44</v>
      </c>
      <c r="G29" s="14">
        <f>'Ideal Plaza'!F27+'Salt Lake JC -21'!F27+'Forum Mall'!F27+'Lake Town'!F27+'Quest Mall'!F27+'Rosedale Plaza'!F27+'Mani Square Mall'!F27+'Forum Rangoli'!F27+CSC!F27+Jameslong!F27+Technopolis!F27+Santoshpur!F27+'Chinar Park'!F27+'Lake Road'!F27+Kalikapur!F27+'Event Sales'!F27+'Sector 1'!F27</f>
        <v>3745587.733</v>
      </c>
      <c r="H29" s="14">
        <f>'Ideal Plaza'!G27+'Salt Lake JC -21'!G27+'Forum Mall'!G27+'Lake Town'!G27+'Quest Mall'!G27+'Rosedale Plaza'!G27+'Mani Square Mall'!G27+'Forum Rangoli'!G27+CSC!G27+Jameslong!G27+Technopolis!G27+Santoshpur!G27+'Chinar Park'!G27+'Lake Road'!G27+Kalikapur!G27+'Event Sales'!G27+'Sector 1'!G27</f>
        <v>4139909.873</v>
      </c>
      <c r="I29" s="14">
        <f>'Ideal Plaza'!H27+'Salt Lake JC -21'!H27+'Forum Mall'!H27+'Lake Town'!H27+'Quest Mall'!H27+'Rosedale Plaza'!H27+'Mani Square Mall'!H27+'Forum Rangoli'!H27+CSC!H27+Jameslong!H27+Technopolis!H27+Santoshpur!H27+'Chinar Park'!H27+'Lake Road'!H27+Kalikapur!H27+'Event Sales'!H27+'Sector 1'!H27</f>
        <v>3617032.258</v>
      </c>
      <c r="J29" s="14">
        <f>'Ideal Plaza'!I27+'Salt Lake JC -21'!I27+'Forum Mall'!I27+'Lake Town'!I27+'Quest Mall'!I27+'Rosedale Plaza'!I27+'Mani Square Mall'!I27+'Forum Rangoli'!I27+CSC!I27+Jameslong!I27+Technopolis!I27+Santoshpur!I27+'Chinar Park'!I27+'Lake Road'!I27+Kalikapur!I27+'Event Sales'!I27+'Sector 1'!I27</f>
        <v>3740668.692</v>
      </c>
      <c r="K29" s="14">
        <f>'Ideal Plaza'!J27+'Salt Lake JC -21'!J27+'Forum Mall'!J27+'Lake Town'!J27+'Quest Mall'!J27+'Rosedale Plaza'!J27+'Mani Square Mall'!J27+'Forum Rangoli'!J27+CSC!J27+Jameslong!J27+Technopolis!J27+Santoshpur!J27+'Chinar Park'!J27+'Lake Road'!J27+Kalikapur!J27+'Event Sales'!J27+'Sector 1'!J27</f>
        <v>3463343.072</v>
      </c>
      <c r="L29" s="14">
        <f>'Ideal Plaza'!K27+'Salt Lake JC -21'!K27+'Forum Mall'!K27+'Lake Town'!K27+'Quest Mall'!K27+'Rosedale Plaza'!K27+'Mani Square Mall'!K27+'Forum Rangoli'!K27+CSC!K27+Jameslong!K27+Technopolis!K27+Santoshpur!K27+'Chinar Park'!K27+'Lake Road'!K27+Kalikapur!K27+'Event Sales'!K27+'Sector 1'!K27</f>
        <v>3647369.072</v>
      </c>
      <c r="M29" s="14">
        <f>'Ideal Plaza'!L27+'Salt Lake JC -21'!L27+'Forum Mall'!L27+'Lake Town'!L27+'Quest Mall'!L27+'Rosedale Plaza'!L27+'Mani Square Mall'!L27+'Forum Rangoli'!L27+CSC!L27+Jameslong!L27+Technopolis!L27+Santoshpur!L27+'Chinar Park'!L27+'Lake Road'!L27+Kalikapur!L27+'Event Sales'!L27+'Sector 1'!L27</f>
        <v>3445370.888</v>
      </c>
      <c r="N29" s="14">
        <f>'Ideal Plaza'!M27+'Salt Lake JC -21'!M27+'Forum Mall'!M27+'Lake Town'!M27+'Quest Mall'!M27+'Rosedale Plaza'!M27+'Mani Square Mall'!M27+'Forum Rangoli'!M27+CSC!M27+Jameslong!M27+Technopolis!M27+Santoshpur!M27+'Chinar Park'!M27+'Lake Road'!M27+Kalikapur!M27+'Event Sales'!M27+'Sector 1'!M27</f>
        <v>3805833.645</v>
      </c>
      <c r="O29" s="15">
        <f t="shared" si="6"/>
        <v>44338550.51</v>
      </c>
      <c r="P29" s="63">
        <f t="shared" si="7"/>
        <v>0.2007924279</v>
      </c>
      <c r="Q29" s="68">
        <f t="shared" si="9"/>
        <v>263919.9435</v>
      </c>
      <c r="R29" s="9"/>
      <c r="S29" s="9"/>
      <c r="T29" s="9"/>
      <c r="U29" s="9"/>
      <c r="V29" s="9"/>
      <c r="W29" s="9"/>
      <c r="X29" s="9"/>
      <c r="Y29" s="9"/>
      <c r="Z29" s="9"/>
      <c r="AA29" s="9"/>
      <c r="AB29" s="9"/>
      <c r="AC29" s="9"/>
      <c r="AD29" s="9"/>
      <c r="AE29" s="9"/>
      <c r="AF29" s="9"/>
    </row>
    <row r="30">
      <c r="A30" s="35" t="s">
        <v>34</v>
      </c>
      <c r="B30" s="86"/>
      <c r="C30" s="36">
        <f t="shared" ref="C30:N30" si="10">+SUM(C15:C29)</f>
        <v>14682851.93</v>
      </c>
      <c r="D30" s="36">
        <f t="shared" si="10"/>
        <v>15927109.97</v>
      </c>
      <c r="E30" s="36">
        <f t="shared" si="10"/>
        <v>15707095.43</v>
      </c>
      <c r="F30" s="36">
        <f t="shared" si="10"/>
        <v>16628709.62</v>
      </c>
      <c r="G30" s="37">
        <f t="shared" si="10"/>
        <v>16501211.19</v>
      </c>
      <c r="H30" s="37">
        <f t="shared" si="10"/>
        <v>17215474.02</v>
      </c>
      <c r="I30" s="37">
        <f t="shared" si="10"/>
        <v>16264232.96</v>
      </c>
      <c r="J30" s="37">
        <f t="shared" si="10"/>
        <v>16057444.56</v>
      </c>
      <c r="K30" s="37">
        <f t="shared" si="10"/>
        <v>16305544.39</v>
      </c>
      <c r="L30" s="37">
        <f t="shared" si="10"/>
        <v>16617095.71</v>
      </c>
      <c r="M30" s="37">
        <f t="shared" si="10"/>
        <v>15790427.81</v>
      </c>
      <c r="N30" s="37">
        <f t="shared" si="10"/>
        <v>18041655.01</v>
      </c>
      <c r="O30" s="36">
        <f t="shared" si="6"/>
        <v>195738852.6</v>
      </c>
      <c r="P30" s="38">
        <f t="shared" si="7"/>
        <v>0.8864267999</v>
      </c>
      <c r="Q30" s="87">
        <f t="shared" ref="Q30:Q31" si="12">AVERAGE(C30:N30)</f>
        <v>16311571.05</v>
      </c>
      <c r="R30" s="9"/>
      <c r="S30" s="9"/>
      <c r="T30" s="9"/>
      <c r="U30" s="9"/>
      <c r="V30" s="9"/>
      <c r="W30" s="9"/>
      <c r="X30" s="9"/>
      <c r="Y30" s="9"/>
      <c r="Z30" s="9"/>
      <c r="AA30" s="9"/>
      <c r="AB30" s="9"/>
      <c r="AC30" s="9"/>
      <c r="AD30" s="9"/>
      <c r="AE30" s="9"/>
      <c r="AF30" s="9"/>
    </row>
    <row r="31">
      <c r="A31" s="39" t="s">
        <v>35</v>
      </c>
      <c r="B31" s="88"/>
      <c r="C31" s="40">
        <f t="shared" ref="C31:N31" si="11">C14-C30</f>
        <v>2072500.576</v>
      </c>
      <c r="D31" s="40">
        <f t="shared" si="11"/>
        <v>2430922.395</v>
      </c>
      <c r="E31" s="40">
        <f t="shared" si="11"/>
        <v>2390730.913</v>
      </c>
      <c r="F31" s="40">
        <f t="shared" si="11"/>
        <v>2288747.38</v>
      </c>
      <c r="G31" s="40">
        <f t="shared" si="11"/>
        <v>2592821.111</v>
      </c>
      <c r="H31" s="40">
        <f t="shared" si="11"/>
        <v>2033106.329</v>
      </c>
      <c r="I31" s="40">
        <f t="shared" si="11"/>
        <v>2505053.111</v>
      </c>
      <c r="J31" s="40">
        <f t="shared" si="11"/>
        <v>1280815.638</v>
      </c>
      <c r="K31" s="40">
        <f t="shared" si="11"/>
        <v>2086917.028</v>
      </c>
      <c r="L31" s="40">
        <f t="shared" si="11"/>
        <v>2096778.238</v>
      </c>
      <c r="M31" s="40">
        <f t="shared" si="11"/>
        <v>677437.2297</v>
      </c>
      <c r="N31" s="40">
        <f t="shared" si="11"/>
        <v>2623158.938</v>
      </c>
      <c r="O31" s="40">
        <f t="shared" si="6"/>
        <v>25078988.89</v>
      </c>
      <c r="P31" s="41">
        <f t="shared" si="7"/>
        <v>0.1135732001</v>
      </c>
      <c r="Q31" s="87">
        <f t="shared" si="12"/>
        <v>2089915.741</v>
      </c>
      <c r="R31" s="9"/>
      <c r="S31" s="9"/>
      <c r="T31" s="9"/>
      <c r="U31" s="9"/>
      <c r="V31" s="9"/>
      <c r="W31" s="9"/>
      <c r="X31" s="9"/>
      <c r="Y31" s="9"/>
      <c r="Z31" s="9"/>
      <c r="AA31" s="9"/>
      <c r="AB31" s="9"/>
      <c r="AC31" s="9"/>
      <c r="AD31" s="9"/>
      <c r="AE31" s="9"/>
      <c r="AF31" s="9"/>
    </row>
    <row r="32">
      <c r="A32" s="62" t="s">
        <v>58</v>
      </c>
      <c r="B32" s="18"/>
      <c r="C32" s="90">
        <f t="shared" ref="C32:N32" si="13">C31/C14</f>
        <v>0.1236918516</v>
      </c>
      <c r="D32" s="90">
        <f t="shared" si="13"/>
        <v>0.1324173717</v>
      </c>
      <c r="E32" s="90">
        <f t="shared" si="13"/>
        <v>0.132100445</v>
      </c>
      <c r="F32" s="90">
        <f t="shared" si="13"/>
        <v>0.1209859962</v>
      </c>
      <c r="G32" s="90">
        <f t="shared" si="13"/>
        <v>0.135792224</v>
      </c>
      <c r="H32" s="90">
        <f t="shared" si="13"/>
        <v>0.1056237027</v>
      </c>
      <c r="I32" s="90">
        <f t="shared" si="13"/>
        <v>0.1334655512</v>
      </c>
      <c r="J32" s="90">
        <f t="shared" si="13"/>
        <v>0.07387221226</v>
      </c>
      <c r="K32" s="90">
        <f t="shared" si="13"/>
        <v>0.1134658913</v>
      </c>
      <c r="L32" s="90">
        <f t="shared" si="13"/>
        <v>0.1120440506</v>
      </c>
      <c r="M32" s="90">
        <f t="shared" si="13"/>
        <v>0.04113691896</v>
      </c>
      <c r="N32" s="90">
        <f t="shared" si="13"/>
        <v>0.1269384251</v>
      </c>
      <c r="O32" s="18"/>
      <c r="P32" s="90">
        <f t="shared" ref="P32:P33" si="16">AVERAGE(C32:N32)</f>
        <v>0.1126278867</v>
      </c>
      <c r="Q32" s="68"/>
      <c r="R32" s="9"/>
      <c r="S32" s="9"/>
      <c r="T32" s="9"/>
      <c r="U32" s="9"/>
      <c r="V32" s="9"/>
      <c r="W32" s="9"/>
      <c r="X32" s="9"/>
      <c r="Y32" s="9"/>
      <c r="Z32" s="9"/>
      <c r="AA32" s="9"/>
      <c r="AB32" s="9"/>
      <c r="AC32" s="9"/>
      <c r="AD32" s="9"/>
      <c r="AE32" s="9"/>
      <c r="AF32" s="9"/>
    </row>
    <row r="33">
      <c r="A33" s="62" t="s">
        <v>36</v>
      </c>
      <c r="B33" s="15"/>
      <c r="C33" s="27">
        <f t="shared" ref="C33:E33" si="14">C15/C14</f>
        <v>0.2504166628</v>
      </c>
      <c r="D33" s="27">
        <f t="shared" si="14"/>
        <v>0.2570601514</v>
      </c>
      <c r="E33" s="27">
        <f t="shared" si="14"/>
        <v>0.2482791002</v>
      </c>
      <c r="F33" s="27">
        <f t="shared" ref="F33:N33" si="15">(F15/F14)</f>
        <v>0.2621953067</v>
      </c>
      <c r="G33" s="27">
        <f t="shared" si="15"/>
        <v>0.2612529209</v>
      </c>
      <c r="H33" s="27">
        <f t="shared" si="15"/>
        <v>0.2646066591</v>
      </c>
      <c r="I33" s="27">
        <f t="shared" si="15"/>
        <v>0.2665228374</v>
      </c>
      <c r="J33" s="27">
        <f t="shared" si="15"/>
        <v>0.2719199871</v>
      </c>
      <c r="K33" s="27">
        <f t="shared" si="15"/>
        <v>0.2656037373</v>
      </c>
      <c r="L33" s="27">
        <f t="shared" si="15"/>
        <v>0.2653602581</v>
      </c>
      <c r="M33" s="27">
        <f t="shared" si="15"/>
        <v>0.2877126002</v>
      </c>
      <c r="N33" s="27">
        <f t="shared" si="15"/>
        <v>0.273904873</v>
      </c>
      <c r="O33" s="15"/>
      <c r="P33" s="27">
        <f t="shared" si="16"/>
        <v>0.2645695912</v>
      </c>
      <c r="Q33" s="68"/>
      <c r="R33" s="64"/>
      <c r="S33" s="64"/>
      <c r="T33" s="64"/>
      <c r="U33" s="64"/>
      <c r="V33" s="64"/>
      <c r="W33" s="64"/>
      <c r="X33" s="64"/>
      <c r="Y33" s="64"/>
      <c r="Z33" s="64"/>
      <c r="AA33" s="64"/>
      <c r="AB33" s="64"/>
      <c r="AC33" s="64"/>
      <c r="AD33" s="64"/>
      <c r="AE33" s="64"/>
      <c r="AF33" s="64"/>
    </row>
    <row r="34">
      <c r="A34" s="9"/>
      <c r="B34" s="9"/>
      <c r="C34" s="9"/>
      <c r="D34" s="9"/>
      <c r="E34" s="9"/>
      <c r="F34" s="9"/>
      <c r="G34" s="9"/>
      <c r="H34" s="9"/>
      <c r="I34" s="9"/>
      <c r="J34" s="9"/>
      <c r="K34" s="9"/>
      <c r="L34" s="9"/>
      <c r="M34" s="9"/>
      <c r="N34" s="9"/>
      <c r="O34" s="9"/>
      <c r="P34" s="9"/>
      <c r="Q34" s="9"/>
      <c r="R34" s="9"/>
      <c r="S34" s="9"/>
      <c r="T34" s="9"/>
      <c r="U34" s="9"/>
      <c r="V34" s="9"/>
      <c r="W34" s="9"/>
      <c r="X34" s="9"/>
      <c r="Y34" s="9"/>
      <c r="Z34" s="9"/>
      <c r="AA34" s="9"/>
      <c r="AB34" s="9"/>
      <c r="AC34" s="9"/>
      <c r="AD34" s="9"/>
      <c r="AE34" s="9"/>
      <c r="AF34" s="9"/>
    </row>
    <row r="35">
      <c r="A35" s="47"/>
      <c r="B35" s="47"/>
      <c r="C35" s="92"/>
      <c r="D35" s="92"/>
      <c r="E35" s="92"/>
      <c r="F35" s="92"/>
      <c r="G35" s="92"/>
      <c r="H35" s="92"/>
      <c r="I35" s="92"/>
      <c r="J35" s="47"/>
      <c r="K35" s="47"/>
      <c r="L35" s="9"/>
      <c r="M35" s="9"/>
      <c r="N35" s="9"/>
      <c r="O35" s="93"/>
      <c r="P35" s="9"/>
      <c r="Q35" s="9"/>
      <c r="R35" s="9"/>
      <c r="S35" s="9"/>
      <c r="T35" s="9"/>
      <c r="U35" s="9"/>
      <c r="V35" s="9"/>
      <c r="W35" s="9"/>
      <c r="X35" s="9"/>
      <c r="Y35" s="9"/>
      <c r="Z35" s="9"/>
      <c r="AA35" s="9"/>
      <c r="AB35" s="9"/>
      <c r="AC35" s="9"/>
      <c r="AD35" s="9"/>
      <c r="AE35" s="9"/>
      <c r="AF35" s="9"/>
    </row>
    <row r="36">
      <c r="A36" s="47"/>
      <c r="B36" s="47"/>
      <c r="C36" s="94"/>
      <c r="D36" s="94"/>
      <c r="E36" s="94"/>
      <c r="F36" s="94"/>
      <c r="G36" s="94"/>
      <c r="H36" s="92"/>
      <c r="I36" s="92"/>
      <c r="J36" s="9"/>
      <c r="K36" s="9"/>
      <c r="L36" s="9"/>
      <c r="M36" s="9"/>
      <c r="N36" s="9"/>
      <c r="O36" s="9"/>
      <c r="P36" s="9"/>
      <c r="Q36" s="9"/>
      <c r="R36" s="9"/>
      <c r="S36" s="9"/>
      <c r="T36" s="9"/>
      <c r="U36" s="9"/>
      <c r="V36" s="9"/>
      <c r="W36" s="9"/>
      <c r="X36" s="9"/>
      <c r="Y36" s="9"/>
      <c r="Z36" s="9"/>
      <c r="AA36" s="9"/>
      <c r="AB36" s="9"/>
      <c r="AC36" s="9"/>
      <c r="AD36" s="9"/>
      <c r="AE36" s="9"/>
      <c r="AF36" s="9"/>
    </row>
    <row r="37">
      <c r="A37" s="95"/>
      <c r="B37" s="47"/>
      <c r="C37" s="96"/>
      <c r="D37" s="96"/>
      <c r="E37" s="96"/>
      <c r="F37" s="96"/>
      <c r="G37" s="96"/>
      <c r="H37" s="96"/>
      <c r="I37" s="96"/>
      <c r="J37" s="9"/>
      <c r="K37" s="9"/>
      <c r="L37" s="9"/>
      <c r="M37" s="9"/>
      <c r="N37" s="9"/>
      <c r="O37" s="9"/>
      <c r="P37" s="9"/>
      <c r="Q37" s="9"/>
      <c r="R37" s="9"/>
      <c r="S37" s="9"/>
      <c r="T37" s="9"/>
      <c r="U37" s="9"/>
      <c r="V37" s="9"/>
      <c r="W37" s="9"/>
      <c r="X37" s="9"/>
      <c r="Y37" s="9"/>
      <c r="Z37" s="9"/>
      <c r="AA37" s="9"/>
      <c r="AB37" s="9"/>
      <c r="AC37" s="9"/>
      <c r="AD37" s="9"/>
      <c r="AE37" s="9"/>
      <c r="AF37" s="9"/>
    </row>
    <row r="38">
      <c r="A38" s="47"/>
      <c r="B38" s="47"/>
      <c r="C38" s="92"/>
      <c r="D38" s="92"/>
      <c r="E38" s="92"/>
      <c r="F38" s="92"/>
      <c r="G38" s="92"/>
      <c r="H38" s="92"/>
      <c r="I38" s="92"/>
      <c r="J38" s="9"/>
      <c r="K38" s="9"/>
      <c r="L38" s="9"/>
      <c r="M38" s="9"/>
      <c r="N38" s="9"/>
      <c r="O38" s="9"/>
      <c r="P38" s="9"/>
      <c r="Q38" s="9"/>
      <c r="R38" s="9"/>
      <c r="S38" s="9"/>
      <c r="T38" s="9"/>
      <c r="U38" s="9"/>
      <c r="V38" s="9"/>
      <c r="W38" s="9"/>
      <c r="X38" s="9"/>
      <c r="Y38" s="9"/>
      <c r="Z38" s="9"/>
      <c r="AA38" s="9"/>
      <c r="AB38" s="9"/>
      <c r="AC38" s="9"/>
      <c r="AD38" s="9"/>
      <c r="AE38" s="9"/>
      <c r="AF38" s="9"/>
    </row>
    <row r="39">
      <c r="A39" s="95"/>
      <c r="B39" s="47"/>
      <c r="C39" s="96"/>
      <c r="D39" s="96"/>
      <c r="E39" s="96"/>
      <c r="F39" s="96"/>
      <c r="G39" s="96"/>
      <c r="H39" s="96"/>
      <c r="I39" s="96"/>
      <c r="J39" s="9"/>
      <c r="K39" s="9"/>
      <c r="L39" s="9"/>
      <c r="M39" s="9"/>
      <c r="N39" s="9"/>
      <c r="O39" s="9"/>
      <c r="P39" s="9"/>
      <c r="Q39" s="9"/>
      <c r="R39" s="9"/>
      <c r="S39" s="9"/>
      <c r="T39" s="9"/>
      <c r="U39" s="9"/>
      <c r="V39" s="9"/>
      <c r="W39" s="9"/>
      <c r="X39" s="9"/>
      <c r="Y39" s="9"/>
      <c r="Z39" s="9"/>
      <c r="AA39" s="9"/>
      <c r="AB39" s="9"/>
      <c r="AC39" s="9"/>
      <c r="AD39" s="9"/>
      <c r="AE39" s="9"/>
      <c r="AF39" s="9"/>
    </row>
    <row r="40">
      <c r="A40" s="9"/>
      <c r="B40" s="9"/>
      <c r="C40" s="9"/>
      <c r="D40" s="47"/>
      <c r="E40" s="95"/>
      <c r="F40" s="97"/>
      <c r="G40" s="9"/>
      <c r="H40" s="9"/>
      <c r="I40" s="9"/>
      <c r="J40" s="9"/>
      <c r="K40" s="9"/>
      <c r="L40" s="9"/>
      <c r="M40" s="9"/>
      <c r="N40" s="9"/>
      <c r="O40" s="9"/>
      <c r="P40" s="9"/>
      <c r="Q40" s="9"/>
      <c r="R40" s="9"/>
      <c r="S40" s="9"/>
      <c r="T40" s="9"/>
      <c r="U40" s="9"/>
      <c r="V40" s="9"/>
      <c r="W40" s="9"/>
      <c r="X40" s="9"/>
      <c r="Y40" s="9"/>
      <c r="Z40" s="9"/>
      <c r="AA40" s="9"/>
      <c r="AB40" s="9"/>
      <c r="AC40" s="9"/>
      <c r="AD40" s="9"/>
      <c r="AE40" s="9"/>
      <c r="AF40" s="9"/>
    </row>
    <row r="41">
      <c r="A41" s="9"/>
      <c r="B41" s="9"/>
      <c r="C41" s="9"/>
      <c r="D41" s="9"/>
      <c r="E41" s="9"/>
      <c r="F41" s="9"/>
      <c r="G41" s="9"/>
      <c r="H41" s="9"/>
      <c r="I41" s="9"/>
      <c r="J41" s="9"/>
      <c r="K41" s="9"/>
      <c r="L41" s="9"/>
      <c r="M41" s="9"/>
      <c r="N41" s="9"/>
      <c r="O41" s="9"/>
      <c r="P41" s="9"/>
      <c r="Q41" s="9"/>
      <c r="R41" s="9"/>
      <c r="S41" s="9"/>
      <c r="T41" s="9"/>
      <c r="U41" s="9"/>
      <c r="V41" s="9"/>
      <c r="W41" s="9"/>
      <c r="X41" s="9"/>
      <c r="Y41" s="9"/>
      <c r="Z41" s="9"/>
      <c r="AA41" s="9"/>
      <c r="AB41" s="9"/>
      <c r="AC41" s="9"/>
      <c r="AD41" s="9"/>
      <c r="AE41" s="9"/>
      <c r="AF41" s="9"/>
    </row>
    <row r="42">
      <c r="A42" s="9"/>
      <c r="B42" s="9"/>
      <c r="C42" s="9"/>
      <c r="D42" s="9"/>
      <c r="E42" s="9"/>
      <c r="F42" s="9"/>
      <c r="G42" s="9"/>
      <c r="H42" s="9"/>
      <c r="I42" s="9"/>
      <c r="J42" s="9"/>
      <c r="K42" s="9"/>
      <c r="L42" s="9"/>
      <c r="M42" s="9"/>
      <c r="N42" s="9"/>
      <c r="O42" s="9"/>
      <c r="P42" s="9"/>
      <c r="Q42" s="9"/>
      <c r="R42" s="9"/>
      <c r="S42" s="9"/>
      <c r="T42" s="9"/>
      <c r="U42" s="9"/>
      <c r="V42" s="9"/>
      <c r="W42" s="9"/>
      <c r="X42" s="9"/>
      <c r="Y42" s="9"/>
      <c r="Z42" s="9"/>
      <c r="AA42" s="9"/>
      <c r="AB42" s="9"/>
      <c r="AC42" s="9"/>
      <c r="AD42" s="9"/>
      <c r="AE42" s="9"/>
      <c r="AF42" s="9"/>
    </row>
    <row r="43">
      <c r="A43" s="9"/>
      <c r="B43" s="9"/>
      <c r="C43" s="9"/>
      <c r="D43" s="9"/>
      <c r="E43" s="9"/>
      <c r="F43" s="9"/>
      <c r="G43" s="9"/>
      <c r="H43" s="9"/>
      <c r="I43" s="9"/>
      <c r="J43" s="9"/>
      <c r="K43" s="9"/>
      <c r="L43" s="9"/>
      <c r="M43" s="9"/>
      <c r="N43" s="9"/>
      <c r="O43" s="9"/>
      <c r="P43" s="9"/>
      <c r="Q43" s="9"/>
      <c r="R43" s="9"/>
      <c r="S43" s="9"/>
      <c r="T43" s="9"/>
      <c r="U43" s="9"/>
      <c r="V43" s="9"/>
      <c r="W43" s="9"/>
      <c r="X43" s="9"/>
      <c r="Y43" s="9"/>
      <c r="Z43" s="9"/>
      <c r="AA43" s="9"/>
      <c r="AB43" s="9"/>
      <c r="AC43" s="9"/>
      <c r="AD43" s="9"/>
      <c r="AE43" s="9"/>
      <c r="AF43" s="9"/>
    </row>
    <row r="44">
      <c r="A44" s="9"/>
      <c r="B44" s="9"/>
      <c r="C44" s="9"/>
      <c r="D44" s="9"/>
      <c r="E44" s="9"/>
      <c r="F44" s="9"/>
      <c r="G44" s="9"/>
      <c r="H44" s="9"/>
      <c r="I44" s="9"/>
      <c r="J44" s="9"/>
      <c r="K44" s="9"/>
      <c r="L44" s="9"/>
      <c r="M44" s="9"/>
      <c r="N44" s="9"/>
      <c r="O44" s="9"/>
      <c r="P44" s="9"/>
      <c r="Q44" s="9"/>
      <c r="R44" s="9"/>
      <c r="S44" s="9"/>
      <c r="T44" s="9"/>
      <c r="U44" s="9"/>
      <c r="V44" s="9"/>
      <c r="W44" s="9"/>
      <c r="X44" s="9"/>
      <c r="Y44" s="9"/>
      <c r="Z44" s="9"/>
      <c r="AA44" s="9"/>
      <c r="AB44" s="9"/>
      <c r="AC44" s="9"/>
      <c r="AD44" s="9"/>
      <c r="AE44" s="9"/>
      <c r="AF44" s="9"/>
    </row>
    <row r="45">
      <c r="A45" s="9"/>
      <c r="B45" s="9"/>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row>
    <row r="46">
      <c r="A46" s="9"/>
      <c r="B46" s="9"/>
      <c r="C46" s="9"/>
      <c r="D46" s="9"/>
      <c r="E46" s="9"/>
      <c r="F46" s="9"/>
      <c r="G46" s="9"/>
      <c r="H46" s="9"/>
      <c r="I46" s="9"/>
      <c r="J46" s="9"/>
      <c r="K46" s="9"/>
      <c r="L46" s="9"/>
      <c r="M46" s="9"/>
      <c r="N46" s="9"/>
      <c r="O46" s="9"/>
      <c r="P46" s="9"/>
      <c r="Q46" s="9"/>
      <c r="R46" s="9"/>
      <c r="S46" s="9"/>
      <c r="T46" s="9"/>
      <c r="U46" s="9"/>
      <c r="V46" s="9"/>
      <c r="W46" s="9"/>
      <c r="X46" s="9"/>
      <c r="Y46" s="9"/>
      <c r="Z46" s="9"/>
      <c r="AA46" s="9"/>
      <c r="AB46" s="9"/>
      <c r="AC46" s="9"/>
      <c r="AD46" s="9"/>
      <c r="AE46" s="9"/>
      <c r="AF46" s="9"/>
    </row>
    <row r="47">
      <c r="A47" s="9"/>
      <c r="B47" s="9"/>
      <c r="C47" s="9"/>
      <c r="D47" s="9"/>
      <c r="E47" s="9"/>
      <c r="F47" s="9"/>
      <c r="G47" s="9"/>
      <c r="H47" s="9"/>
      <c r="I47" s="9"/>
      <c r="J47" s="9"/>
      <c r="K47" s="9"/>
      <c r="L47" s="9"/>
      <c r="M47" s="9"/>
      <c r="N47" s="9"/>
      <c r="O47" s="9"/>
      <c r="P47" s="9"/>
      <c r="Q47" s="9"/>
      <c r="R47" s="9"/>
      <c r="S47" s="9"/>
      <c r="T47" s="9"/>
      <c r="U47" s="9"/>
      <c r="V47" s="9"/>
      <c r="W47" s="9"/>
      <c r="X47" s="9"/>
      <c r="Y47" s="9"/>
      <c r="Z47" s="9"/>
      <c r="AA47" s="9"/>
      <c r="AB47" s="9"/>
      <c r="AC47" s="9"/>
      <c r="AD47" s="9"/>
      <c r="AE47" s="9"/>
      <c r="AF47" s="9"/>
    </row>
    <row r="48">
      <c r="A48" s="9"/>
      <c r="B48" s="9"/>
      <c r="C48" s="9"/>
      <c r="D48" s="9"/>
      <c r="E48" s="9"/>
      <c r="F48" s="9"/>
      <c r="G48" s="9"/>
      <c r="H48" s="9"/>
      <c r="I48" s="9"/>
      <c r="J48" s="9"/>
      <c r="K48" s="9"/>
      <c r="L48" s="9"/>
      <c r="M48" s="9"/>
      <c r="N48" s="9"/>
      <c r="O48" s="9"/>
      <c r="P48" s="9"/>
      <c r="Q48" s="9"/>
      <c r="R48" s="9"/>
      <c r="S48" s="9"/>
      <c r="T48" s="9"/>
      <c r="U48" s="9"/>
      <c r="V48" s="9"/>
      <c r="W48" s="9"/>
      <c r="X48" s="9"/>
      <c r="Y48" s="9"/>
      <c r="Z48" s="9"/>
      <c r="AA48" s="9"/>
      <c r="AB48" s="9"/>
      <c r="AC48" s="9"/>
      <c r="AD48" s="9"/>
      <c r="AE48" s="9"/>
      <c r="AF48" s="9"/>
    </row>
    <row r="49">
      <c r="A49" s="9"/>
      <c r="B49" s="9"/>
      <c r="C49" s="9"/>
      <c r="D49" s="9"/>
      <c r="E49" s="9"/>
      <c r="F49" s="9"/>
      <c r="G49" s="9"/>
      <c r="H49" s="9"/>
      <c r="I49" s="9"/>
      <c r="J49" s="9"/>
      <c r="K49" s="9"/>
      <c r="L49" s="9"/>
      <c r="M49" s="9"/>
      <c r="N49" s="9"/>
      <c r="O49" s="9"/>
      <c r="P49" s="9"/>
      <c r="Q49" s="9"/>
      <c r="R49" s="9"/>
      <c r="S49" s="9"/>
      <c r="T49" s="9"/>
      <c r="U49" s="9"/>
      <c r="V49" s="9"/>
      <c r="W49" s="9"/>
      <c r="X49" s="9"/>
      <c r="Y49" s="9"/>
      <c r="Z49" s="9"/>
      <c r="AA49" s="9"/>
      <c r="AB49" s="9"/>
      <c r="AC49" s="9"/>
      <c r="AD49" s="9"/>
      <c r="AE49" s="9"/>
      <c r="AF49" s="9"/>
    </row>
    <row r="50">
      <c r="A50" s="9"/>
      <c r="B50" s="9"/>
      <c r="C50" s="9"/>
      <c r="D50" s="9"/>
      <c r="E50" s="9"/>
      <c r="F50" s="9"/>
      <c r="G50" s="9"/>
      <c r="H50" s="9"/>
      <c r="I50" s="9"/>
      <c r="J50" s="9"/>
      <c r="K50" s="9"/>
      <c r="L50" s="9"/>
      <c r="M50" s="9"/>
      <c r="N50" s="9"/>
      <c r="O50" s="9"/>
      <c r="P50" s="9"/>
      <c r="Q50" s="9"/>
      <c r="R50" s="9"/>
      <c r="S50" s="9"/>
      <c r="T50" s="9"/>
      <c r="U50" s="9"/>
      <c r="V50" s="9"/>
      <c r="W50" s="9"/>
      <c r="X50" s="9"/>
      <c r="Y50" s="9"/>
      <c r="Z50" s="9"/>
      <c r="AA50" s="9"/>
      <c r="AB50" s="9"/>
      <c r="AC50" s="9"/>
      <c r="AD50" s="9"/>
      <c r="AE50" s="9"/>
      <c r="AF50" s="9"/>
    </row>
    <row r="51">
      <c r="A51" s="9"/>
      <c r="B51" s="9"/>
      <c r="C51" s="9"/>
      <c r="D51" s="9"/>
      <c r="E51" s="9"/>
      <c r="F51" s="9"/>
      <c r="G51" s="9"/>
      <c r="H51" s="9"/>
      <c r="I51" s="9"/>
      <c r="J51" s="9"/>
      <c r="K51" s="9"/>
      <c r="L51" s="9"/>
      <c r="M51" s="9"/>
      <c r="N51" s="9"/>
      <c r="O51" s="9"/>
      <c r="P51" s="9"/>
      <c r="Q51" s="9"/>
      <c r="R51" s="9"/>
      <c r="S51" s="9"/>
      <c r="T51" s="9"/>
      <c r="U51" s="9"/>
      <c r="V51" s="9"/>
      <c r="W51" s="9"/>
      <c r="X51" s="9"/>
      <c r="Y51" s="9"/>
      <c r="Z51" s="9"/>
      <c r="AA51" s="9"/>
      <c r="AB51" s="9"/>
      <c r="AC51" s="9"/>
      <c r="AD51" s="9"/>
      <c r="AE51" s="9"/>
      <c r="AF51" s="9"/>
    </row>
    <row r="52">
      <c r="A52" s="9"/>
      <c r="B52" s="9"/>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9"/>
    </row>
    <row r="53">
      <c r="A53" s="9"/>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9"/>
      <c r="AE53" s="9"/>
      <c r="AF53" s="9"/>
    </row>
    <row r="54">
      <c r="A54" s="9"/>
      <c r="B54" s="9"/>
      <c r="C54" s="9"/>
      <c r="D54" s="9"/>
      <c r="E54" s="9"/>
      <c r="F54" s="9"/>
      <c r="G54" s="9"/>
      <c r="H54" s="9"/>
      <c r="I54" s="9"/>
      <c r="J54" s="9"/>
      <c r="K54" s="9"/>
      <c r="L54" s="9"/>
      <c r="M54" s="9"/>
      <c r="N54" s="9"/>
      <c r="O54" s="9"/>
      <c r="P54" s="9"/>
      <c r="Q54" s="9"/>
      <c r="R54" s="9"/>
      <c r="S54" s="9"/>
      <c r="T54" s="9"/>
      <c r="U54" s="9"/>
      <c r="V54" s="9"/>
      <c r="W54" s="9"/>
      <c r="X54" s="9"/>
      <c r="Y54" s="9"/>
      <c r="Z54" s="9"/>
      <c r="AA54" s="9"/>
      <c r="AB54" s="9"/>
      <c r="AC54" s="9"/>
      <c r="AD54" s="9"/>
      <c r="AE54" s="9"/>
      <c r="AF54" s="9"/>
    </row>
    <row r="55">
      <c r="A55" s="9"/>
      <c r="B55" s="9"/>
      <c r="C55" s="9"/>
      <c r="D55" s="9"/>
      <c r="E55" s="9"/>
      <c r="F55" s="9"/>
      <c r="G55" s="9"/>
      <c r="H55" s="9"/>
      <c r="I55" s="9"/>
      <c r="J55" s="9"/>
      <c r="K55" s="9"/>
      <c r="L55" s="9"/>
      <c r="M55" s="9"/>
      <c r="N55" s="9"/>
      <c r="O55" s="9"/>
      <c r="P55" s="9"/>
      <c r="Q55" s="9"/>
      <c r="R55" s="9"/>
      <c r="S55" s="9"/>
      <c r="T55" s="9"/>
      <c r="U55" s="9"/>
      <c r="V55" s="9"/>
      <c r="W55" s="9"/>
      <c r="X55" s="9"/>
      <c r="Y55" s="9"/>
      <c r="Z55" s="9"/>
      <c r="AA55" s="9"/>
      <c r="AB55" s="9"/>
      <c r="AC55" s="9"/>
      <c r="AD55" s="9"/>
      <c r="AE55" s="9"/>
      <c r="AF55" s="9"/>
    </row>
    <row r="56">
      <c r="A56" s="9"/>
      <c r="B56" s="9"/>
      <c r="C56" s="9"/>
      <c r="D56" s="9"/>
      <c r="E56" s="9"/>
      <c r="F56" s="9"/>
      <c r="G56" s="9"/>
      <c r="H56" s="9"/>
      <c r="I56" s="9"/>
      <c r="J56" s="9"/>
      <c r="K56" s="9"/>
      <c r="L56" s="9"/>
      <c r="M56" s="9"/>
      <c r="N56" s="9"/>
      <c r="O56" s="9"/>
      <c r="P56" s="9"/>
      <c r="Q56" s="9"/>
      <c r="R56" s="9"/>
      <c r="S56" s="9"/>
      <c r="T56" s="9"/>
      <c r="U56" s="9"/>
      <c r="V56" s="9"/>
      <c r="W56" s="9"/>
      <c r="X56" s="9"/>
      <c r="Y56" s="9"/>
      <c r="Z56" s="9"/>
      <c r="AA56" s="9"/>
      <c r="AB56" s="9"/>
      <c r="AC56" s="9"/>
      <c r="AD56" s="9"/>
      <c r="AE56" s="9"/>
      <c r="AF56" s="9"/>
    </row>
    <row r="57">
      <c r="A57" s="9"/>
      <c r="B57" s="9"/>
      <c r="C57" s="9"/>
      <c r="D57" s="9"/>
      <c r="E57" s="9"/>
      <c r="F57" s="9"/>
      <c r="G57" s="9"/>
      <c r="H57" s="9"/>
      <c r="I57" s="9"/>
      <c r="J57" s="9"/>
      <c r="K57" s="9"/>
      <c r="L57" s="9"/>
      <c r="M57" s="9"/>
      <c r="N57" s="9"/>
      <c r="O57" s="9"/>
      <c r="P57" s="9"/>
      <c r="Q57" s="9"/>
      <c r="R57" s="9"/>
      <c r="S57" s="9"/>
      <c r="T57" s="9"/>
      <c r="U57" s="9"/>
      <c r="V57" s="9"/>
      <c r="W57" s="9"/>
      <c r="X57" s="9"/>
      <c r="Y57" s="9"/>
      <c r="Z57" s="9"/>
      <c r="AA57" s="9"/>
      <c r="AB57" s="9"/>
      <c r="AC57" s="9"/>
      <c r="AD57" s="9"/>
      <c r="AE57" s="9"/>
      <c r="AF57" s="9"/>
    </row>
    <row r="58">
      <c r="A58" s="9"/>
      <c r="B58" s="9"/>
      <c r="C58" s="9"/>
      <c r="D58" s="9"/>
      <c r="E58" s="9"/>
      <c r="F58" s="9"/>
      <c r="G58" s="9"/>
      <c r="H58" s="9"/>
      <c r="I58" s="9"/>
      <c r="J58" s="9"/>
      <c r="K58" s="9"/>
      <c r="L58" s="9"/>
      <c r="M58" s="9"/>
      <c r="N58" s="9"/>
      <c r="O58" s="9"/>
      <c r="P58" s="9"/>
      <c r="Q58" s="9"/>
      <c r="R58" s="9"/>
      <c r="S58" s="9"/>
      <c r="T58" s="9"/>
      <c r="U58" s="9"/>
      <c r="V58" s="9"/>
      <c r="W58" s="9"/>
      <c r="X58" s="9"/>
      <c r="Y58" s="9"/>
      <c r="Z58" s="9"/>
      <c r="AA58" s="9"/>
      <c r="AB58" s="9"/>
      <c r="AC58" s="9"/>
      <c r="AD58" s="9"/>
      <c r="AE58" s="9"/>
      <c r="AF58" s="9"/>
    </row>
    <row r="59">
      <c r="A59" s="9"/>
      <c r="B59" s="9"/>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c r="AF59" s="9"/>
    </row>
    <row r="60">
      <c r="A60" s="9"/>
      <c r="B60" s="9"/>
      <c r="C60" s="9"/>
      <c r="D60" s="9"/>
      <c r="E60" s="9"/>
      <c r="F60" s="9"/>
      <c r="G60" s="9"/>
      <c r="H60" s="9"/>
      <c r="I60" s="9"/>
      <c r="J60" s="9"/>
      <c r="K60" s="9"/>
      <c r="L60" s="9"/>
      <c r="M60" s="9"/>
      <c r="N60" s="9"/>
      <c r="O60" s="9"/>
      <c r="P60" s="9"/>
      <c r="Q60" s="9"/>
      <c r="R60" s="9"/>
      <c r="S60" s="9"/>
      <c r="T60" s="9"/>
      <c r="U60" s="9"/>
      <c r="V60" s="9"/>
      <c r="W60" s="9"/>
      <c r="X60" s="9"/>
      <c r="Y60" s="9"/>
      <c r="Z60" s="9"/>
      <c r="AA60" s="9"/>
      <c r="AB60" s="9"/>
      <c r="AC60" s="9"/>
      <c r="AD60" s="9"/>
      <c r="AE60" s="9"/>
      <c r="AF60" s="9"/>
    </row>
    <row r="61">
      <c r="A61" s="9"/>
      <c r="B61" s="9"/>
      <c r="C61" s="9"/>
      <c r="D61" s="9"/>
      <c r="E61" s="9"/>
      <c r="F61" s="9"/>
      <c r="G61" s="9"/>
      <c r="H61" s="9"/>
      <c r="I61" s="9"/>
      <c r="J61" s="9"/>
      <c r="K61" s="9"/>
      <c r="L61" s="9"/>
      <c r="M61" s="9"/>
      <c r="N61" s="9"/>
      <c r="O61" s="9"/>
      <c r="P61" s="9"/>
      <c r="Q61" s="9"/>
      <c r="R61" s="9"/>
      <c r="S61" s="9"/>
      <c r="T61" s="9"/>
      <c r="U61" s="9"/>
      <c r="V61" s="9"/>
      <c r="W61" s="9"/>
      <c r="X61" s="9"/>
      <c r="Y61" s="9"/>
      <c r="Z61" s="9"/>
      <c r="AA61" s="9"/>
      <c r="AB61" s="9"/>
      <c r="AC61" s="9"/>
      <c r="AD61" s="9"/>
      <c r="AE61" s="9"/>
      <c r="AF61" s="9"/>
    </row>
    <row r="62">
      <c r="A62" s="9"/>
      <c r="B62" s="9"/>
      <c r="C62" s="9"/>
      <c r="D62" s="9"/>
      <c r="E62" s="9"/>
      <c r="F62" s="9"/>
      <c r="G62" s="9"/>
      <c r="H62" s="9"/>
      <c r="I62" s="9"/>
      <c r="J62" s="9"/>
      <c r="K62" s="9"/>
      <c r="L62" s="9"/>
      <c r="M62" s="9"/>
      <c r="N62" s="9"/>
      <c r="O62" s="9"/>
      <c r="P62" s="9"/>
      <c r="Q62" s="9"/>
      <c r="R62" s="9"/>
      <c r="S62" s="9"/>
      <c r="T62" s="9"/>
      <c r="U62" s="9"/>
      <c r="V62" s="9"/>
      <c r="W62" s="9"/>
      <c r="X62" s="9"/>
      <c r="Y62" s="9"/>
      <c r="Z62" s="9"/>
      <c r="AA62" s="9"/>
      <c r="AB62" s="9"/>
      <c r="AC62" s="9"/>
      <c r="AD62" s="9"/>
      <c r="AE62" s="9"/>
      <c r="AF62" s="9"/>
    </row>
    <row r="63">
      <c r="A63" s="9"/>
      <c r="B63" s="9"/>
      <c r="C63" s="9"/>
      <c r="D63" s="9"/>
      <c r="E63" s="9"/>
      <c r="F63" s="9"/>
      <c r="G63" s="9"/>
      <c r="H63" s="9"/>
      <c r="I63" s="9"/>
      <c r="J63" s="9"/>
      <c r="K63" s="9"/>
      <c r="L63" s="9"/>
      <c r="M63" s="9"/>
      <c r="N63" s="9"/>
      <c r="O63" s="9"/>
      <c r="P63" s="9"/>
      <c r="Q63" s="9"/>
      <c r="R63" s="9"/>
      <c r="S63" s="9"/>
      <c r="T63" s="9"/>
      <c r="U63" s="9"/>
      <c r="V63" s="9"/>
      <c r="W63" s="9"/>
      <c r="X63" s="9"/>
      <c r="Y63" s="9"/>
      <c r="Z63" s="9"/>
      <c r="AA63" s="9"/>
      <c r="AB63" s="9"/>
      <c r="AC63" s="9"/>
      <c r="AD63" s="9"/>
      <c r="AE63" s="9"/>
      <c r="AF63" s="9"/>
    </row>
    <row r="64">
      <c r="A64" s="9"/>
      <c r="B64" s="9"/>
      <c r="C64" s="9"/>
      <c r="D64" s="9"/>
      <c r="E64" s="9"/>
      <c r="F64" s="9"/>
      <c r="G64" s="9"/>
      <c r="H64" s="9"/>
      <c r="I64" s="9"/>
      <c r="J64" s="9"/>
      <c r="K64" s="9"/>
      <c r="L64" s="9"/>
      <c r="M64" s="9"/>
      <c r="N64" s="9"/>
      <c r="O64" s="9"/>
      <c r="P64" s="9"/>
      <c r="Q64" s="9"/>
      <c r="R64" s="9"/>
      <c r="S64" s="9"/>
      <c r="T64" s="9"/>
      <c r="U64" s="9"/>
      <c r="V64" s="9"/>
      <c r="W64" s="9"/>
      <c r="X64" s="9"/>
      <c r="Y64" s="9"/>
      <c r="Z64" s="9"/>
      <c r="AA64" s="9"/>
      <c r="AB64" s="9"/>
      <c r="AC64" s="9"/>
      <c r="AD64" s="9"/>
      <c r="AE64" s="9"/>
      <c r="AF64" s="9"/>
    </row>
    <row r="65">
      <c r="A65" s="9"/>
      <c r="B65" s="9"/>
      <c r="C65" s="9"/>
      <c r="D65" s="9"/>
      <c r="E65" s="9"/>
      <c r="F65" s="9"/>
      <c r="G65" s="9"/>
      <c r="H65" s="9"/>
      <c r="I65" s="9"/>
      <c r="J65" s="9"/>
      <c r="K65" s="9"/>
      <c r="L65" s="9"/>
      <c r="M65" s="9"/>
      <c r="N65" s="9"/>
      <c r="O65" s="9"/>
      <c r="P65" s="9"/>
      <c r="Q65" s="9"/>
      <c r="R65" s="9"/>
      <c r="S65" s="9"/>
      <c r="T65" s="9"/>
      <c r="U65" s="9"/>
      <c r="V65" s="9"/>
      <c r="W65" s="9"/>
      <c r="X65" s="9"/>
      <c r="Y65" s="9"/>
      <c r="Z65" s="9"/>
      <c r="AA65" s="9"/>
      <c r="AB65" s="9"/>
      <c r="AC65" s="9"/>
      <c r="AD65" s="9"/>
      <c r="AE65" s="9"/>
      <c r="AF65" s="9"/>
    </row>
    <row r="66">
      <c r="A66" s="9"/>
      <c r="B66" s="9"/>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c r="AF66" s="9"/>
    </row>
    <row r="67">
      <c r="A67" s="9"/>
      <c r="B67" s="9"/>
      <c r="C67" s="9"/>
      <c r="D67" s="9"/>
      <c r="E67" s="9"/>
      <c r="F67" s="9"/>
      <c r="G67" s="9"/>
      <c r="H67" s="9"/>
      <c r="I67" s="9"/>
      <c r="J67" s="9"/>
      <c r="K67" s="9"/>
      <c r="L67" s="9"/>
      <c r="M67" s="9"/>
      <c r="N67" s="9"/>
      <c r="O67" s="9"/>
      <c r="P67" s="9"/>
      <c r="Q67" s="9"/>
      <c r="R67" s="9"/>
      <c r="S67" s="9"/>
      <c r="T67" s="9"/>
      <c r="U67" s="9"/>
      <c r="V67" s="9"/>
      <c r="W67" s="9"/>
      <c r="X67" s="9"/>
      <c r="Y67" s="9"/>
      <c r="Z67" s="9"/>
      <c r="AA67" s="9"/>
      <c r="AB67" s="9"/>
      <c r="AC67" s="9"/>
      <c r="AD67" s="9"/>
      <c r="AE67" s="9"/>
      <c r="AF67" s="9"/>
    </row>
    <row r="68">
      <c r="A68" s="9"/>
      <c r="B68" s="9"/>
      <c r="C68" s="9"/>
      <c r="D68" s="9"/>
      <c r="E68" s="9"/>
      <c r="F68" s="9"/>
      <c r="G68" s="9"/>
      <c r="H68" s="9"/>
      <c r="I68" s="9"/>
      <c r="J68" s="9"/>
      <c r="K68" s="9"/>
      <c r="L68" s="9"/>
      <c r="M68" s="9"/>
      <c r="N68" s="9"/>
      <c r="O68" s="9"/>
      <c r="P68" s="9"/>
      <c r="Q68" s="9"/>
      <c r="R68" s="9"/>
      <c r="S68" s="9"/>
      <c r="T68" s="9"/>
      <c r="U68" s="9"/>
      <c r="V68" s="9"/>
      <c r="W68" s="9"/>
      <c r="X68" s="9"/>
      <c r="Y68" s="9"/>
      <c r="Z68" s="9"/>
      <c r="AA68" s="9"/>
      <c r="AB68" s="9"/>
      <c r="AC68" s="9"/>
      <c r="AD68" s="9"/>
      <c r="AE68" s="9"/>
      <c r="AF68" s="9"/>
    </row>
    <row r="69">
      <c r="A69" s="9"/>
      <c r="B69" s="9"/>
      <c r="C69" s="9"/>
      <c r="D69" s="9"/>
      <c r="E69" s="9"/>
      <c r="F69" s="9"/>
      <c r="G69" s="9"/>
      <c r="H69" s="9"/>
      <c r="I69" s="9"/>
      <c r="J69" s="9"/>
      <c r="K69" s="9"/>
      <c r="L69" s="9"/>
      <c r="M69" s="9"/>
      <c r="N69" s="9"/>
      <c r="O69" s="9"/>
      <c r="P69" s="9"/>
      <c r="Q69" s="9"/>
      <c r="R69" s="9"/>
      <c r="S69" s="9"/>
      <c r="T69" s="9"/>
      <c r="U69" s="9"/>
      <c r="V69" s="9"/>
      <c r="W69" s="9"/>
      <c r="X69" s="9"/>
      <c r="Y69" s="9"/>
      <c r="Z69" s="9"/>
      <c r="AA69" s="9"/>
      <c r="AB69" s="9"/>
      <c r="AC69" s="9"/>
      <c r="AD69" s="9"/>
      <c r="AE69" s="9"/>
      <c r="AF69" s="9"/>
    </row>
    <row r="70">
      <c r="A70" s="9"/>
      <c r="B70" s="9"/>
      <c r="C70" s="9"/>
      <c r="D70" s="9"/>
      <c r="E70" s="9"/>
      <c r="F70" s="9"/>
      <c r="G70" s="9"/>
      <c r="H70" s="9"/>
      <c r="I70" s="9"/>
      <c r="J70" s="9"/>
      <c r="K70" s="9"/>
      <c r="L70" s="9"/>
      <c r="M70" s="9"/>
      <c r="N70" s="9"/>
      <c r="O70" s="9"/>
      <c r="P70" s="9"/>
      <c r="Q70" s="9"/>
      <c r="R70" s="9"/>
      <c r="S70" s="9"/>
      <c r="T70" s="9"/>
      <c r="U70" s="9"/>
      <c r="V70" s="9"/>
      <c r="W70" s="9"/>
      <c r="X70" s="9"/>
      <c r="Y70" s="9"/>
      <c r="Z70" s="9"/>
      <c r="AA70" s="9"/>
      <c r="AB70" s="9"/>
      <c r="AC70" s="9"/>
      <c r="AD70" s="9"/>
      <c r="AE70" s="9"/>
      <c r="AF70" s="9"/>
    </row>
    <row r="71">
      <c r="A71" s="9"/>
      <c r="B71" s="9"/>
      <c r="C71" s="9"/>
      <c r="D71" s="9"/>
      <c r="E71" s="9"/>
      <c r="F71" s="9"/>
      <c r="G71" s="9"/>
      <c r="H71" s="9"/>
      <c r="I71" s="9"/>
      <c r="J71" s="9"/>
      <c r="K71" s="9"/>
      <c r="L71" s="9"/>
      <c r="M71" s="9"/>
      <c r="N71" s="9"/>
      <c r="O71" s="9"/>
      <c r="P71" s="9"/>
      <c r="Q71" s="9"/>
      <c r="R71" s="9"/>
      <c r="S71" s="9"/>
      <c r="T71" s="9"/>
      <c r="U71" s="9"/>
      <c r="V71" s="9"/>
      <c r="W71" s="9"/>
      <c r="X71" s="9"/>
      <c r="Y71" s="9"/>
      <c r="Z71" s="9"/>
      <c r="AA71" s="9"/>
      <c r="AB71" s="9"/>
      <c r="AC71" s="9"/>
      <c r="AD71" s="9"/>
      <c r="AE71" s="9"/>
      <c r="AF71" s="9"/>
    </row>
    <row r="72">
      <c r="A72" s="9"/>
      <c r="B72" s="9"/>
      <c r="C72" s="9"/>
      <c r="D72" s="9"/>
      <c r="E72" s="9"/>
      <c r="F72" s="9"/>
      <c r="G72" s="9"/>
      <c r="H72" s="9"/>
      <c r="I72" s="9"/>
      <c r="J72" s="9"/>
      <c r="K72" s="9"/>
      <c r="L72" s="9"/>
      <c r="M72" s="9"/>
      <c r="N72" s="9"/>
      <c r="O72" s="9"/>
      <c r="P72" s="9"/>
      <c r="Q72" s="9"/>
      <c r="R72" s="9"/>
      <c r="S72" s="9"/>
      <c r="T72" s="9"/>
      <c r="U72" s="9"/>
      <c r="V72" s="9"/>
      <c r="W72" s="9"/>
      <c r="X72" s="9"/>
      <c r="Y72" s="9"/>
      <c r="Z72" s="9"/>
      <c r="AA72" s="9"/>
      <c r="AB72" s="9"/>
      <c r="AC72" s="9"/>
      <c r="AD72" s="9"/>
      <c r="AE72" s="9"/>
      <c r="AF72" s="9"/>
    </row>
    <row r="73">
      <c r="A73" s="9"/>
      <c r="B73" s="9"/>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c r="AF73" s="9"/>
    </row>
    <row r="74">
      <c r="A74" s="9"/>
      <c r="B74" s="9"/>
      <c r="C74" s="9"/>
      <c r="D74" s="9"/>
      <c r="E74" s="9"/>
      <c r="F74" s="9"/>
      <c r="G74" s="9"/>
      <c r="H74" s="9"/>
      <c r="I74" s="9"/>
      <c r="J74" s="9"/>
      <c r="K74" s="9"/>
      <c r="L74" s="9"/>
      <c r="M74" s="9"/>
      <c r="N74" s="9"/>
      <c r="O74" s="9"/>
      <c r="P74" s="9"/>
      <c r="Q74" s="9"/>
      <c r="R74" s="9"/>
      <c r="S74" s="9"/>
      <c r="T74" s="9"/>
      <c r="U74" s="9"/>
      <c r="V74" s="9"/>
      <c r="W74" s="9"/>
      <c r="X74" s="9"/>
      <c r="Y74" s="9"/>
      <c r="Z74" s="9"/>
      <c r="AA74" s="9"/>
      <c r="AB74" s="9"/>
      <c r="AC74" s="9"/>
      <c r="AD74" s="9"/>
      <c r="AE74" s="9"/>
      <c r="AF74" s="9"/>
    </row>
    <row r="75">
      <c r="A75" s="9"/>
      <c r="B75" s="9"/>
      <c r="C75" s="9"/>
      <c r="D75" s="9"/>
      <c r="E75" s="9"/>
      <c r="F75" s="9"/>
      <c r="G75" s="9"/>
      <c r="H75" s="9"/>
      <c r="I75" s="9"/>
      <c r="J75" s="9"/>
      <c r="K75" s="9"/>
      <c r="L75" s="9"/>
      <c r="M75" s="9"/>
      <c r="N75" s="9"/>
      <c r="O75" s="9"/>
      <c r="P75" s="9"/>
      <c r="Q75" s="9"/>
      <c r="R75" s="9"/>
      <c r="S75" s="9"/>
      <c r="T75" s="9"/>
      <c r="U75" s="9"/>
      <c r="V75" s="9"/>
      <c r="W75" s="9"/>
      <c r="X75" s="9"/>
      <c r="Y75" s="9"/>
      <c r="Z75" s="9"/>
      <c r="AA75" s="9"/>
      <c r="AB75" s="9"/>
      <c r="AC75" s="9"/>
      <c r="AD75" s="9"/>
      <c r="AE75" s="9"/>
      <c r="AF75" s="9"/>
    </row>
    <row r="76">
      <c r="A76" s="9"/>
      <c r="B76" s="9"/>
      <c r="C76" s="9"/>
      <c r="D76" s="9"/>
      <c r="E76" s="9"/>
      <c r="F76" s="9"/>
      <c r="G76" s="9"/>
      <c r="H76" s="9"/>
      <c r="I76" s="9"/>
      <c r="J76" s="9"/>
      <c r="K76" s="9"/>
      <c r="L76" s="9"/>
      <c r="M76" s="9"/>
      <c r="N76" s="9"/>
      <c r="O76" s="9"/>
      <c r="P76" s="9"/>
      <c r="Q76" s="9"/>
      <c r="R76" s="9"/>
      <c r="S76" s="9"/>
      <c r="T76" s="9"/>
      <c r="U76" s="9"/>
      <c r="V76" s="9"/>
      <c r="W76" s="9"/>
      <c r="X76" s="9"/>
      <c r="Y76" s="9"/>
      <c r="Z76" s="9"/>
      <c r="AA76" s="9"/>
      <c r="AB76" s="9"/>
      <c r="AC76" s="9"/>
      <c r="AD76" s="9"/>
      <c r="AE76" s="9"/>
      <c r="AF76" s="9"/>
    </row>
    <row r="77">
      <c r="A77" s="9"/>
      <c r="B77" s="9"/>
      <c r="C77" s="9"/>
      <c r="D77" s="9"/>
      <c r="E77" s="9"/>
      <c r="F77" s="9"/>
      <c r="G77" s="9"/>
      <c r="H77" s="9"/>
      <c r="I77" s="9"/>
      <c r="J77" s="9"/>
      <c r="K77" s="9"/>
      <c r="L77" s="9"/>
      <c r="M77" s="9"/>
      <c r="N77" s="9"/>
      <c r="O77" s="9"/>
      <c r="P77" s="9"/>
      <c r="Q77" s="9"/>
      <c r="R77" s="9"/>
      <c r="S77" s="9"/>
      <c r="T77" s="9"/>
      <c r="U77" s="9"/>
      <c r="V77" s="9"/>
      <c r="W77" s="9"/>
      <c r="X77" s="9"/>
      <c r="Y77" s="9"/>
      <c r="Z77" s="9"/>
      <c r="AA77" s="9"/>
      <c r="AB77" s="9"/>
      <c r="AC77" s="9"/>
      <c r="AD77" s="9"/>
      <c r="AE77" s="9"/>
      <c r="AF77" s="9"/>
    </row>
    <row r="78">
      <c r="A78" s="9"/>
      <c r="B78" s="9"/>
      <c r="C78" s="9"/>
      <c r="D78" s="9"/>
      <c r="E78" s="9"/>
      <c r="F78" s="9"/>
      <c r="G78" s="9"/>
      <c r="H78" s="9"/>
      <c r="I78" s="9"/>
      <c r="J78" s="9"/>
      <c r="K78" s="9"/>
      <c r="L78" s="9"/>
      <c r="M78" s="9"/>
      <c r="N78" s="9"/>
      <c r="O78" s="9"/>
      <c r="P78" s="9"/>
      <c r="Q78" s="9"/>
      <c r="R78" s="9"/>
      <c r="S78" s="9"/>
      <c r="T78" s="9"/>
      <c r="U78" s="9"/>
      <c r="V78" s="9"/>
      <c r="W78" s="9"/>
      <c r="X78" s="9"/>
      <c r="Y78" s="9"/>
      <c r="Z78" s="9"/>
      <c r="AA78" s="9"/>
      <c r="AB78" s="9"/>
      <c r="AC78" s="9"/>
      <c r="AD78" s="9"/>
      <c r="AE78" s="9"/>
      <c r="AF78" s="9"/>
    </row>
    <row r="79">
      <c r="A79" s="9"/>
      <c r="B79" s="9"/>
      <c r="C79" s="9"/>
      <c r="D79" s="9"/>
      <c r="E79" s="9"/>
      <c r="F79" s="9"/>
      <c r="G79" s="9"/>
      <c r="H79" s="9"/>
      <c r="I79" s="9"/>
      <c r="J79" s="9"/>
      <c r="K79" s="9"/>
      <c r="L79" s="9"/>
      <c r="M79" s="9"/>
      <c r="N79" s="9"/>
      <c r="O79" s="9"/>
      <c r="P79" s="9"/>
      <c r="Q79" s="9"/>
      <c r="R79" s="9"/>
      <c r="S79" s="9"/>
      <c r="T79" s="9"/>
      <c r="U79" s="9"/>
      <c r="V79" s="9"/>
      <c r="W79" s="9"/>
      <c r="X79" s="9"/>
      <c r="Y79" s="9"/>
      <c r="Z79" s="9"/>
      <c r="AA79" s="9"/>
      <c r="AB79" s="9"/>
      <c r="AC79" s="9"/>
      <c r="AD79" s="9"/>
      <c r="AE79" s="9"/>
      <c r="AF79" s="9"/>
    </row>
    <row r="80">
      <c r="A80" s="9"/>
      <c r="B80" s="9"/>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c r="AF80" s="9"/>
    </row>
    <row r="81">
      <c r="A81" s="9"/>
      <c r="B81" s="9"/>
      <c r="C81" s="9"/>
      <c r="D81" s="9"/>
      <c r="E81" s="9"/>
      <c r="F81" s="9"/>
      <c r="G81" s="9"/>
      <c r="H81" s="9"/>
      <c r="I81" s="9"/>
      <c r="J81" s="9"/>
      <c r="K81" s="9"/>
      <c r="L81" s="9"/>
      <c r="M81" s="9"/>
      <c r="N81" s="9"/>
      <c r="O81" s="9"/>
      <c r="P81" s="9"/>
      <c r="Q81" s="9"/>
      <c r="R81" s="9"/>
      <c r="S81" s="9"/>
      <c r="T81" s="9"/>
      <c r="U81" s="9"/>
      <c r="V81" s="9"/>
      <c r="W81" s="9"/>
      <c r="X81" s="9"/>
      <c r="Y81" s="9"/>
      <c r="Z81" s="9"/>
      <c r="AA81" s="9"/>
      <c r="AB81" s="9"/>
      <c r="AC81" s="9"/>
      <c r="AD81" s="9"/>
      <c r="AE81" s="9"/>
      <c r="AF81" s="9"/>
    </row>
    <row r="82">
      <c r="A82" s="9"/>
      <c r="B82" s="9"/>
      <c r="C82" s="9"/>
      <c r="D82" s="9"/>
      <c r="E82" s="9"/>
      <c r="F82" s="9"/>
      <c r="G82" s="9"/>
      <c r="H82" s="9"/>
      <c r="I82" s="9"/>
      <c r="J82" s="9"/>
      <c r="K82" s="9"/>
      <c r="L82" s="9"/>
      <c r="M82" s="9"/>
      <c r="N82" s="9"/>
      <c r="O82" s="9"/>
      <c r="P82" s="9"/>
      <c r="Q82" s="9"/>
      <c r="R82" s="9"/>
      <c r="S82" s="9"/>
      <c r="T82" s="9"/>
      <c r="U82" s="9"/>
      <c r="V82" s="9"/>
      <c r="W82" s="9"/>
      <c r="X82" s="9"/>
      <c r="Y82" s="9"/>
      <c r="Z82" s="9"/>
      <c r="AA82" s="9"/>
      <c r="AB82" s="9"/>
      <c r="AC82" s="9"/>
      <c r="AD82" s="9"/>
      <c r="AE82" s="9"/>
      <c r="AF82" s="9"/>
    </row>
    <row r="83">
      <c r="A83" s="9"/>
      <c r="B83" s="9"/>
      <c r="C83" s="9"/>
      <c r="D83" s="9"/>
      <c r="E83" s="9"/>
      <c r="F83" s="9"/>
      <c r="G83" s="9"/>
      <c r="H83" s="9"/>
      <c r="I83" s="9"/>
      <c r="J83" s="9"/>
      <c r="K83" s="9"/>
      <c r="L83" s="9"/>
      <c r="M83" s="9"/>
      <c r="N83" s="9"/>
      <c r="O83" s="9"/>
      <c r="P83" s="9"/>
      <c r="Q83" s="9"/>
      <c r="R83" s="9"/>
      <c r="S83" s="9"/>
      <c r="T83" s="9"/>
      <c r="U83" s="9"/>
      <c r="V83" s="9"/>
      <c r="W83" s="9"/>
      <c r="X83" s="9"/>
      <c r="Y83" s="9"/>
      <c r="Z83" s="9"/>
      <c r="AA83" s="9"/>
      <c r="AB83" s="9"/>
      <c r="AC83" s="9"/>
      <c r="AD83" s="9"/>
      <c r="AE83" s="9"/>
      <c r="AF83" s="9"/>
    </row>
    <row r="84">
      <c r="A84" s="9"/>
      <c r="B84" s="9"/>
      <c r="C84" s="9"/>
      <c r="D84" s="9"/>
      <c r="E84" s="9"/>
      <c r="F84" s="9"/>
      <c r="G84" s="9"/>
      <c r="H84" s="9"/>
      <c r="I84" s="9"/>
      <c r="J84" s="9"/>
      <c r="K84" s="9"/>
      <c r="L84" s="9"/>
      <c r="M84" s="9"/>
      <c r="N84" s="9"/>
      <c r="O84" s="9"/>
      <c r="P84" s="9"/>
      <c r="Q84" s="9"/>
      <c r="R84" s="9"/>
      <c r="S84" s="9"/>
      <c r="T84" s="9"/>
      <c r="U84" s="9"/>
      <c r="V84" s="9"/>
      <c r="W84" s="9"/>
      <c r="X84" s="9"/>
      <c r="Y84" s="9"/>
      <c r="Z84" s="9"/>
      <c r="AA84" s="9"/>
      <c r="AB84" s="9"/>
      <c r="AC84" s="9"/>
      <c r="AD84" s="9"/>
      <c r="AE84" s="9"/>
      <c r="AF84" s="9"/>
    </row>
    <row r="85">
      <c r="A85" s="9"/>
      <c r="B85" s="9"/>
      <c r="C85" s="9"/>
      <c r="D85" s="9"/>
      <c r="E85" s="9"/>
      <c r="F85" s="9"/>
      <c r="G85" s="9"/>
      <c r="H85" s="9"/>
      <c r="I85" s="9"/>
      <c r="J85" s="9"/>
      <c r="K85" s="9"/>
      <c r="L85" s="9"/>
      <c r="M85" s="9"/>
      <c r="N85" s="9"/>
      <c r="O85" s="9"/>
      <c r="P85" s="9"/>
      <c r="Q85" s="9"/>
      <c r="R85" s="9"/>
      <c r="S85" s="9"/>
      <c r="T85" s="9"/>
      <c r="U85" s="9"/>
      <c r="V85" s="9"/>
      <c r="W85" s="9"/>
      <c r="X85" s="9"/>
      <c r="Y85" s="9"/>
      <c r="Z85" s="9"/>
      <c r="AA85" s="9"/>
      <c r="AB85" s="9"/>
      <c r="AC85" s="9"/>
      <c r="AD85" s="9"/>
      <c r="AE85" s="9"/>
      <c r="AF85" s="9"/>
    </row>
    <row r="86">
      <c r="A86" s="9"/>
      <c r="B86" s="9"/>
      <c r="C86" s="9"/>
      <c r="D86" s="9"/>
      <c r="E86" s="9"/>
      <c r="F86" s="9"/>
      <c r="G86" s="9"/>
      <c r="H86" s="9"/>
      <c r="I86" s="9"/>
      <c r="J86" s="9"/>
      <c r="K86" s="9"/>
      <c r="L86" s="9"/>
      <c r="M86" s="9"/>
      <c r="N86" s="9"/>
      <c r="O86" s="9"/>
      <c r="P86" s="9"/>
      <c r="Q86" s="9"/>
      <c r="R86" s="9"/>
      <c r="S86" s="9"/>
      <c r="T86" s="9"/>
      <c r="U86" s="9"/>
      <c r="V86" s="9"/>
      <c r="W86" s="9"/>
      <c r="X86" s="9"/>
      <c r="Y86" s="9"/>
      <c r="Z86" s="9"/>
      <c r="AA86" s="9"/>
      <c r="AB86" s="9"/>
      <c r="AC86" s="9"/>
      <c r="AD86" s="9"/>
      <c r="AE86" s="9"/>
      <c r="AF86" s="9"/>
    </row>
    <row r="87">
      <c r="A87" s="9"/>
      <c r="B87" s="9"/>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c r="AE87" s="9"/>
      <c r="AF87" s="9"/>
    </row>
    <row r="88">
      <c r="A88" s="9"/>
      <c r="B88" s="9"/>
      <c r="C88" s="9"/>
      <c r="D88" s="9"/>
      <c r="E88" s="9"/>
      <c r="F88" s="9"/>
      <c r="G88" s="9"/>
      <c r="H88" s="9"/>
      <c r="I88" s="9"/>
      <c r="J88" s="9"/>
      <c r="K88" s="9"/>
      <c r="L88" s="9"/>
      <c r="M88" s="9"/>
      <c r="N88" s="9"/>
      <c r="O88" s="9"/>
      <c r="P88" s="9"/>
      <c r="Q88" s="9"/>
      <c r="R88" s="9"/>
      <c r="S88" s="9"/>
      <c r="T88" s="9"/>
      <c r="U88" s="9"/>
      <c r="V88" s="9"/>
      <c r="W88" s="9"/>
      <c r="X88" s="9"/>
      <c r="Y88" s="9"/>
      <c r="Z88" s="9"/>
      <c r="AA88" s="9"/>
      <c r="AB88" s="9"/>
      <c r="AC88" s="9"/>
      <c r="AD88" s="9"/>
      <c r="AE88" s="9"/>
      <c r="AF88" s="9"/>
    </row>
    <row r="89">
      <c r="A89" s="9"/>
      <c r="B89" s="9"/>
      <c r="C89" s="9"/>
      <c r="D89" s="9"/>
      <c r="E89" s="9"/>
      <c r="F89" s="9"/>
      <c r="G89" s="9"/>
      <c r="H89" s="9"/>
      <c r="I89" s="9"/>
      <c r="J89" s="9"/>
      <c r="K89" s="9"/>
      <c r="L89" s="9"/>
      <c r="M89" s="9"/>
      <c r="N89" s="9"/>
      <c r="O89" s="9"/>
      <c r="P89" s="9"/>
      <c r="Q89" s="9"/>
      <c r="R89" s="9"/>
      <c r="S89" s="9"/>
      <c r="T89" s="9"/>
      <c r="U89" s="9"/>
      <c r="V89" s="9"/>
      <c r="W89" s="9"/>
      <c r="X89" s="9"/>
      <c r="Y89" s="9"/>
      <c r="Z89" s="9"/>
      <c r="AA89" s="9"/>
      <c r="AB89" s="9"/>
      <c r="AC89" s="9"/>
      <c r="AD89" s="9"/>
      <c r="AE89" s="9"/>
      <c r="AF89" s="9"/>
    </row>
    <row r="90">
      <c r="A90" s="9"/>
      <c r="B90" s="9"/>
      <c r="C90" s="9"/>
      <c r="D90" s="9"/>
      <c r="E90" s="9"/>
      <c r="F90" s="9"/>
      <c r="G90" s="9"/>
      <c r="H90" s="9"/>
      <c r="I90" s="9"/>
      <c r="J90" s="9"/>
      <c r="K90" s="9"/>
      <c r="L90" s="9"/>
      <c r="M90" s="9"/>
      <c r="N90" s="9"/>
      <c r="O90" s="9"/>
      <c r="P90" s="9"/>
      <c r="Q90" s="9"/>
      <c r="R90" s="9"/>
      <c r="S90" s="9"/>
      <c r="T90" s="9"/>
      <c r="U90" s="9"/>
      <c r="V90" s="9"/>
      <c r="W90" s="9"/>
      <c r="X90" s="9"/>
      <c r="Y90" s="9"/>
      <c r="Z90" s="9"/>
      <c r="AA90" s="9"/>
      <c r="AB90" s="9"/>
      <c r="AC90" s="9"/>
      <c r="AD90" s="9"/>
      <c r="AE90" s="9"/>
      <c r="AF90" s="9"/>
    </row>
    <row r="91">
      <c r="A91" s="9"/>
      <c r="B91" s="9"/>
      <c r="C91" s="9"/>
      <c r="D91" s="9"/>
      <c r="E91" s="9"/>
      <c r="F91" s="9"/>
      <c r="G91" s="9"/>
      <c r="H91" s="9"/>
      <c r="I91" s="9"/>
      <c r="J91" s="9"/>
      <c r="K91" s="9"/>
      <c r="L91" s="9"/>
      <c r="M91" s="9"/>
      <c r="N91" s="9"/>
      <c r="O91" s="9"/>
      <c r="P91" s="9"/>
      <c r="Q91" s="9"/>
      <c r="R91" s="9"/>
      <c r="S91" s="9"/>
      <c r="T91" s="9"/>
      <c r="U91" s="9"/>
      <c r="V91" s="9"/>
      <c r="W91" s="9"/>
      <c r="X91" s="9"/>
      <c r="Y91" s="9"/>
      <c r="Z91" s="9"/>
      <c r="AA91" s="9"/>
      <c r="AB91" s="9"/>
      <c r="AC91" s="9"/>
      <c r="AD91" s="9"/>
      <c r="AE91" s="9"/>
      <c r="AF91" s="9"/>
    </row>
    <row r="92">
      <c r="A92" s="9"/>
      <c r="B92" s="9"/>
      <c r="C92" s="9"/>
      <c r="D92" s="9"/>
      <c r="E92" s="9"/>
      <c r="F92" s="9"/>
      <c r="G92" s="9"/>
      <c r="H92" s="9"/>
      <c r="I92" s="9"/>
      <c r="J92" s="9"/>
      <c r="K92" s="9"/>
      <c r="L92" s="9"/>
      <c r="M92" s="9"/>
      <c r="N92" s="9"/>
      <c r="O92" s="9"/>
      <c r="P92" s="9"/>
      <c r="Q92" s="9"/>
      <c r="R92" s="9"/>
      <c r="S92" s="9"/>
      <c r="T92" s="9"/>
      <c r="U92" s="9"/>
      <c r="V92" s="9"/>
      <c r="W92" s="9"/>
      <c r="X92" s="9"/>
      <c r="Y92" s="9"/>
      <c r="Z92" s="9"/>
      <c r="AA92" s="9"/>
      <c r="AB92" s="9"/>
      <c r="AC92" s="9"/>
      <c r="AD92" s="9"/>
      <c r="AE92" s="9"/>
      <c r="AF92" s="9"/>
    </row>
    <row r="93">
      <c r="A93" s="9"/>
      <c r="B93" s="9"/>
      <c r="C93" s="9"/>
      <c r="D93" s="9"/>
      <c r="E93" s="9"/>
      <c r="F93" s="9"/>
      <c r="G93" s="9"/>
      <c r="H93" s="9"/>
      <c r="I93" s="9"/>
      <c r="J93" s="9"/>
      <c r="K93" s="9"/>
      <c r="L93" s="9"/>
      <c r="M93" s="9"/>
      <c r="N93" s="9"/>
      <c r="O93" s="9"/>
      <c r="P93" s="9"/>
      <c r="Q93" s="9"/>
      <c r="R93" s="9"/>
      <c r="S93" s="9"/>
      <c r="T93" s="9"/>
      <c r="U93" s="9"/>
      <c r="V93" s="9"/>
      <c r="W93" s="9"/>
      <c r="X93" s="9"/>
      <c r="Y93" s="9"/>
      <c r="Z93" s="9"/>
      <c r="AA93" s="9"/>
      <c r="AB93" s="9"/>
      <c r="AC93" s="9"/>
      <c r="AD93" s="9"/>
      <c r="AE93" s="9"/>
      <c r="AF93" s="9"/>
    </row>
    <row r="94">
      <c r="A94" s="9"/>
      <c r="B94" s="9"/>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c r="AE94" s="9"/>
      <c r="AF94" s="9"/>
    </row>
    <row r="95">
      <c r="A95" s="9"/>
      <c r="B95" s="9"/>
      <c r="C95" s="9"/>
      <c r="D95" s="9"/>
      <c r="E95" s="9"/>
      <c r="F95" s="9"/>
      <c r="G95" s="9"/>
      <c r="H95" s="9"/>
      <c r="I95" s="9"/>
      <c r="J95" s="9"/>
      <c r="K95" s="9"/>
      <c r="L95" s="9"/>
      <c r="M95" s="9"/>
      <c r="N95" s="9"/>
      <c r="O95" s="9"/>
      <c r="P95" s="9"/>
      <c r="Q95" s="9"/>
      <c r="R95" s="9"/>
      <c r="S95" s="9"/>
      <c r="T95" s="9"/>
      <c r="U95" s="9"/>
      <c r="V95" s="9"/>
      <c r="W95" s="9"/>
      <c r="X95" s="9"/>
      <c r="Y95" s="9"/>
      <c r="Z95" s="9"/>
      <c r="AA95" s="9"/>
      <c r="AB95" s="9"/>
      <c r="AC95" s="9"/>
      <c r="AD95" s="9"/>
      <c r="AE95" s="9"/>
      <c r="AF95" s="9"/>
    </row>
    <row r="96">
      <c r="A96" s="9"/>
      <c r="B96" s="9"/>
      <c r="C96" s="9"/>
      <c r="D96" s="9"/>
      <c r="E96" s="9"/>
      <c r="F96" s="9"/>
      <c r="G96" s="9"/>
      <c r="H96" s="9"/>
      <c r="I96" s="9"/>
      <c r="J96" s="9"/>
      <c r="K96" s="9"/>
      <c r="L96" s="9"/>
      <c r="M96" s="9"/>
      <c r="N96" s="9"/>
      <c r="O96" s="9"/>
      <c r="P96" s="9"/>
      <c r="Q96" s="9"/>
      <c r="R96" s="9"/>
      <c r="S96" s="9"/>
      <c r="T96" s="9"/>
      <c r="U96" s="9"/>
      <c r="V96" s="9"/>
      <c r="W96" s="9"/>
      <c r="X96" s="9"/>
      <c r="Y96" s="9"/>
      <c r="Z96" s="9"/>
      <c r="AA96" s="9"/>
      <c r="AB96" s="9"/>
      <c r="AC96" s="9"/>
      <c r="AD96" s="9"/>
      <c r="AE96" s="9"/>
      <c r="AF96" s="9"/>
    </row>
    <row r="97">
      <c r="A97" s="9"/>
      <c r="B97" s="9"/>
      <c r="C97" s="9"/>
      <c r="D97" s="9"/>
      <c r="E97" s="9"/>
      <c r="F97" s="9"/>
      <c r="G97" s="9"/>
      <c r="H97" s="9"/>
      <c r="I97" s="9"/>
      <c r="J97" s="9"/>
      <c r="K97" s="9"/>
      <c r="L97" s="9"/>
      <c r="M97" s="9"/>
      <c r="N97" s="9"/>
      <c r="O97" s="9"/>
      <c r="P97" s="9"/>
      <c r="Q97" s="9"/>
      <c r="R97" s="9"/>
      <c r="S97" s="9"/>
      <c r="T97" s="9"/>
      <c r="U97" s="9"/>
      <c r="V97" s="9"/>
      <c r="W97" s="9"/>
      <c r="X97" s="9"/>
      <c r="Y97" s="9"/>
      <c r="Z97" s="9"/>
      <c r="AA97" s="9"/>
      <c r="AB97" s="9"/>
      <c r="AC97" s="9"/>
      <c r="AD97" s="9"/>
      <c r="AE97" s="9"/>
      <c r="AF97" s="9"/>
    </row>
    <row r="98">
      <c r="A98" s="9"/>
      <c r="B98" s="9"/>
      <c r="C98" s="9"/>
      <c r="D98" s="9"/>
      <c r="E98" s="9"/>
      <c r="F98" s="9"/>
      <c r="G98" s="9"/>
      <c r="H98" s="9"/>
      <c r="I98" s="9"/>
      <c r="J98" s="9"/>
      <c r="K98" s="9"/>
      <c r="L98" s="9"/>
      <c r="M98" s="9"/>
      <c r="N98" s="9"/>
      <c r="O98" s="9"/>
      <c r="P98" s="9"/>
      <c r="Q98" s="9"/>
      <c r="R98" s="9"/>
      <c r="S98" s="9"/>
      <c r="T98" s="9"/>
      <c r="U98" s="9"/>
      <c r="V98" s="9"/>
      <c r="W98" s="9"/>
      <c r="X98" s="9"/>
      <c r="Y98" s="9"/>
      <c r="Z98" s="9"/>
      <c r="AA98" s="9"/>
      <c r="AB98" s="9"/>
      <c r="AC98" s="9"/>
      <c r="AD98" s="9"/>
      <c r="AE98" s="9"/>
      <c r="AF98" s="9"/>
    </row>
    <row r="99">
      <c r="A99" s="9"/>
      <c r="B99" s="9"/>
      <c r="C99" s="9"/>
      <c r="D99" s="9"/>
      <c r="E99" s="9"/>
      <c r="F99" s="9"/>
      <c r="G99" s="9"/>
      <c r="H99" s="9"/>
      <c r="I99" s="9"/>
      <c r="J99" s="9"/>
      <c r="K99" s="9"/>
      <c r="L99" s="9"/>
      <c r="M99" s="9"/>
      <c r="N99" s="9"/>
      <c r="O99" s="9"/>
      <c r="P99" s="9"/>
      <c r="Q99" s="9"/>
      <c r="R99" s="9"/>
      <c r="S99" s="9"/>
      <c r="T99" s="9"/>
      <c r="U99" s="9"/>
      <c r="V99" s="9"/>
      <c r="W99" s="9"/>
      <c r="X99" s="9"/>
      <c r="Y99" s="9"/>
      <c r="Z99" s="9"/>
      <c r="AA99" s="9"/>
      <c r="AB99" s="9"/>
      <c r="AC99" s="9"/>
      <c r="AD99" s="9"/>
      <c r="AE99" s="9"/>
      <c r="AF99" s="9"/>
    </row>
    <row r="100">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row>
    <row r="10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row>
    <row r="102">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c r="AA102" s="9"/>
      <c r="AB102" s="9"/>
      <c r="AC102" s="9"/>
      <c r="AD102" s="9"/>
      <c r="AE102" s="9"/>
      <c r="AF102" s="9"/>
    </row>
    <row r="103">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c r="AA103" s="9"/>
      <c r="AB103" s="9"/>
      <c r="AC103" s="9"/>
      <c r="AD103" s="9"/>
      <c r="AE103" s="9"/>
      <c r="AF103" s="9"/>
    </row>
    <row r="104">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c r="AF104" s="9"/>
    </row>
    <row r="10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c r="AA105" s="9"/>
      <c r="AB105" s="9"/>
      <c r="AC105" s="9"/>
      <c r="AD105" s="9"/>
      <c r="AE105" s="9"/>
      <c r="AF105" s="9"/>
    </row>
    <row r="106">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c r="AF106" s="9"/>
    </row>
    <row r="107">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9"/>
    </row>
    <row r="108">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c r="AF108" s="9"/>
    </row>
    <row r="109">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c r="AF109" s="9"/>
    </row>
    <row r="110">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c r="AA110" s="9"/>
      <c r="AB110" s="9"/>
      <c r="AC110" s="9"/>
      <c r="AD110" s="9"/>
      <c r="AE110" s="9"/>
      <c r="AF110" s="9"/>
    </row>
    <row r="11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c r="AA111" s="9"/>
      <c r="AB111" s="9"/>
      <c r="AC111" s="9"/>
      <c r="AD111" s="9"/>
      <c r="AE111" s="9"/>
      <c r="AF111" s="9"/>
    </row>
    <row r="112">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c r="AA112" s="9"/>
      <c r="AB112" s="9"/>
      <c r="AC112" s="9"/>
      <c r="AD112" s="9"/>
      <c r="AE112" s="9"/>
      <c r="AF112" s="9"/>
    </row>
    <row r="113">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row>
    <row r="114">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c r="AA114" s="9"/>
      <c r="AB114" s="9"/>
      <c r="AC114" s="9"/>
      <c r="AD114" s="9"/>
      <c r="AE114" s="9"/>
      <c r="AF114" s="9"/>
    </row>
    <row r="11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c r="AF115" s="9"/>
    </row>
    <row r="116">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row>
    <row r="117">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c r="AF117" s="9"/>
    </row>
    <row r="118">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row>
    <row r="119">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c r="AF119" s="9"/>
    </row>
    <row r="120">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9"/>
    </row>
    <row r="12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row>
    <row r="122">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9"/>
    </row>
    <row r="123">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c r="AF123" s="9"/>
    </row>
    <row r="124">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row>
    <row r="1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row>
    <row r="126">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9"/>
    </row>
    <row r="127">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9"/>
    </row>
    <row r="128">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9"/>
    </row>
    <row r="129">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c r="AF129" s="9"/>
    </row>
    <row r="130">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c r="AF130" s="9"/>
    </row>
    <row r="13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c r="AA131" s="9"/>
      <c r="AB131" s="9"/>
      <c r="AC131" s="9"/>
      <c r="AD131" s="9"/>
      <c r="AE131" s="9"/>
      <c r="AF131" s="9"/>
    </row>
    <row r="132">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c r="AA132" s="9"/>
      <c r="AB132" s="9"/>
      <c r="AC132" s="9"/>
      <c r="AD132" s="9"/>
      <c r="AE132" s="9"/>
      <c r="AF132" s="9"/>
    </row>
    <row r="133">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c r="AA133" s="9"/>
      <c r="AB133" s="9"/>
      <c r="AC133" s="9"/>
      <c r="AD133" s="9"/>
      <c r="AE133" s="9"/>
      <c r="AF133" s="9"/>
    </row>
    <row r="134">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c r="AA134" s="9"/>
      <c r="AB134" s="9"/>
      <c r="AC134" s="9"/>
      <c r="AD134" s="9"/>
      <c r="AE134" s="9"/>
      <c r="AF134" s="9"/>
    </row>
    <row r="13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c r="AA135" s="9"/>
      <c r="AB135" s="9"/>
      <c r="AC135" s="9"/>
      <c r="AD135" s="9"/>
      <c r="AE135" s="9"/>
      <c r="AF135" s="9"/>
    </row>
    <row r="136">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c r="AA136" s="9"/>
      <c r="AB136" s="9"/>
      <c r="AC136" s="9"/>
      <c r="AD136" s="9"/>
      <c r="AE136" s="9"/>
      <c r="AF136" s="9"/>
    </row>
    <row r="137">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c r="AA137" s="9"/>
      <c r="AB137" s="9"/>
      <c r="AC137" s="9"/>
      <c r="AD137" s="9"/>
      <c r="AE137" s="9"/>
      <c r="AF137" s="9"/>
    </row>
    <row r="138">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c r="AA138" s="9"/>
      <c r="AB138" s="9"/>
      <c r="AC138" s="9"/>
      <c r="AD138" s="9"/>
      <c r="AE138" s="9"/>
      <c r="AF138" s="9"/>
    </row>
    <row r="139">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c r="AA139" s="9"/>
      <c r="AB139" s="9"/>
      <c r="AC139" s="9"/>
      <c r="AD139" s="9"/>
      <c r="AE139" s="9"/>
      <c r="AF139" s="9"/>
    </row>
    <row r="140">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c r="AA140" s="9"/>
      <c r="AB140" s="9"/>
      <c r="AC140" s="9"/>
      <c r="AD140" s="9"/>
      <c r="AE140" s="9"/>
      <c r="AF140" s="9"/>
    </row>
    <row r="14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c r="AA141" s="9"/>
      <c r="AB141" s="9"/>
      <c r="AC141" s="9"/>
      <c r="AD141" s="9"/>
      <c r="AE141" s="9"/>
      <c r="AF141" s="9"/>
    </row>
    <row r="142">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c r="AA142" s="9"/>
      <c r="AB142" s="9"/>
      <c r="AC142" s="9"/>
      <c r="AD142" s="9"/>
      <c r="AE142" s="9"/>
      <c r="AF142" s="9"/>
    </row>
    <row r="143">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c r="AA143" s="9"/>
      <c r="AB143" s="9"/>
      <c r="AC143" s="9"/>
      <c r="AD143" s="9"/>
      <c r="AE143" s="9"/>
      <c r="AF143" s="9"/>
    </row>
    <row r="144">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c r="AA144" s="9"/>
      <c r="AB144" s="9"/>
      <c r="AC144" s="9"/>
      <c r="AD144" s="9"/>
      <c r="AE144" s="9"/>
      <c r="AF144" s="9"/>
    </row>
    <row r="14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c r="AA145" s="9"/>
      <c r="AB145" s="9"/>
      <c r="AC145" s="9"/>
      <c r="AD145" s="9"/>
      <c r="AE145" s="9"/>
      <c r="AF145" s="9"/>
    </row>
    <row r="146">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c r="AA146" s="9"/>
      <c r="AB146" s="9"/>
      <c r="AC146" s="9"/>
      <c r="AD146" s="9"/>
      <c r="AE146" s="9"/>
      <c r="AF146" s="9"/>
    </row>
    <row r="147">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c r="AA147" s="9"/>
      <c r="AB147" s="9"/>
      <c r="AC147" s="9"/>
      <c r="AD147" s="9"/>
      <c r="AE147" s="9"/>
      <c r="AF147" s="9"/>
    </row>
    <row r="148">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c r="AA148" s="9"/>
      <c r="AB148" s="9"/>
      <c r="AC148" s="9"/>
      <c r="AD148" s="9"/>
      <c r="AE148" s="9"/>
      <c r="AF148" s="9"/>
    </row>
    <row r="149">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c r="AA149" s="9"/>
      <c r="AB149" s="9"/>
      <c r="AC149" s="9"/>
      <c r="AD149" s="9"/>
      <c r="AE149" s="9"/>
      <c r="AF149" s="9"/>
    </row>
    <row r="150">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c r="AA150" s="9"/>
      <c r="AB150" s="9"/>
      <c r="AC150" s="9"/>
      <c r="AD150" s="9"/>
      <c r="AE150" s="9"/>
      <c r="AF150" s="9"/>
    </row>
    <row r="15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c r="AA151" s="9"/>
      <c r="AB151" s="9"/>
      <c r="AC151" s="9"/>
      <c r="AD151" s="9"/>
      <c r="AE151" s="9"/>
      <c r="AF151" s="9"/>
    </row>
    <row r="152">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c r="AA152" s="9"/>
      <c r="AB152" s="9"/>
      <c r="AC152" s="9"/>
      <c r="AD152" s="9"/>
      <c r="AE152" s="9"/>
      <c r="AF152" s="9"/>
    </row>
    <row r="153">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c r="AA153" s="9"/>
      <c r="AB153" s="9"/>
      <c r="AC153" s="9"/>
      <c r="AD153" s="9"/>
      <c r="AE153" s="9"/>
      <c r="AF153" s="9"/>
    </row>
    <row r="154">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c r="AA154" s="9"/>
      <c r="AB154" s="9"/>
      <c r="AC154" s="9"/>
      <c r="AD154" s="9"/>
      <c r="AE154" s="9"/>
      <c r="AF154" s="9"/>
    </row>
    <row r="15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c r="AA155" s="9"/>
      <c r="AB155" s="9"/>
      <c r="AC155" s="9"/>
      <c r="AD155" s="9"/>
      <c r="AE155" s="9"/>
      <c r="AF155" s="9"/>
    </row>
    <row r="156">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c r="AA156" s="9"/>
      <c r="AB156" s="9"/>
      <c r="AC156" s="9"/>
      <c r="AD156" s="9"/>
      <c r="AE156" s="9"/>
      <c r="AF156" s="9"/>
    </row>
    <row r="157">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c r="AA157" s="9"/>
      <c r="AB157" s="9"/>
      <c r="AC157" s="9"/>
      <c r="AD157" s="9"/>
      <c r="AE157" s="9"/>
      <c r="AF157" s="9"/>
    </row>
    <row r="158">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c r="AA158" s="9"/>
      <c r="AB158" s="9"/>
      <c r="AC158" s="9"/>
      <c r="AD158" s="9"/>
      <c r="AE158" s="9"/>
      <c r="AF158" s="9"/>
    </row>
    <row r="159">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c r="AA159" s="9"/>
      <c r="AB159" s="9"/>
      <c r="AC159" s="9"/>
      <c r="AD159" s="9"/>
      <c r="AE159" s="9"/>
      <c r="AF159" s="9"/>
    </row>
    <row r="160">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c r="AA160" s="9"/>
      <c r="AB160" s="9"/>
      <c r="AC160" s="9"/>
      <c r="AD160" s="9"/>
      <c r="AE160" s="9"/>
      <c r="AF160" s="9"/>
    </row>
    <row r="16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c r="AA161" s="9"/>
      <c r="AB161" s="9"/>
      <c r="AC161" s="9"/>
      <c r="AD161" s="9"/>
      <c r="AE161" s="9"/>
      <c r="AF161" s="9"/>
    </row>
    <row r="162">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c r="AA162" s="9"/>
      <c r="AB162" s="9"/>
      <c r="AC162" s="9"/>
      <c r="AD162" s="9"/>
      <c r="AE162" s="9"/>
      <c r="AF162" s="9"/>
    </row>
    <row r="163">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c r="AA163" s="9"/>
      <c r="AB163" s="9"/>
      <c r="AC163" s="9"/>
      <c r="AD163" s="9"/>
      <c r="AE163" s="9"/>
      <c r="AF163" s="9"/>
    </row>
    <row r="164">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c r="AA164" s="9"/>
      <c r="AB164" s="9"/>
      <c r="AC164" s="9"/>
      <c r="AD164" s="9"/>
      <c r="AE164" s="9"/>
      <c r="AF164" s="9"/>
    </row>
    <row r="16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c r="AA165" s="9"/>
      <c r="AB165" s="9"/>
      <c r="AC165" s="9"/>
      <c r="AD165" s="9"/>
      <c r="AE165" s="9"/>
      <c r="AF165" s="9"/>
    </row>
    <row r="166">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c r="AA166" s="9"/>
      <c r="AB166" s="9"/>
      <c r="AC166" s="9"/>
      <c r="AD166" s="9"/>
      <c r="AE166" s="9"/>
      <c r="AF166" s="9"/>
    </row>
    <row r="167">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c r="AA167" s="9"/>
      <c r="AB167" s="9"/>
      <c r="AC167" s="9"/>
      <c r="AD167" s="9"/>
      <c r="AE167" s="9"/>
      <c r="AF167" s="9"/>
    </row>
    <row r="168">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c r="AA168" s="9"/>
      <c r="AB168" s="9"/>
      <c r="AC168" s="9"/>
      <c r="AD168" s="9"/>
      <c r="AE168" s="9"/>
      <c r="AF168" s="9"/>
    </row>
    <row r="169">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c r="AA169" s="9"/>
      <c r="AB169" s="9"/>
      <c r="AC169" s="9"/>
      <c r="AD169" s="9"/>
      <c r="AE169" s="9"/>
      <c r="AF169" s="9"/>
    </row>
    <row r="170">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c r="AA170" s="9"/>
      <c r="AB170" s="9"/>
      <c r="AC170" s="9"/>
      <c r="AD170" s="9"/>
      <c r="AE170" s="9"/>
      <c r="AF170" s="9"/>
    </row>
    <row r="17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c r="AA171" s="9"/>
      <c r="AB171" s="9"/>
      <c r="AC171" s="9"/>
      <c r="AD171" s="9"/>
      <c r="AE171" s="9"/>
      <c r="AF171" s="9"/>
    </row>
    <row r="172">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c r="AA172" s="9"/>
      <c r="AB172" s="9"/>
      <c r="AC172" s="9"/>
      <c r="AD172" s="9"/>
      <c r="AE172" s="9"/>
      <c r="AF172" s="9"/>
    </row>
    <row r="173">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c r="AA173" s="9"/>
      <c r="AB173" s="9"/>
      <c r="AC173" s="9"/>
      <c r="AD173" s="9"/>
      <c r="AE173" s="9"/>
      <c r="AF173" s="9"/>
    </row>
    <row r="174">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c r="AA174" s="9"/>
      <c r="AB174" s="9"/>
      <c r="AC174" s="9"/>
      <c r="AD174" s="9"/>
      <c r="AE174" s="9"/>
      <c r="AF174" s="9"/>
    </row>
    <row r="17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c r="AA175" s="9"/>
      <c r="AB175" s="9"/>
      <c r="AC175" s="9"/>
      <c r="AD175" s="9"/>
      <c r="AE175" s="9"/>
      <c r="AF175" s="9"/>
    </row>
    <row r="176">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c r="AA176" s="9"/>
      <c r="AB176" s="9"/>
      <c r="AC176" s="9"/>
      <c r="AD176" s="9"/>
      <c r="AE176" s="9"/>
      <c r="AF176" s="9"/>
    </row>
    <row r="177">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c r="AA177" s="9"/>
      <c r="AB177" s="9"/>
      <c r="AC177" s="9"/>
      <c r="AD177" s="9"/>
      <c r="AE177" s="9"/>
      <c r="AF177" s="9"/>
    </row>
    <row r="178">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c r="AA178" s="9"/>
      <c r="AB178" s="9"/>
      <c r="AC178" s="9"/>
      <c r="AD178" s="9"/>
      <c r="AE178" s="9"/>
      <c r="AF178" s="9"/>
    </row>
    <row r="179">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c r="AA179" s="9"/>
      <c r="AB179" s="9"/>
      <c r="AC179" s="9"/>
      <c r="AD179" s="9"/>
      <c r="AE179" s="9"/>
      <c r="AF179" s="9"/>
    </row>
    <row r="180">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c r="AA180" s="9"/>
      <c r="AB180" s="9"/>
      <c r="AC180" s="9"/>
      <c r="AD180" s="9"/>
      <c r="AE180" s="9"/>
      <c r="AF180" s="9"/>
    </row>
    <row r="18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c r="AA181" s="9"/>
      <c r="AB181" s="9"/>
      <c r="AC181" s="9"/>
      <c r="AD181" s="9"/>
      <c r="AE181" s="9"/>
      <c r="AF181" s="9"/>
    </row>
    <row r="182">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c r="AA182" s="9"/>
      <c r="AB182" s="9"/>
      <c r="AC182" s="9"/>
      <c r="AD182" s="9"/>
      <c r="AE182" s="9"/>
      <c r="AF182" s="9"/>
    </row>
    <row r="183">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c r="AA183" s="9"/>
      <c r="AB183" s="9"/>
      <c r="AC183" s="9"/>
      <c r="AD183" s="9"/>
      <c r="AE183" s="9"/>
      <c r="AF183" s="9"/>
    </row>
    <row r="184">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c r="AA184" s="9"/>
      <c r="AB184" s="9"/>
      <c r="AC184" s="9"/>
      <c r="AD184" s="9"/>
      <c r="AE184" s="9"/>
      <c r="AF184" s="9"/>
    </row>
    <row r="18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c r="AA185" s="9"/>
      <c r="AB185" s="9"/>
      <c r="AC185" s="9"/>
      <c r="AD185" s="9"/>
      <c r="AE185" s="9"/>
      <c r="AF185" s="9"/>
    </row>
    <row r="186">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c r="AA186" s="9"/>
      <c r="AB186" s="9"/>
      <c r="AC186" s="9"/>
      <c r="AD186" s="9"/>
      <c r="AE186" s="9"/>
      <c r="AF186" s="9"/>
    </row>
    <row r="187">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c r="AA187" s="9"/>
      <c r="AB187" s="9"/>
      <c r="AC187" s="9"/>
      <c r="AD187" s="9"/>
      <c r="AE187" s="9"/>
      <c r="AF187" s="9"/>
    </row>
    <row r="188">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c r="AA188" s="9"/>
      <c r="AB188" s="9"/>
      <c r="AC188" s="9"/>
      <c r="AD188" s="9"/>
      <c r="AE188" s="9"/>
      <c r="AF188" s="9"/>
    </row>
    <row r="189">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c r="AA189" s="9"/>
      <c r="AB189" s="9"/>
      <c r="AC189" s="9"/>
      <c r="AD189" s="9"/>
      <c r="AE189" s="9"/>
      <c r="AF189" s="9"/>
    </row>
    <row r="190">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c r="AA190" s="9"/>
      <c r="AB190" s="9"/>
      <c r="AC190" s="9"/>
      <c r="AD190" s="9"/>
      <c r="AE190" s="9"/>
      <c r="AF190" s="9"/>
    </row>
    <row r="19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c r="AA191" s="9"/>
      <c r="AB191" s="9"/>
      <c r="AC191" s="9"/>
      <c r="AD191" s="9"/>
      <c r="AE191" s="9"/>
      <c r="AF191" s="9"/>
    </row>
    <row r="192">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c r="AA192" s="9"/>
      <c r="AB192" s="9"/>
      <c r="AC192" s="9"/>
      <c r="AD192" s="9"/>
      <c r="AE192" s="9"/>
      <c r="AF192" s="9"/>
    </row>
    <row r="193">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c r="AA193" s="9"/>
      <c r="AB193" s="9"/>
      <c r="AC193" s="9"/>
      <c r="AD193" s="9"/>
      <c r="AE193" s="9"/>
      <c r="AF193" s="9"/>
    </row>
    <row r="194">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c r="AA194" s="9"/>
      <c r="AB194" s="9"/>
      <c r="AC194" s="9"/>
      <c r="AD194" s="9"/>
      <c r="AE194" s="9"/>
      <c r="AF194" s="9"/>
    </row>
    <row r="19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c r="AA195" s="9"/>
      <c r="AB195" s="9"/>
      <c r="AC195" s="9"/>
      <c r="AD195" s="9"/>
      <c r="AE195" s="9"/>
      <c r="AF195" s="9"/>
    </row>
    <row r="196">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c r="AA196" s="9"/>
      <c r="AB196" s="9"/>
      <c r="AC196" s="9"/>
      <c r="AD196" s="9"/>
      <c r="AE196" s="9"/>
      <c r="AF196" s="9"/>
    </row>
    <row r="197">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c r="AA197" s="9"/>
      <c r="AB197" s="9"/>
      <c r="AC197" s="9"/>
      <c r="AD197" s="9"/>
      <c r="AE197" s="9"/>
      <c r="AF197" s="9"/>
    </row>
    <row r="198">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c r="AA198" s="9"/>
      <c r="AB198" s="9"/>
      <c r="AC198" s="9"/>
      <c r="AD198" s="9"/>
      <c r="AE198" s="9"/>
      <c r="AF198" s="9"/>
    </row>
    <row r="199">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c r="AA199" s="9"/>
      <c r="AB199" s="9"/>
      <c r="AC199" s="9"/>
      <c r="AD199" s="9"/>
      <c r="AE199" s="9"/>
      <c r="AF199" s="9"/>
    </row>
    <row r="200">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c r="AA200" s="9"/>
      <c r="AB200" s="9"/>
      <c r="AC200" s="9"/>
      <c r="AD200" s="9"/>
      <c r="AE200" s="9"/>
      <c r="AF200" s="9"/>
    </row>
    <row r="20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9"/>
      <c r="AD201" s="9"/>
      <c r="AE201" s="9"/>
      <c r="AF201" s="9"/>
    </row>
    <row r="202">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c r="AC202" s="9"/>
      <c r="AD202" s="9"/>
      <c r="AE202" s="9"/>
      <c r="AF202" s="9"/>
    </row>
    <row r="203">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row>
    <row r="204">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c r="AD204" s="9"/>
      <c r="AE204" s="9"/>
      <c r="AF204" s="9"/>
    </row>
    <row r="20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9"/>
      <c r="AD205" s="9"/>
      <c r="AE205" s="9"/>
      <c r="AF205" s="9"/>
    </row>
    <row r="206">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c r="AF206" s="9"/>
    </row>
    <row r="207">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c r="AD207" s="9"/>
      <c r="AE207" s="9"/>
      <c r="AF207" s="9"/>
    </row>
    <row r="208">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c r="AD208" s="9"/>
      <c r="AE208" s="9"/>
      <c r="AF208" s="9"/>
    </row>
    <row r="209">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9"/>
      <c r="AD209" s="9"/>
      <c r="AE209" s="9"/>
      <c r="AF209" s="9"/>
    </row>
    <row r="210">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c r="AB210" s="9"/>
      <c r="AC210" s="9"/>
      <c r="AD210" s="9"/>
      <c r="AE210" s="9"/>
      <c r="AF210" s="9"/>
    </row>
    <row r="21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c r="AB211" s="9"/>
      <c r="AC211" s="9"/>
      <c r="AD211" s="9"/>
      <c r="AE211" s="9"/>
      <c r="AF211" s="9"/>
    </row>
    <row r="212">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c r="AB212" s="9"/>
      <c r="AC212" s="9"/>
      <c r="AD212" s="9"/>
      <c r="AE212" s="9"/>
      <c r="AF212" s="9"/>
    </row>
    <row r="213">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c r="AB213" s="9"/>
      <c r="AC213" s="9"/>
      <c r="AD213" s="9"/>
      <c r="AE213" s="9"/>
      <c r="AF213" s="9"/>
    </row>
    <row r="214">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c r="AB214" s="9"/>
      <c r="AC214" s="9"/>
      <c r="AD214" s="9"/>
      <c r="AE214" s="9"/>
      <c r="AF214" s="9"/>
    </row>
    <row r="21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c r="AC215" s="9"/>
      <c r="AD215" s="9"/>
      <c r="AE215" s="9"/>
      <c r="AF215" s="9"/>
    </row>
    <row r="216">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c r="AC216" s="9"/>
      <c r="AD216" s="9"/>
      <c r="AE216" s="9"/>
      <c r="AF216" s="9"/>
    </row>
    <row r="217">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c r="AB217" s="9"/>
      <c r="AC217" s="9"/>
      <c r="AD217" s="9"/>
      <c r="AE217" s="9"/>
      <c r="AF217" s="9"/>
    </row>
    <row r="218">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c r="AD218" s="9"/>
      <c r="AE218" s="9"/>
      <c r="AF218" s="9"/>
    </row>
    <row r="219">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9"/>
      <c r="AD219" s="9"/>
      <c r="AE219" s="9"/>
      <c r="AF219" s="9"/>
    </row>
    <row r="220">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c r="AD220" s="9"/>
      <c r="AE220" s="9"/>
      <c r="AF220" s="9"/>
    </row>
    <row r="22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c r="AC221" s="9"/>
      <c r="AD221" s="9"/>
      <c r="AE221" s="9"/>
      <c r="AF221" s="9"/>
    </row>
    <row r="222">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c r="AC222" s="9"/>
      <c r="AD222" s="9"/>
      <c r="AE222" s="9"/>
      <c r="AF222" s="9"/>
    </row>
    <row r="223">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9"/>
      <c r="AD223" s="9"/>
      <c r="AE223" s="9"/>
      <c r="AF223" s="9"/>
    </row>
    <row r="224">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c r="AD224" s="9"/>
      <c r="AE224" s="9"/>
      <c r="AF224" s="9"/>
    </row>
    <row r="2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c r="AC225" s="9"/>
      <c r="AD225" s="9"/>
      <c r="AE225" s="9"/>
      <c r="AF225" s="9"/>
    </row>
    <row r="226">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9"/>
      <c r="AD226" s="9"/>
      <c r="AE226" s="9"/>
      <c r="AF226" s="9"/>
    </row>
    <row r="227">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9"/>
      <c r="AD227" s="9"/>
      <c r="AE227" s="9"/>
      <c r="AF227" s="9"/>
    </row>
    <row r="228">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c r="AD228" s="9"/>
      <c r="AE228" s="9"/>
      <c r="AF228" s="9"/>
    </row>
    <row r="229">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c r="AD229" s="9"/>
      <c r="AE229" s="9"/>
      <c r="AF229" s="9"/>
    </row>
    <row r="230">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c r="AD230" s="9"/>
      <c r="AE230" s="9"/>
      <c r="AF230" s="9"/>
    </row>
    <row r="23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c r="AD231" s="9"/>
      <c r="AE231" s="9"/>
      <c r="AF231" s="9"/>
    </row>
    <row r="232">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c r="AD232" s="9"/>
      <c r="AE232" s="9"/>
      <c r="AF232" s="9"/>
    </row>
    <row r="233">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c r="AD233" s="9"/>
      <c r="AE233" s="9"/>
      <c r="AF233" s="9"/>
    </row>
    <row r="234">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c r="AD234" s="9"/>
      <c r="AE234" s="9"/>
      <c r="AF234" s="9"/>
    </row>
    <row r="23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c r="AD235" s="9"/>
      <c r="AE235" s="9"/>
      <c r="AF235" s="9"/>
    </row>
    <row r="236">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c r="AD236" s="9"/>
      <c r="AE236" s="9"/>
      <c r="AF236" s="9"/>
    </row>
    <row r="237">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c r="AD237" s="9"/>
      <c r="AE237" s="9"/>
      <c r="AF237" s="9"/>
    </row>
    <row r="238">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c r="AD238" s="9"/>
      <c r="AE238" s="9"/>
      <c r="AF238" s="9"/>
    </row>
    <row r="239">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c r="AD239" s="9"/>
      <c r="AE239" s="9"/>
      <c r="AF239" s="9"/>
    </row>
    <row r="240">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c r="AD240" s="9"/>
      <c r="AE240" s="9"/>
      <c r="AF240" s="9"/>
    </row>
    <row r="24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c r="AD241" s="9"/>
      <c r="AE241" s="9"/>
      <c r="AF241" s="9"/>
    </row>
    <row r="242">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c r="AE242" s="9"/>
      <c r="AF242" s="9"/>
    </row>
    <row r="243">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c r="AD243" s="9"/>
      <c r="AE243" s="9"/>
      <c r="AF243" s="9"/>
    </row>
    <row r="244">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c r="AD244" s="9"/>
      <c r="AE244" s="9"/>
      <c r="AF244" s="9"/>
    </row>
    <row r="24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row>
    <row r="246">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c r="AD246" s="9"/>
      <c r="AE246" s="9"/>
      <c r="AF246" s="9"/>
    </row>
    <row r="247">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c r="AD247" s="9"/>
      <c r="AE247" s="9"/>
      <c r="AF247" s="9"/>
    </row>
    <row r="248">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c r="AD248" s="9"/>
      <c r="AE248" s="9"/>
      <c r="AF248" s="9"/>
    </row>
    <row r="249">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c r="AD249" s="9"/>
      <c r="AE249" s="9"/>
      <c r="AF249" s="9"/>
    </row>
    <row r="250">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9"/>
      <c r="AD250" s="9"/>
      <c r="AE250" s="9"/>
      <c r="AF250" s="9"/>
    </row>
    <row r="25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9"/>
      <c r="AD251" s="9"/>
      <c r="AE251" s="9"/>
      <c r="AF251" s="9"/>
    </row>
    <row r="252">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c r="AC252" s="9"/>
      <c r="AD252" s="9"/>
      <c r="AE252" s="9"/>
      <c r="AF252" s="9"/>
    </row>
    <row r="253">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c r="AC253" s="9"/>
      <c r="AD253" s="9"/>
      <c r="AE253" s="9"/>
      <c r="AF253" s="9"/>
    </row>
    <row r="254">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row>
    <row r="25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row>
    <row r="256">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c r="AC256" s="9"/>
      <c r="AD256" s="9"/>
      <c r="AE256" s="9"/>
      <c r="AF256" s="9"/>
    </row>
    <row r="257">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c r="AC257" s="9"/>
      <c r="AD257" s="9"/>
      <c r="AE257" s="9"/>
      <c r="AF257" s="9"/>
    </row>
    <row r="258">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c r="AC258" s="9"/>
      <c r="AD258" s="9"/>
      <c r="AE258" s="9"/>
      <c r="AF258" s="9"/>
    </row>
    <row r="259">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c r="AC259" s="9"/>
      <c r="AD259" s="9"/>
      <c r="AE259" s="9"/>
      <c r="AF259" s="9"/>
    </row>
    <row r="260">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c r="AD260" s="9"/>
      <c r="AE260" s="9"/>
      <c r="AF260" s="9"/>
    </row>
    <row r="26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c r="AC261" s="9"/>
      <c r="AD261" s="9"/>
      <c r="AE261" s="9"/>
      <c r="AF261" s="9"/>
    </row>
    <row r="262">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c r="AC262" s="9"/>
      <c r="AD262" s="9"/>
      <c r="AE262" s="9"/>
      <c r="AF262" s="9"/>
    </row>
    <row r="263">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row>
    <row r="264">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c r="AC264" s="9"/>
      <c r="AD264" s="9"/>
      <c r="AE264" s="9"/>
      <c r="AF264" s="9"/>
    </row>
    <row r="26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c r="AC265" s="9"/>
      <c r="AD265" s="9"/>
      <c r="AE265" s="9"/>
      <c r="AF265" s="9"/>
    </row>
    <row r="266">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c r="AC266" s="9"/>
      <c r="AD266" s="9"/>
      <c r="AE266" s="9"/>
      <c r="AF266" s="9"/>
    </row>
    <row r="267">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c r="AC267" s="9"/>
      <c r="AD267" s="9"/>
      <c r="AE267" s="9"/>
      <c r="AF267" s="9"/>
    </row>
    <row r="268">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c r="AC268" s="9"/>
      <c r="AD268" s="9"/>
      <c r="AE268" s="9"/>
      <c r="AF268" s="9"/>
    </row>
    <row r="269">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c r="AC269" s="9"/>
      <c r="AD269" s="9"/>
      <c r="AE269" s="9"/>
      <c r="AF269" s="9"/>
    </row>
    <row r="270">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c r="AC270" s="9"/>
      <c r="AD270" s="9"/>
      <c r="AE270" s="9"/>
      <c r="AF270" s="9"/>
    </row>
    <row r="27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c r="AC271" s="9"/>
      <c r="AD271" s="9"/>
      <c r="AE271" s="9"/>
      <c r="AF271" s="9"/>
    </row>
    <row r="272">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c r="AC272" s="9"/>
      <c r="AD272" s="9"/>
      <c r="AE272" s="9"/>
      <c r="AF272" s="9"/>
    </row>
    <row r="273">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c r="AC273" s="9"/>
      <c r="AD273" s="9"/>
      <c r="AE273" s="9"/>
      <c r="AF273" s="9"/>
    </row>
    <row r="274">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c r="AC274" s="9"/>
      <c r="AD274" s="9"/>
      <c r="AE274" s="9"/>
      <c r="AF274" s="9"/>
    </row>
    <row r="27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row>
    <row r="276">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c r="AC276" s="9"/>
      <c r="AD276" s="9"/>
      <c r="AE276" s="9"/>
      <c r="AF276" s="9"/>
    </row>
    <row r="277">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c r="AC277" s="9"/>
      <c r="AD277" s="9"/>
      <c r="AE277" s="9"/>
      <c r="AF277" s="9"/>
    </row>
    <row r="278">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row>
    <row r="279">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c r="AC279" s="9"/>
      <c r="AD279" s="9"/>
      <c r="AE279" s="9"/>
      <c r="AF279" s="9"/>
    </row>
    <row r="280">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c r="AC280" s="9"/>
      <c r="AD280" s="9"/>
      <c r="AE280" s="9"/>
      <c r="AF280" s="9"/>
    </row>
    <row r="28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c r="AC281" s="9"/>
      <c r="AD281" s="9"/>
      <c r="AE281" s="9"/>
      <c r="AF281" s="9"/>
    </row>
    <row r="282">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c r="AD282" s="9"/>
      <c r="AE282" s="9"/>
      <c r="AF282" s="9"/>
    </row>
    <row r="283">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9"/>
      <c r="AD283" s="9"/>
      <c r="AE283" s="9"/>
      <c r="AF283" s="9"/>
    </row>
    <row r="284">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c r="AD284" s="9"/>
      <c r="AE284" s="9"/>
      <c r="AF284" s="9"/>
    </row>
    <row r="28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9"/>
      <c r="AD285" s="9"/>
      <c r="AE285" s="9"/>
      <c r="AF285" s="9"/>
    </row>
    <row r="286">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c r="AD286" s="9"/>
      <c r="AE286" s="9"/>
      <c r="AF286" s="9"/>
    </row>
    <row r="287">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c r="AD287" s="9"/>
      <c r="AE287" s="9"/>
      <c r="AF287" s="9"/>
    </row>
    <row r="288">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c r="AD288" s="9"/>
      <c r="AE288" s="9"/>
      <c r="AF288" s="9"/>
    </row>
    <row r="289">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9"/>
      <c r="AD289" s="9"/>
      <c r="AE289" s="9"/>
      <c r="AF289" s="9"/>
    </row>
    <row r="290">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c r="AC290" s="9"/>
      <c r="AD290" s="9"/>
      <c r="AE290" s="9"/>
      <c r="AF290" s="9"/>
    </row>
    <row r="29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c r="AC291" s="9"/>
      <c r="AD291" s="9"/>
      <c r="AE291" s="9"/>
      <c r="AF291" s="9"/>
    </row>
    <row r="292">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9"/>
      <c r="AD292" s="9"/>
      <c r="AE292" s="9"/>
      <c r="AF292" s="9"/>
    </row>
    <row r="293">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c r="AC293" s="9"/>
      <c r="AD293" s="9"/>
      <c r="AE293" s="9"/>
      <c r="AF293" s="9"/>
    </row>
    <row r="294">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c r="AC294" s="9"/>
      <c r="AD294" s="9"/>
      <c r="AE294" s="9"/>
      <c r="AF294" s="9"/>
    </row>
    <row r="29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c r="AC295" s="9"/>
      <c r="AD295" s="9"/>
      <c r="AE295" s="9"/>
      <c r="AF295" s="9"/>
    </row>
    <row r="296">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9"/>
      <c r="AD296" s="9"/>
      <c r="AE296" s="9"/>
      <c r="AF296" s="9"/>
    </row>
    <row r="297">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c r="AC297" s="9"/>
      <c r="AD297" s="9"/>
      <c r="AE297" s="9"/>
      <c r="AF297" s="9"/>
    </row>
    <row r="298">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row>
    <row r="299">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c r="AC299" s="9"/>
      <c r="AD299" s="9"/>
      <c r="AE299" s="9"/>
      <c r="AF299" s="9"/>
    </row>
    <row r="300">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c r="AC300" s="9"/>
      <c r="AD300" s="9"/>
      <c r="AE300" s="9"/>
      <c r="AF300" s="9"/>
    </row>
    <row r="30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c r="AC301" s="9"/>
      <c r="AD301" s="9"/>
      <c r="AE301" s="9"/>
      <c r="AF301" s="9"/>
    </row>
    <row r="302">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c r="AC302" s="9"/>
      <c r="AD302" s="9"/>
      <c r="AE302" s="9"/>
      <c r="AF302" s="9"/>
    </row>
    <row r="303">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c r="AD303" s="9"/>
      <c r="AE303" s="9"/>
      <c r="AF303" s="9"/>
    </row>
    <row r="304">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9"/>
      <c r="AD304" s="9"/>
      <c r="AE304" s="9"/>
      <c r="AF304" s="9"/>
    </row>
    <row r="30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9"/>
      <c r="AD305" s="9"/>
      <c r="AE305" s="9"/>
      <c r="AF305" s="9"/>
    </row>
    <row r="306">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row>
    <row r="307">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c r="AD307" s="9"/>
      <c r="AE307" s="9"/>
      <c r="AF307" s="9"/>
    </row>
    <row r="308">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row>
    <row r="309">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row>
    <row r="310">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c r="AD310" s="9"/>
      <c r="AE310" s="9"/>
      <c r="AF310" s="9"/>
    </row>
    <row r="31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c r="AD311" s="9"/>
      <c r="AE311" s="9"/>
      <c r="AF311" s="9"/>
    </row>
    <row r="312">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9"/>
      <c r="AD312" s="9"/>
      <c r="AE312" s="9"/>
      <c r="AF312" s="9"/>
    </row>
    <row r="313">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c r="AC313" s="9"/>
      <c r="AD313" s="9"/>
      <c r="AE313" s="9"/>
      <c r="AF313" s="9"/>
    </row>
    <row r="314">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row>
    <row r="31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c r="AC315" s="9"/>
      <c r="AD315" s="9"/>
      <c r="AE315" s="9"/>
      <c r="AF315" s="9"/>
    </row>
    <row r="316">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c r="AC316" s="9"/>
      <c r="AD316" s="9"/>
      <c r="AE316" s="9"/>
      <c r="AF316" s="9"/>
    </row>
    <row r="317">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c r="AC317" s="9"/>
      <c r="AD317" s="9"/>
      <c r="AE317" s="9"/>
      <c r="AF317" s="9"/>
    </row>
    <row r="318">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c r="AC318" s="9"/>
      <c r="AD318" s="9"/>
      <c r="AE318" s="9"/>
      <c r="AF318" s="9"/>
    </row>
    <row r="319">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c r="AC319" s="9"/>
      <c r="AD319" s="9"/>
      <c r="AE319" s="9"/>
      <c r="AF319" s="9"/>
    </row>
    <row r="320">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c r="AC320" s="9"/>
      <c r="AD320" s="9"/>
      <c r="AE320" s="9"/>
      <c r="AF320" s="9"/>
    </row>
    <row r="32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c r="AC321" s="9"/>
      <c r="AD321" s="9"/>
      <c r="AE321" s="9"/>
      <c r="AF321" s="9"/>
    </row>
    <row r="322">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c r="AC322" s="9"/>
      <c r="AD322" s="9"/>
      <c r="AE322" s="9"/>
      <c r="AF322" s="9"/>
    </row>
    <row r="323">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row>
    <row r="324">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row>
    <row r="3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c r="AC325" s="9"/>
      <c r="AD325" s="9"/>
      <c r="AE325" s="9"/>
      <c r="AF325" s="9"/>
    </row>
    <row r="3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c r="AC326" s="9"/>
      <c r="AD326" s="9"/>
      <c r="AE326" s="9"/>
      <c r="AF326" s="9"/>
    </row>
    <row r="327">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c r="AC327" s="9"/>
      <c r="AD327" s="9"/>
      <c r="AE327" s="9"/>
      <c r="AF327" s="9"/>
    </row>
    <row r="328">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row>
    <row r="329">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c r="AC329" s="9"/>
      <c r="AD329" s="9"/>
      <c r="AE329" s="9"/>
      <c r="AF329" s="9"/>
    </row>
    <row r="330">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c r="AC330" s="9"/>
      <c r="AD330" s="9"/>
      <c r="AE330" s="9"/>
      <c r="AF330" s="9"/>
    </row>
    <row r="33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c r="AC331" s="9"/>
      <c r="AD331" s="9"/>
      <c r="AE331" s="9"/>
      <c r="AF331" s="9"/>
    </row>
    <row r="332">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c r="AC332" s="9"/>
      <c r="AD332" s="9"/>
      <c r="AE332" s="9"/>
      <c r="AF332" s="9"/>
    </row>
    <row r="333">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row>
    <row r="334">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c r="AC334" s="9"/>
      <c r="AD334" s="9"/>
      <c r="AE334" s="9"/>
      <c r="AF334" s="9"/>
    </row>
    <row r="33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c r="AC335" s="9"/>
      <c r="AD335" s="9"/>
      <c r="AE335" s="9"/>
      <c r="AF335" s="9"/>
    </row>
    <row r="336">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c r="AC336" s="9"/>
      <c r="AD336" s="9"/>
      <c r="AE336" s="9"/>
      <c r="AF336" s="9"/>
    </row>
    <row r="337">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c r="AC337" s="9"/>
      <c r="AD337" s="9"/>
      <c r="AE337" s="9"/>
      <c r="AF337" s="9"/>
    </row>
    <row r="338">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c r="AC338" s="9"/>
      <c r="AD338" s="9"/>
      <c r="AE338" s="9"/>
      <c r="AF338" s="9"/>
    </row>
    <row r="339">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c r="AC339" s="9"/>
      <c r="AD339" s="9"/>
      <c r="AE339" s="9"/>
      <c r="AF339" s="9"/>
    </row>
    <row r="340">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c r="AC340" s="9"/>
      <c r="AD340" s="9"/>
      <c r="AE340" s="9"/>
      <c r="AF340" s="9"/>
    </row>
    <row r="34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c r="AC341" s="9"/>
      <c r="AD341" s="9"/>
      <c r="AE341" s="9"/>
      <c r="AF341" s="9"/>
    </row>
    <row r="342">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c r="AC342" s="9"/>
      <c r="AD342" s="9"/>
      <c r="AE342" s="9"/>
      <c r="AF342" s="9"/>
    </row>
    <row r="343">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c r="AC343" s="9"/>
      <c r="AD343" s="9"/>
      <c r="AE343" s="9"/>
      <c r="AF343" s="9"/>
    </row>
    <row r="344">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c r="AC344" s="9"/>
      <c r="AD344" s="9"/>
      <c r="AE344" s="9"/>
      <c r="AF344" s="9"/>
    </row>
    <row r="34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c r="AE345" s="9"/>
      <c r="AF345" s="9"/>
    </row>
    <row r="346">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c r="AC346" s="9"/>
      <c r="AD346" s="9"/>
      <c r="AE346" s="9"/>
      <c r="AF346" s="9"/>
    </row>
    <row r="347">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c r="AC347" s="9"/>
      <c r="AD347" s="9"/>
      <c r="AE347" s="9"/>
      <c r="AF347" s="9"/>
    </row>
    <row r="348">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c r="AC348" s="9"/>
      <c r="AD348" s="9"/>
      <c r="AE348" s="9"/>
      <c r="AF348" s="9"/>
    </row>
    <row r="349">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c r="AC349" s="9"/>
      <c r="AD349" s="9"/>
      <c r="AE349" s="9"/>
      <c r="AF349" s="9"/>
    </row>
    <row r="350">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c r="AD350" s="9"/>
      <c r="AE350" s="9"/>
      <c r="AF350" s="9"/>
    </row>
    <row r="35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9"/>
      <c r="AD351" s="9"/>
      <c r="AE351" s="9"/>
      <c r="AF351" s="9"/>
    </row>
    <row r="352">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c r="AC352" s="9"/>
      <c r="AD352" s="9"/>
      <c r="AE352" s="9"/>
      <c r="AF352" s="9"/>
    </row>
    <row r="353">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9"/>
      <c r="AD353" s="9"/>
      <c r="AE353" s="9"/>
      <c r="AF353" s="9"/>
    </row>
    <row r="354">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c r="AC354" s="9"/>
      <c r="AD354" s="9"/>
      <c r="AE354" s="9"/>
      <c r="AF354" s="9"/>
    </row>
    <row r="35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c r="AC355" s="9"/>
      <c r="AD355" s="9"/>
      <c r="AE355" s="9"/>
      <c r="AF355" s="9"/>
    </row>
    <row r="356">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c r="AC356" s="9"/>
      <c r="AD356" s="9"/>
      <c r="AE356" s="9"/>
      <c r="AF356" s="9"/>
    </row>
    <row r="357">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c r="AC357" s="9"/>
      <c r="AD357" s="9"/>
      <c r="AE357" s="9"/>
      <c r="AF357" s="9"/>
    </row>
    <row r="358">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c r="AC358" s="9"/>
      <c r="AD358" s="9"/>
      <c r="AE358" s="9"/>
      <c r="AF358" s="9"/>
    </row>
    <row r="359">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c r="AC359" s="9"/>
      <c r="AD359" s="9"/>
      <c r="AE359" s="9"/>
      <c r="AF359" s="9"/>
    </row>
    <row r="360">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c r="AC360" s="9"/>
      <c r="AD360" s="9"/>
      <c r="AE360" s="9"/>
      <c r="AF360" s="9"/>
    </row>
    <row r="36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c r="AC361" s="9"/>
      <c r="AD361" s="9"/>
      <c r="AE361" s="9"/>
      <c r="AF361" s="9"/>
    </row>
    <row r="362">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c r="AC362" s="9"/>
      <c r="AD362" s="9"/>
      <c r="AE362" s="9"/>
      <c r="AF362" s="9"/>
    </row>
    <row r="363">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c r="AC363" s="9"/>
      <c r="AD363" s="9"/>
      <c r="AE363" s="9"/>
      <c r="AF363" s="9"/>
    </row>
    <row r="364">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c r="AC364" s="9"/>
      <c r="AD364" s="9"/>
      <c r="AE364" s="9"/>
      <c r="AF364" s="9"/>
    </row>
    <row r="36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c r="AC365" s="9"/>
      <c r="AD365" s="9"/>
      <c r="AE365" s="9"/>
      <c r="AF365" s="9"/>
    </row>
    <row r="366">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c r="AC366" s="9"/>
      <c r="AD366" s="9"/>
      <c r="AE366" s="9"/>
      <c r="AF366" s="9"/>
    </row>
    <row r="367">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c r="AC367" s="9"/>
      <c r="AD367" s="9"/>
      <c r="AE367" s="9"/>
      <c r="AF367" s="9"/>
    </row>
    <row r="368">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c r="AC368" s="9"/>
      <c r="AD368" s="9"/>
      <c r="AE368" s="9"/>
      <c r="AF368" s="9"/>
    </row>
    <row r="369">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c r="AC369" s="9"/>
      <c r="AD369" s="9"/>
      <c r="AE369" s="9"/>
      <c r="AF369" s="9"/>
    </row>
    <row r="370">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9"/>
      <c r="AD370" s="9"/>
      <c r="AE370" s="9"/>
      <c r="AF370" s="9"/>
    </row>
    <row r="37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c r="AC371" s="9"/>
      <c r="AD371" s="9"/>
      <c r="AE371" s="9"/>
      <c r="AF371" s="9"/>
    </row>
    <row r="372">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c r="AC372" s="9"/>
      <c r="AD372" s="9"/>
      <c r="AE372" s="9"/>
      <c r="AF372" s="9"/>
    </row>
    <row r="373">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c r="AC373" s="9"/>
      <c r="AD373" s="9"/>
      <c r="AE373" s="9"/>
      <c r="AF373" s="9"/>
    </row>
    <row r="374">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c r="AC374" s="9"/>
      <c r="AD374" s="9"/>
      <c r="AE374" s="9"/>
      <c r="AF374" s="9"/>
    </row>
    <row r="37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c r="AC375" s="9"/>
      <c r="AD375" s="9"/>
      <c r="AE375" s="9"/>
      <c r="AF375" s="9"/>
    </row>
    <row r="376">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c r="AC376" s="9"/>
      <c r="AD376" s="9"/>
      <c r="AE376" s="9"/>
      <c r="AF376" s="9"/>
    </row>
    <row r="377">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c r="AC377" s="9"/>
      <c r="AD377" s="9"/>
      <c r="AE377" s="9"/>
      <c r="AF377" s="9"/>
    </row>
    <row r="378">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c r="AC378" s="9"/>
      <c r="AD378" s="9"/>
      <c r="AE378" s="9"/>
      <c r="AF378" s="9"/>
    </row>
    <row r="379">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c r="AC379" s="9"/>
      <c r="AD379" s="9"/>
      <c r="AE379" s="9"/>
      <c r="AF379" s="9"/>
    </row>
    <row r="380">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c r="AC380" s="9"/>
      <c r="AD380" s="9"/>
      <c r="AE380" s="9"/>
      <c r="AF380" s="9"/>
    </row>
    <row r="38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c r="AC381" s="9"/>
      <c r="AD381" s="9"/>
      <c r="AE381" s="9"/>
      <c r="AF381" s="9"/>
    </row>
    <row r="382">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c r="AC382" s="9"/>
      <c r="AD382" s="9"/>
      <c r="AE382" s="9"/>
      <c r="AF382" s="9"/>
    </row>
    <row r="383">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c r="AC383" s="9"/>
      <c r="AD383" s="9"/>
      <c r="AE383" s="9"/>
      <c r="AF383" s="9"/>
    </row>
    <row r="384">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row>
    <row r="38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c r="AC385" s="9"/>
      <c r="AD385" s="9"/>
      <c r="AE385" s="9"/>
      <c r="AF385" s="9"/>
    </row>
    <row r="386">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c r="AC386" s="9"/>
      <c r="AD386" s="9"/>
      <c r="AE386" s="9"/>
      <c r="AF386" s="9"/>
    </row>
    <row r="387">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c r="AC387" s="9"/>
      <c r="AD387" s="9"/>
      <c r="AE387" s="9"/>
      <c r="AF387" s="9"/>
    </row>
    <row r="388">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c r="AC388" s="9"/>
      <c r="AD388" s="9"/>
      <c r="AE388" s="9"/>
      <c r="AF388" s="9"/>
    </row>
    <row r="389">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c r="AC389" s="9"/>
      <c r="AD389" s="9"/>
      <c r="AE389" s="9"/>
      <c r="AF389" s="9"/>
    </row>
    <row r="390">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c r="AC390" s="9"/>
      <c r="AD390" s="9"/>
      <c r="AE390" s="9"/>
      <c r="AF390" s="9"/>
    </row>
    <row r="39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c r="AC391" s="9"/>
      <c r="AD391" s="9"/>
      <c r="AE391" s="9"/>
      <c r="AF391" s="9"/>
    </row>
    <row r="392">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c r="AC392" s="9"/>
      <c r="AD392" s="9"/>
      <c r="AE392" s="9"/>
      <c r="AF392" s="9"/>
    </row>
    <row r="393">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c r="AC393" s="9"/>
      <c r="AD393" s="9"/>
      <c r="AE393" s="9"/>
      <c r="AF393" s="9"/>
    </row>
    <row r="394">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c r="AC394" s="9"/>
      <c r="AD394" s="9"/>
      <c r="AE394" s="9"/>
      <c r="AF394" s="9"/>
    </row>
    <row r="39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c r="AC395" s="9"/>
      <c r="AD395" s="9"/>
      <c r="AE395" s="9"/>
      <c r="AF395" s="9"/>
    </row>
    <row r="396">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row>
    <row r="397">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9"/>
    </row>
    <row r="398">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row>
    <row r="399">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c r="AC399" s="9"/>
      <c r="AD399" s="9"/>
      <c r="AE399" s="9"/>
      <c r="AF399" s="9"/>
    </row>
    <row r="400">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c r="AC400" s="9"/>
      <c r="AD400" s="9"/>
      <c r="AE400" s="9"/>
      <c r="AF400" s="9"/>
    </row>
    <row r="40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c r="AC401" s="9"/>
      <c r="AD401" s="9"/>
      <c r="AE401" s="9"/>
      <c r="AF401" s="9"/>
    </row>
    <row r="402">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c r="AC402" s="9"/>
      <c r="AD402" s="9"/>
      <c r="AE402" s="9"/>
      <c r="AF402" s="9"/>
    </row>
    <row r="403">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c r="AC403" s="9"/>
      <c r="AD403" s="9"/>
      <c r="AE403" s="9"/>
      <c r="AF403" s="9"/>
    </row>
    <row r="404">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c r="AC404" s="9"/>
      <c r="AD404" s="9"/>
      <c r="AE404" s="9"/>
      <c r="AF404" s="9"/>
    </row>
    <row r="40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c r="AC405" s="9"/>
      <c r="AD405" s="9"/>
      <c r="AE405" s="9"/>
      <c r="AF405" s="9"/>
    </row>
    <row r="406">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c r="AC406" s="9"/>
      <c r="AD406" s="9"/>
      <c r="AE406" s="9"/>
      <c r="AF406" s="9"/>
    </row>
    <row r="407">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c r="AC407" s="9"/>
      <c r="AD407" s="9"/>
      <c r="AE407" s="9"/>
      <c r="AF407" s="9"/>
    </row>
    <row r="408">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c r="AC408" s="9"/>
      <c r="AD408" s="9"/>
      <c r="AE408" s="9"/>
      <c r="AF408" s="9"/>
    </row>
    <row r="409">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c r="AC409" s="9"/>
      <c r="AD409" s="9"/>
      <c r="AE409" s="9"/>
      <c r="AF409" s="9"/>
    </row>
    <row r="410">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c r="AC410" s="9"/>
      <c r="AD410" s="9"/>
      <c r="AE410" s="9"/>
      <c r="AF410" s="9"/>
    </row>
    <row r="41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c r="AC411" s="9"/>
      <c r="AD411" s="9"/>
      <c r="AE411" s="9"/>
      <c r="AF411" s="9"/>
    </row>
    <row r="412">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c r="AC412" s="9"/>
      <c r="AD412" s="9"/>
      <c r="AE412" s="9"/>
      <c r="AF412" s="9"/>
    </row>
    <row r="413">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c r="AC413" s="9"/>
      <c r="AD413" s="9"/>
      <c r="AE413" s="9"/>
      <c r="AF413" s="9"/>
    </row>
    <row r="414">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c r="AC414" s="9"/>
      <c r="AD414" s="9"/>
      <c r="AE414" s="9"/>
      <c r="AF414" s="9"/>
    </row>
    <row r="41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c r="AC415" s="9"/>
      <c r="AD415" s="9"/>
      <c r="AE415" s="9"/>
      <c r="AF415" s="9"/>
    </row>
    <row r="416">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c r="AC416" s="9"/>
      <c r="AD416" s="9"/>
      <c r="AE416" s="9"/>
      <c r="AF416" s="9"/>
    </row>
    <row r="417">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c r="AC417" s="9"/>
      <c r="AD417" s="9"/>
      <c r="AE417" s="9"/>
      <c r="AF417" s="9"/>
    </row>
    <row r="418">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c r="AC418" s="9"/>
      <c r="AD418" s="9"/>
      <c r="AE418" s="9"/>
      <c r="AF418" s="9"/>
    </row>
    <row r="419">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c r="AC419" s="9"/>
      <c r="AD419" s="9"/>
      <c r="AE419" s="9"/>
      <c r="AF419" s="9"/>
    </row>
    <row r="420">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c r="AC420" s="9"/>
      <c r="AD420" s="9"/>
      <c r="AE420" s="9"/>
      <c r="AF420" s="9"/>
    </row>
    <row r="42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c r="AC421" s="9"/>
      <c r="AD421" s="9"/>
      <c r="AE421" s="9"/>
      <c r="AF421" s="9"/>
    </row>
    <row r="422">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c r="AC422" s="9"/>
      <c r="AD422" s="9"/>
      <c r="AE422" s="9"/>
      <c r="AF422" s="9"/>
    </row>
    <row r="423">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c r="AC423" s="9"/>
      <c r="AD423" s="9"/>
      <c r="AE423" s="9"/>
      <c r="AF423" s="9"/>
    </row>
    <row r="424">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c r="AC424" s="9"/>
      <c r="AD424" s="9"/>
      <c r="AE424" s="9"/>
      <c r="AF424" s="9"/>
    </row>
    <row r="4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c r="AC425" s="9"/>
      <c r="AD425" s="9"/>
      <c r="AE425" s="9"/>
      <c r="AF425" s="9"/>
    </row>
    <row r="426">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c r="AC426" s="9"/>
      <c r="AD426" s="9"/>
      <c r="AE426" s="9"/>
      <c r="AF426" s="9"/>
    </row>
    <row r="427">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c r="AC427" s="9"/>
      <c r="AD427" s="9"/>
      <c r="AE427" s="9"/>
      <c r="AF427" s="9"/>
    </row>
    <row r="428">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c r="AC428" s="9"/>
      <c r="AD428" s="9"/>
      <c r="AE428" s="9"/>
      <c r="AF428" s="9"/>
    </row>
    <row r="429">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c r="AC429" s="9"/>
      <c r="AD429" s="9"/>
      <c r="AE429" s="9"/>
      <c r="AF429" s="9"/>
    </row>
    <row r="430">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c r="AC430" s="9"/>
      <c r="AD430" s="9"/>
      <c r="AE430" s="9"/>
      <c r="AF430" s="9"/>
    </row>
    <row r="43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c r="AC431" s="9"/>
      <c r="AD431" s="9"/>
      <c r="AE431" s="9"/>
      <c r="AF431" s="9"/>
    </row>
    <row r="432">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c r="AC432" s="9"/>
      <c r="AD432" s="9"/>
      <c r="AE432" s="9"/>
      <c r="AF432" s="9"/>
    </row>
    <row r="433">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c r="AC433" s="9"/>
      <c r="AD433" s="9"/>
      <c r="AE433" s="9"/>
      <c r="AF433" s="9"/>
    </row>
    <row r="434">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c r="AC434" s="9"/>
      <c r="AD434" s="9"/>
      <c r="AE434" s="9"/>
      <c r="AF434" s="9"/>
    </row>
    <row r="43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c r="AC435" s="9"/>
      <c r="AD435" s="9"/>
      <c r="AE435" s="9"/>
      <c r="AF435" s="9"/>
    </row>
    <row r="436">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c r="AC436" s="9"/>
      <c r="AD436" s="9"/>
      <c r="AE436" s="9"/>
      <c r="AF436" s="9"/>
    </row>
    <row r="437">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c r="AC437" s="9"/>
      <c r="AD437" s="9"/>
      <c r="AE437" s="9"/>
      <c r="AF437" s="9"/>
    </row>
    <row r="438">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c r="AC438" s="9"/>
      <c r="AD438" s="9"/>
      <c r="AE438" s="9"/>
      <c r="AF438" s="9"/>
    </row>
    <row r="439">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c r="AC439" s="9"/>
      <c r="AD439" s="9"/>
      <c r="AE439" s="9"/>
      <c r="AF439" s="9"/>
    </row>
    <row r="440">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c r="AC440" s="9"/>
      <c r="AD440" s="9"/>
      <c r="AE440" s="9"/>
      <c r="AF440" s="9"/>
    </row>
    <row r="44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c r="AC441" s="9"/>
      <c r="AD441" s="9"/>
      <c r="AE441" s="9"/>
      <c r="AF441" s="9"/>
    </row>
    <row r="442">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c r="AC442" s="9"/>
      <c r="AD442" s="9"/>
      <c r="AE442" s="9"/>
      <c r="AF442" s="9"/>
    </row>
    <row r="443">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c r="AC443" s="9"/>
      <c r="AD443" s="9"/>
      <c r="AE443" s="9"/>
      <c r="AF443" s="9"/>
    </row>
    <row r="444">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c r="AC444" s="9"/>
      <c r="AD444" s="9"/>
      <c r="AE444" s="9"/>
      <c r="AF444" s="9"/>
    </row>
    <row r="44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c r="AC445" s="9"/>
      <c r="AD445" s="9"/>
      <c r="AE445" s="9"/>
      <c r="AF445" s="9"/>
    </row>
    <row r="446">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c r="AC446" s="9"/>
      <c r="AD446" s="9"/>
      <c r="AE446" s="9"/>
      <c r="AF446" s="9"/>
    </row>
    <row r="447">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c r="AC447" s="9"/>
      <c r="AD447" s="9"/>
      <c r="AE447" s="9"/>
      <c r="AF447" s="9"/>
    </row>
    <row r="448">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c r="AC448" s="9"/>
      <c r="AD448" s="9"/>
      <c r="AE448" s="9"/>
      <c r="AF448" s="9"/>
    </row>
    <row r="449">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c r="AC449" s="9"/>
      <c r="AD449" s="9"/>
      <c r="AE449" s="9"/>
      <c r="AF449" s="9"/>
    </row>
    <row r="450">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c r="AC450" s="9"/>
      <c r="AD450" s="9"/>
      <c r="AE450" s="9"/>
      <c r="AF450" s="9"/>
    </row>
    <row r="45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c r="AC451" s="9"/>
      <c r="AD451" s="9"/>
      <c r="AE451" s="9"/>
      <c r="AF451" s="9"/>
    </row>
    <row r="452">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c r="AC452" s="9"/>
      <c r="AD452" s="9"/>
      <c r="AE452" s="9"/>
      <c r="AF452" s="9"/>
    </row>
    <row r="453">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c r="AC453" s="9"/>
      <c r="AD453" s="9"/>
      <c r="AE453" s="9"/>
      <c r="AF453" s="9"/>
    </row>
    <row r="454">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c r="AC454" s="9"/>
      <c r="AD454" s="9"/>
      <c r="AE454" s="9"/>
      <c r="AF454" s="9"/>
    </row>
    <row r="45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c r="AC455" s="9"/>
      <c r="AD455" s="9"/>
      <c r="AE455" s="9"/>
      <c r="AF455" s="9"/>
    </row>
    <row r="456">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c r="AC456" s="9"/>
      <c r="AD456" s="9"/>
      <c r="AE456" s="9"/>
      <c r="AF456" s="9"/>
    </row>
    <row r="457">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c r="AC457" s="9"/>
      <c r="AD457" s="9"/>
      <c r="AE457" s="9"/>
      <c r="AF457" s="9"/>
    </row>
    <row r="458">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c r="AC458" s="9"/>
      <c r="AD458" s="9"/>
      <c r="AE458" s="9"/>
      <c r="AF458" s="9"/>
    </row>
    <row r="459">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c r="AC459" s="9"/>
      <c r="AD459" s="9"/>
      <c r="AE459" s="9"/>
      <c r="AF459" s="9"/>
    </row>
    <row r="460">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c r="AC460" s="9"/>
      <c r="AD460" s="9"/>
      <c r="AE460" s="9"/>
      <c r="AF460" s="9"/>
    </row>
    <row r="46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c r="AC461" s="9"/>
      <c r="AD461" s="9"/>
      <c r="AE461" s="9"/>
      <c r="AF461" s="9"/>
    </row>
    <row r="462">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c r="AC462" s="9"/>
      <c r="AD462" s="9"/>
      <c r="AE462" s="9"/>
      <c r="AF462" s="9"/>
    </row>
    <row r="463">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c r="AC463" s="9"/>
      <c r="AD463" s="9"/>
      <c r="AE463" s="9"/>
      <c r="AF463" s="9"/>
    </row>
    <row r="464">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c r="AC464" s="9"/>
      <c r="AD464" s="9"/>
      <c r="AE464" s="9"/>
      <c r="AF464" s="9"/>
    </row>
    <row r="46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c r="AC465" s="9"/>
      <c r="AD465" s="9"/>
      <c r="AE465" s="9"/>
      <c r="AF465" s="9"/>
    </row>
    <row r="466">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c r="AC466" s="9"/>
      <c r="AD466" s="9"/>
      <c r="AE466" s="9"/>
      <c r="AF466" s="9"/>
    </row>
    <row r="467">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c r="AC467" s="9"/>
      <c r="AD467" s="9"/>
      <c r="AE467" s="9"/>
      <c r="AF467" s="9"/>
    </row>
    <row r="468">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c r="AC468" s="9"/>
      <c r="AD468" s="9"/>
      <c r="AE468" s="9"/>
      <c r="AF468" s="9"/>
    </row>
    <row r="469">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c r="AC469" s="9"/>
      <c r="AD469" s="9"/>
      <c r="AE469" s="9"/>
      <c r="AF469" s="9"/>
    </row>
    <row r="470">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c r="AC470" s="9"/>
      <c r="AD470" s="9"/>
      <c r="AE470" s="9"/>
      <c r="AF470" s="9"/>
    </row>
    <row r="47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c r="AC471" s="9"/>
      <c r="AD471" s="9"/>
      <c r="AE471" s="9"/>
      <c r="AF471" s="9"/>
    </row>
    <row r="472">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c r="AC472" s="9"/>
      <c r="AD472" s="9"/>
      <c r="AE472" s="9"/>
      <c r="AF472" s="9"/>
    </row>
    <row r="473">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c r="AC473" s="9"/>
      <c r="AD473" s="9"/>
      <c r="AE473" s="9"/>
      <c r="AF473" s="9"/>
    </row>
    <row r="474">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c r="AC474" s="9"/>
      <c r="AD474" s="9"/>
      <c r="AE474" s="9"/>
      <c r="AF474" s="9"/>
    </row>
    <row r="47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c r="AC475" s="9"/>
      <c r="AD475" s="9"/>
      <c r="AE475" s="9"/>
      <c r="AF475" s="9"/>
    </row>
    <row r="476">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c r="AC476" s="9"/>
      <c r="AD476" s="9"/>
      <c r="AE476" s="9"/>
      <c r="AF476" s="9"/>
    </row>
    <row r="477">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c r="AC477" s="9"/>
      <c r="AD477" s="9"/>
      <c r="AE477" s="9"/>
      <c r="AF477" s="9"/>
    </row>
    <row r="478">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c r="AC478" s="9"/>
      <c r="AD478" s="9"/>
      <c r="AE478" s="9"/>
      <c r="AF478" s="9"/>
    </row>
    <row r="479">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c r="AC479" s="9"/>
      <c r="AD479" s="9"/>
      <c r="AE479" s="9"/>
      <c r="AF479" s="9"/>
    </row>
    <row r="480">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c r="AC480" s="9"/>
      <c r="AD480" s="9"/>
      <c r="AE480" s="9"/>
      <c r="AF480" s="9"/>
    </row>
    <row r="48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c r="AC481" s="9"/>
      <c r="AD481" s="9"/>
      <c r="AE481" s="9"/>
      <c r="AF481" s="9"/>
    </row>
    <row r="482">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c r="AC482" s="9"/>
      <c r="AD482" s="9"/>
      <c r="AE482" s="9"/>
      <c r="AF482" s="9"/>
    </row>
    <row r="483">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c r="AC483" s="9"/>
      <c r="AD483" s="9"/>
      <c r="AE483" s="9"/>
      <c r="AF483" s="9"/>
    </row>
    <row r="484">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c r="AC484" s="9"/>
      <c r="AD484" s="9"/>
      <c r="AE484" s="9"/>
      <c r="AF484" s="9"/>
    </row>
    <row r="48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c r="AC485" s="9"/>
      <c r="AD485" s="9"/>
      <c r="AE485" s="9"/>
      <c r="AF485" s="9"/>
    </row>
    <row r="486">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c r="AC486" s="9"/>
      <c r="AD486" s="9"/>
      <c r="AE486" s="9"/>
      <c r="AF486" s="9"/>
    </row>
    <row r="487">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c r="AC487" s="9"/>
      <c r="AD487" s="9"/>
      <c r="AE487" s="9"/>
      <c r="AF487" s="9"/>
    </row>
    <row r="488">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c r="AC488" s="9"/>
      <c r="AD488" s="9"/>
      <c r="AE488" s="9"/>
      <c r="AF488" s="9"/>
    </row>
    <row r="489">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c r="AC489" s="9"/>
      <c r="AD489" s="9"/>
      <c r="AE489" s="9"/>
      <c r="AF489" s="9"/>
    </row>
    <row r="490">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c r="AC490" s="9"/>
      <c r="AD490" s="9"/>
      <c r="AE490" s="9"/>
      <c r="AF490" s="9"/>
    </row>
    <row r="49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c r="AC491" s="9"/>
      <c r="AD491" s="9"/>
      <c r="AE491" s="9"/>
      <c r="AF491" s="9"/>
    </row>
    <row r="492">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c r="AC492" s="9"/>
      <c r="AD492" s="9"/>
      <c r="AE492" s="9"/>
      <c r="AF492" s="9"/>
    </row>
    <row r="493">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c r="AC493" s="9"/>
      <c r="AD493" s="9"/>
      <c r="AE493" s="9"/>
      <c r="AF493" s="9"/>
    </row>
    <row r="494">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c r="AC494" s="9"/>
      <c r="AD494" s="9"/>
      <c r="AE494" s="9"/>
      <c r="AF494" s="9"/>
    </row>
    <row r="49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c r="AC495" s="9"/>
      <c r="AD495" s="9"/>
      <c r="AE495" s="9"/>
      <c r="AF495" s="9"/>
    </row>
    <row r="496">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c r="AC496" s="9"/>
      <c r="AD496" s="9"/>
      <c r="AE496" s="9"/>
      <c r="AF496" s="9"/>
    </row>
    <row r="497">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c r="AC497" s="9"/>
      <c r="AD497" s="9"/>
      <c r="AE497" s="9"/>
      <c r="AF497" s="9"/>
    </row>
    <row r="498">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c r="AC498" s="9"/>
      <c r="AD498" s="9"/>
      <c r="AE498" s="9"/>
      <c r="AF498" s="9"/>
    </row>
    <row r="499">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c r="AC499" s="9"/>
      <c r="AD499" s="9"/>
      <c r="AE499" s="9"/>
      <c r="AF499" s="9"/>
    </row>
    <row r="500">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c r="AC500" s="9"/>
      <c r="AD500" s="9"/>
      <c r="AE500" s="9"/>
      <c r="AF500" s="9"/>
    </row>
    <row r="50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c r="AC501" s="9"/>
      <c r="AD501" s="9"/>
      <c r="AE501" s="9"/>
      <c r="AF501" s="9"/>
    </row>
    <row r="502">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c r="AC502" s="9"/>
      <c r="AD502" s="9"/>
      <c r="AE502" s="9"/>
      <c r="AF502" s="9"/>
    </row>
    <row r="503">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c r="AC503" s="9"/>
      <c r="AD503" s="9"/>
      <c r="AE503" s="9"/>
      <c r="AF503" s="9"/>
    </row>
    <row r="504">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c r="AC504" s="9"/>
      <c r="AD504" s="9"/>
      <c r="AE504" s="9"/>
      <c r="AF504" s="9"/>
    </row>
    <row r="50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c r="AC505" s="9"/>
      <c r="AD505" s="9"/>
      <c r="AE505" s="9"/>
      <c r="AF505" s="9"/>
    </row>
    <row r="506">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c r="AC506" s="9"/>
      <c r="AD506" s="9"/>
      <c r="AE506" s="9"/>
      <c r="AF506" s="9"/>
    </row>
    <row r="507">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c r="AC507" s="9"/>
      <c r="AD507" s="9"/>
      <c r="AE507" s="9"/>
      <c r="AF507" s="9"/>
    </row>
    <row r="508">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c r="AC508" s="9"/>
      <c r="AD508" s="9"/>
      <c r="AE508" s="9"/>
      <c r="AF508" s="9"/>
    </row>
    <row r="509">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c r="AC509" s="9"/>
      <c r="AD509" s="9"/>
      <c r="AE509" s="9"/>
      <c r="AF509" s="9"/>
    </row>
    <row r="510">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c r="AC510" s="9"/>
      <c r="AD510" s="9"/>
      <c r="AE510" s="9"/>
      <c r="AF510" s="9"/>
    </row>
    <row r="51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c r="AC511" s="9"/>
      <c r="AD511" s="9"/>
      <c r="AE511" s="9"/>
      <c r="AF511" s="9"/>
    </row>
    <row r="512">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c r="AC512" s="9"/>
      <c r="AD512" s="9"/>
      <c r="AE512" s="9"/>
      <c r="AF512" s="9"/>
    </row>
    <row r="513">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c r="AC513" s="9"/>
      <c r="AD513" s="9"/>
      <c r="AE513" s="9"/>
      <c r="AF513" s="9"/>
    </row>
    <row r="514">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c r="AC514" s="9"/>
      <c r="AD514" s="9"/>
      <c r="AE514" s="9"/>
      <c r="AF514" s="9"/>
    </row>
    <row r="51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c r="AC515" s="9"/>
      <c r="AD515" s="9"/>
      <c r="AE515" s="9"/>
      <c r="AF515" s="9"/>
    </row>
    <row r="516">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c r="AC516" s="9"/>
      <c r="AD516" s="9"/>
      <c r="AE516" s="9"/>
      <c r="AF516" s="9"/>
    </row>
    <row r="517">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c r="AC517" s="9"/>
      <c r="AD517" s="9"/>
      <c r="AE517" s="9"/>
      <c r="AF517" s="9"/>
    </row>
    <row r="518">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c r="AC518" s="9"/>
      <c r="AD518" s="9"/>
      <c r="AE518" s="9"/>
      <c r="AF518" s="9"/>
    </row>
    <row r="519">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c r="AC519" s="9"/>
      <c r="AD519" s="9"/>
      <c r="AE519" s="9"/>
      <c r="AF519" s="9"/>
    </row>
    <row r="520">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c r="AC520" s="9"/>
      <c r="AD520" s="9"/>
      <c r="AE520" s="9"/>
      <c r="AF520" s="9"/>
    </row>
    <row r="52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c r="AC521" s="9"/>
      <c r="AD521" s="9"/>
      <c r="AE521" s="9"/>
      <c r="AF521" s="9"/>
    </row>
    <row r="522">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c r="AC522" s="9"/>
      <c r="AD522" s="9"/>
      <c r="AE522" s="9"/>
      <c r="AF522" s="9"/>
    </row>
    <row r="523">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c r="AC523" s="9"/>
      <c r="AD523" s="9"/>
      <c r="AE523" s="9"/>
      <c r="AF523" s="9"/>
    </row>
    <row r="524">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c r="AC524" s="9"/>
      <c r="AD524" s="9"/>
      <c r="AE524" s="9"/>
      <c r="AF524" s="9"/>
    </row>
    <row r="5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c r="AC525" s="9"/>
      <c r="AD525" s="9"/>
      <c r="AE525" s="9"/>
      <c r="AF525" s="9"/>
    </row>
    <row r="526">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c r="AC526" s="9"/>
      <c r="AD526" s="9"/>
      <c r="AE526" s="9"/>
      <c r="AF526" s="9"/>
    </row>
    <row r="527">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c r="AC527" s="9"/>
      <c r="AD527" s="9"/>
      <c r="AE527" s="9"/>
      <c r="AF527" s="9"/>
    </row>
    <row r="528">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c r="AC528" s="9"/>
      <c r="AD528" s="9"/>
      <c r="AE528" s="9"/>
      <c r="AF528" s="9"/>
    </row>
    <row r="529">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c r="AC529" s="9"/>
      <c r="AD529" s="9"/>
      <c r="AE529" s="9"/>
      <c r="AF529" s="9"/>
    </row>
    <row r="530">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c r="AC530" s="9"/>
      <c r="AD530" s="9"/>
      <c r="AE530" s="9"/>
      <c r="AF530" s="9"/>
    </row>
    <row r="53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c r="AC531" s="9"/>
      <c r="AD531" s="9"/>
      <c r="AE531" s="9"/>
      <c r="AF531" s="9"/>
    </row>
    <row r="532">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c r="AC532" s="9"/>
      <c r="AD532" s="9"/>
      <c r="AE532" s="9"/>
      <c r="AF532" s="9"/>
    </row>
    <row r="533">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c r="AC533" s="9"/>
      <c r="AD533" s="9"/>
      <c r="AE533" s="9"/>
      <c r="AF533" s="9"/>
    </row>
    <row r="534">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c r="AC534" s="9"/>
      <c r="AD534" s="9"/>
      <c r="AE534" s="9"/>
      <c r="AF534" s="9"/>
    </row>
    <row r="53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c r="AC535" s="9"/>
      <c r="AD535" s="9"/>
      <c r="AE535" s="9"/>
      <c r="AF535" s="9"/>
    </row>
    <row r="536">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c r="AC536" s="9"/>
      <c r="AD536" s="9"/>
      <c r="AE536" s="9"/>
      <c r="AF536" s="9"/>
    </row>
    <row r="537">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c r="AC537" s="9"/>
      <c r="AD537" s="9"/>
      <c r="AE537" s="9"/>
      <c r="AF537" s="9"/>
    </row>
    <row r="538">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c r="AC538" s="9"/>
      <c r="AD538" s="9"/>
      <c r="AE538" s="9"/>
      <c r="AF538" s="9"/>
    </row>
    <row r="539">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c r="AC539" s="9"/>
      <c r="AD539" s="9"/>
      <c r="AE539" s="9"/>
      <c r="AF539" s="9"/>
    </row>
    <row r="540">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c r="AC540" s="9"/>
      <c r="AD540" s="9"/>
      <c r="AE540" s="9"/>
      <c r="AF540" s="9"/>
    </row>
    <row r="54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c r="AC541" s="9"/>
      <c r="AD541" s="9"/>
      <c r="AE541" s="9"/>
      <c r="AF541" s="9"/>
    </row>
    <row r="542">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c r="AC542" s="9"/>
      <c r="AD542" s="9"/>
      <c r="AE542" s="9"/>
      <c r="AF542" s="9"/>
    </row>
    <row r="543">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c r="AC543" s="9"/>
      <c r="AD543" s="9"/>
      <c r="AE543" s="9"/>
      <c r="AF543" s="9"/>
    </row>
    <row r="544">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c r="AC544" s="9"/>
      <c r="AD544" s="9"/>
      <c r="AE544" s="9"/>
      <c r="AF544" s="9"/>
    </row>
    <row r="54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c r="AC545" s="9"/>
      <c r="AD545" s="9"/>
      <c r="AE545" s="9"/>
      <c r="AF545" s="9"/>
    </row>
    <row r="546">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c r="AC546" s="9"/>
      <c r="AD546" s="9"/>
      <c r="AE546" s="9"/>
      <c r="AF546" s="9"/>
    </row>
    <row r="547">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c r="AC547" s="9"/>
      <c r="AD547" s="9"/>
      <c r="AE547" s="9"/>
      <c r="AF547" s="9"/>
    </row>
    <row r="548">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c r="AC548" s="9"/>
      <c r="AD548" s="9"/>
      <c r="AE548" s="9"/>
      <c r="AF548" s="9"/>
    </row>
    <row r="549">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c r="AC549" s="9"/>
      <c r="AD549" s="9"/>
      <c r="AE549" s="9"/>
      <c r="AF549" s="9"/>
    </row>
    <row r="550">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c r="AC550" s="9"/>
      <c r="AD550" s="9"/>
      <c r="AE550" s="9"/>
      <c r="AF550" s="9"/>
    </row>
    <row r="55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c r="AC551" s="9"/>
      <c r="AD551" s="9"/>
      <c r="AE551" s="9"/>
      <c r="AF551" s="9"/>
    </row>
    <row r="552">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c r="AC552" s="9"/>
      <c r="AD552" s="9"/>
      <c r="AE552" s="9"/>
      <c r="AF552" s="9"/>
    </row>
    <row r="553">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c r="AC553" s="9"/>
      <c r="AD553" s="9"/>
      <c r="AE553" s="9"/>
      <c r="AF553" s="9"/>
    </row>
    <row r="554">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c r="AC554" s="9"/>
      <c r="AD554" s="9"/>
      <c r="AE554" s="9"/>
      <c r="AF554" s="9"/>
    </row>
    <row r="55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c r="AC555" s="9"/>
      <c r="AD555" s="9"/>
      <c r="AE555" s="9"/>
      <c r="AF555" s="9"/>
    </row>
    <row r="556">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c r="AC556" s="9"/>
      <c r="AD556" s="9"/>
      <c r="AE556" s="9"/>
      <c r="AF556" s="9"/>
    </row>
    <row r="557">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c r="AC557" s="9"/>
      <c r="AD557" s="9"/>
      <c r="AE557" s="9"/>
      <c r="AF557" s="9"/>
    </row>
    <row r="558">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c r="AC558" s="9"/>
      <c r="AD558" s="9"/>
      <c r="AE558" s="9"/>
      <c r="AF558" s="9"/>
    </row>
    <row r="559">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c r="AC559" s="9"/>
      <c r="AD559" s="9"/>
      <c r="AE559" s="9"/>
      <c r="AF559" s="9"/>
    </row>
    <row r="560">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c r="AC560" s="9"/>
      <c r="AD560" s="9"/>
      <c r="AE560" s="9"/>
      <c r="AF560" s="9"/>
    </row>
    <row r="56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c r="AC561" s="9"/>
      <c r="AD561" s="9"/>
      <c r="AE561" s="9"/>
      <c r="AF561" s="9"/>
    </row>
    <row r="562">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c r="AC562" s="9"/>
      <c r="AD562" s="9"/>
      <c r="AE562" s="9"/>
      <c r="AF562" s="9"/>
    </row>
    <row r="563">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c r="AC563" s="9"/>
      <c r="AD563" s="9"/>
      <c r="AE563" s="9"/>
      <c r="AF563" s="9"/>
    </row>
    <row r="564">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c r="AC564" s="9"/>
      <c r="AD564" s="9"/>
      <c r="AE564" s="9"/>
      <c r="AF564" s="9"/>
    </row>
    <row r="56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c r="AC565" s="9"/>
      <c r="AD565" s="9"/>
      <c r="AE565" s="9"/>
      <c r="AF565" s="9"/>
    </row>
    <row r="566">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c r="AC566" s="9"/>
      <c r="AD566" s="9"/>
      <c r="AE566" s="9"/>
      <c r="AF566" s="9"/>
    </row>
    <row r="567">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c r="AC567" s="9"/>
      <c r="AD567" s="9"/>
      <c r="AE567" s="9"/>
      <c r="AF567" s="9"/>
    </row>
    <row r="568">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c r="AC568" s="9"/>
      <c r="AD568" s="9"/>
      <c r="AE568" s="9"/>
      <c r="AF568" s="9"/>
    </row>
    <row r="569">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c r="AC569" s="9"/>
      <c r="AD569" s="9"/>
      <c r="AE569" s="9"/>
      <c r="AF569" s="9"/>
    </row>
    <row r="570">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c r="AC570" s="9"/>
      <c r="AD570" s="9"/>
      <c r="AE570" s="9"/>
      <c r="AF570" s="9"/>
    </row>
    <row r="57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c r="AC571" s="9"/>
      <c r="AD571" s="9"/>
      <c r="AE571" s="9"/>
      <c r="AF571" s="9"/>
    </row>
    <row r="572">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c r="AC572" s="9"/>
      <c r="AD572" s="9"/>
      <c r="AE572" s="9"/>
      <c r="AF572" s="9"/>
    </row>
    <row r="573">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c r="AC573" s="9"/>
      <c r="AD573" s="9"/>
      <c r="AE573" s="9"/>
      <c r="AF573" s="9"/>
    </row>
    <row r="574">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c r="AC574" s="9"/>
      <c r="AD574" s="9"/>
      <c r="AE574" s="9"/>
      <c r="AF574" s="9"/>
    </row>
    <row r="57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c r="AC575" s="9"/>
      <c r="AD575" s="9"/>
      <c r="AE575" s="9"/>
      <c r="AF575" s="9"/>
    </row>
    <row r="576">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c r="AC576" s="9"/>
      <c r="AD576" s="9"/>
      <c r="AE576" s="9"/>
      <c r="AF576" s="9"/>
    </row>
    <row r="577">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c r="AC577" s="9"/>
      <c r="AD577" s="9"/>
      <c r="AE577" s="9"/>
      <c r="AF577" s="9"/>
    </row>
    <row r="578">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c r="AC578" s="9"/>
      <c r="AD578" s="9"/>
      <c r="AE578" s="9"/>
      <c r="AF578" s="9"/>
    </row>
    <row r="579">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c r="AC579" s="9"/>
      <c r="AD579" s="9"/>
      <c r="AE579" s="9"/>
      <c r="AF579" s="9"/>
    </row>
    <row r="580">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c r="AC580" s="9"/>
      <c r="AD580" s="9"/>
      <c r="AE580" s="9"/>
      <c r="AF580" s="9"/>
    </row>
    <row r="58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c r="AC581" s="9"/>
      <c r="AD581" s="9"/>
      <c r="AE581" s="9"/>
      <c r="AF581" s="9"/>
    </row>
    <row r="582">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c r="AC582" s="9"/>
      <c r="AD582" s="9"/>
      <c r="AE582" s="9"/>
      <c r="AF582" s="9"/>
    </row>
    <row r="583">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c r="AC583" s="9"/>
      <c r="AD583" s="9"/>
      <c r="AE583" s="9"/>
      <c r="AF583" s="9"/>
    </row>
    <row r="584">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c r="AC584" s="9"/>
      <c r="AD584" s="9"/>
      <c r="AE584" s="9"/>
      <c r="AF584" s="9"/>
    </row>
    <row r="58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c r="AC585" s="9"/>
      <c r="AD585" s="9"/>
      <c r="AE585" s="9"/>
      <c r="AF585" s="9"/>
    </row>
    <row r="586">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c r="AC586" s="9"/>
      <c r="AD586" s="9"/>
      <c r="AE586" s="9"/>
      <c r="AF586" s="9"/>
    </row>
    <row r="587">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c r="AC587" s="9"/>
      <c r="AD587" s="9"/>
      <c r="AE587" s="9"/>
      <c r="AF587" s="9"/>
    </row>
    <row r="588">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c r="AC588" s="9"/>
      <c r="AD588" s="9"/>
      <c r="AE588" s="9"/>
      <c r="AF588" s="9"/>
    </row>
    <row r="589">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c r="AC589" s="9"/>
      <c r="AD589" s="9"/>
      <c r="AE589" s="9"/>
      <c r="AF589" s="9"/>
    </row>
    <row r="590">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c r="AC590" s="9"/>
      <c r="AD590" s="9"/>
      <c r="AE590" s="9"/>
      <c r="AF590" s="9"/>
    </row>
    <row r="59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c r="AC591" s="9"/>
      <c r="AD591" s="9"/>
      <c r="AE591" s="9"/>
      <c r="AF591" s="9"/>
    </row>
    <row r="592">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c r="AC592" s="9"/>
      <c r="AD592" s="9"/>
      <c r="AE592" s="9"/>
      <c r="AF592" s="9"/>
    </row>
    <row r="593">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c r="AC593" s="9"/>
      <c r="AD593" s="9"/>
      <c r="AE593" s="9"/>
      <c r="AF593" s="9"/>
    </row>
    <row r="594">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c r="AC594" s="9"/>
      <c r="AD594" s="9"/>
      <c r="AE594" s="9"/>
      <c r="AF594" s="9"/>
    </row>
    <row r="59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c r="AC595" s="9"/>
      <c r="AD595" s="9"/>
      <c r="AE595" s="9"/>
      <c r="AF595" s="9"/>
    </row>
    <row r="596">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c r="AC596" s="9"/>
      <c r="AD596" s="9"/>
      <c r="AE596" s="9"/>
      <c r="AF596" s="9"/>
    </row>
    <row r="597">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c r="AC597" s="9"/>
      <c r="AD597" s="9"/>
      <c r="AE597" s="9"/>
      <c r="AF597" s="9"/>
    </row>
    <row r="598">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c r="AC598" s="9"/>
      <c r="AD598" s="9"/>
      <c r="AE598" s="9"/>
      <c r="AF598" s="9"/>
    </row>
    <row r="599">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c r="AC599" s="9"/>
      <c r="AD599" s="9"/>
      <c r="AE599" s="9"/>
      <c r="AF599" s="9"/>
    </row>
    <row r="600">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c r="AC600" s="9"/>
      <c r="AD600" s="9"/>
      <c r="AE600" s="9"/>
      <c r="AF600" s="9"/>
    </row>
    <row r="60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c r="AC601" s="9"/>
      <c r="AD601" s="9"/>
      <c r="AE601" s="9"/>
      <c r="AF601" s="9"/>
    </row>
    <row r="602">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c r="AC602" s="9"/>
      <c r="AD602" s="9"/>
      <c r="AE602" s="9"/>
      <c r="AF602" s="9"/>
    </row>
    <row r="603">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c r="AC603" s="9"/>
      <c r="AD603" s="9"/>
      <c r="AE603" s="9"/>
      <c r="AF603" s="9"/>
    </row>
    <row r="604">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c r="AC604" s="9"/>
      <c r="AD604" s="9"/>
      <c r="AE604" s="9"/>
      <c r="AF604" s="9"/>
    </row>
    <row r="60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c r="AC605" s="9"/>
      <c r="AD605" s="9"/>
      <c r="AE605" s="9"/>
      <c r="AF605" s="9"/>
    </row>
    <row r="606">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c r="AC606" s="9"/>
      <c r="AD606" s="9"/>
      <c r="AE606" s="9"/>
      <c r="AF606" s="9"/>
    </row>
    <row r="607">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c r="AC607" s="9"/>
      <c r="AD607" s="9"/>
      <c r="AE607" s="9"/>
      <c r="AF607" s="9"/>
    </row>
    <row r="608">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c r="AC608" s="9"/>
      <c r="AD608" s="9"/>
      <c r="AE608" s="9"/>
      <c r="AF608" s="9"/>
    </row>
    <row r="609">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c r="AC609" s="9"/>
      <c r="AD609" s="9"/>
      <c r="AE609" s="9"/>
      <c r="AF609" s="9"/>
    </row>
    <row r="610">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c r="AC610" s="9"/>
      <c r="AD610" s="9"/>
      <c r="AE610" s="9"/>
      <c r="AF610" s="9"/>
    </row>
    <row r="61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c r="AC611" s="9"/>
      <c r="AD611" s="9"/>
      <c r="AE611" s="9"/>
      <c r="AF611" s="9"/>
    </row>
    <row r="612">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c r="AC612" s="9"/>
      <c r="AD612" s="9"/>
      <c r="AE612" s="9"/>
      <c r="AF612" s="9"/>
    </row>
    <row r="613">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c r="AC613" s="9"/>
      <c r="AD613" s="9"/>
      <c r="AE613" s="9"/>
      <c r="AF613" s="9"/>
    </row>
    <row r="614">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c r="AC614" s="9"/>
      <c r="AD614" s="9"/>
      <c r="AE614" s="9"/>
      <c r="AF614" s="9"/>
    </row>
    <row r="61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c r="AC615" s="9"/>
      <c r="AD615" s="9"/>
      <c r="AE615" s="9"/>
      <c r="AF615" s="9"/>
    </row>
    <row r="616">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c r="AC616" s="9"/>
      <c r="AD616" s="9"/>
      <c r="AE616" s="9"/>
      <c r="AF616" s="9"/>
    </row>
    <row r="617">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c r="AC617" s="9"/>
      <c r="AD617" s="9"/>
      <c r="AE617" s="9"/>
      <c r="AF617" s="9"/>
    </row>
    <row r="618">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c r="AC618" s="9"/>
      <c r="AD618" s="9"/>
      <c r="AE618" s="9"/>
      <c r="AF618" s="9"/>
    </row>
    <row r="619">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c r="AC619" s="9"/>
      <c r="AD619" s="9"/>
      <c r="AE619" s="9"/>
      <c r="AF619" s="9"/>
    </row>
    <row r="620">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c r="AC620" s="9"/>
      <c r="AD620" s="9"/>
      <c r="AE620" s="9"/>
      <c r="AF620" s="9"/>
    </row>
    <row r="62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c r="AC621" s="9"/>
      <c r="AD621" s="9"/>
      <c r="AE621" s="9"/>
      <c r="AF621" s="9"/>
    </row>
    <row r="622">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c r="AC622" s="9"/>
      <c r="AD622" s="9"/>
      <c r="AE622" s="9"/>
      <c r="AF622" s="9"/>
    </row>
    <row r="623">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c r="AC623" s="9"/>
      <c r="AD623" s="9"/>
      <c r="AE623" s="9"/>
      <c r="AF623" s="9"/>
    </row>
    <row r="624">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c r="AC624" s="9"/>
      <c r="AD624" s="9"/>
      <c r="AE624" s="9"/>
      <c r="AF624" s="9"/>
    </row>
    <row r="6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c r="AC625" s="9"/>
      <c r="AD625" s="9"/>
      <c r="AE625" s="9"/>
      <c r="AF625" s="9"/>
    </row>
    <row r="626">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c r="AC626" s="9"/>
      <c r="AD626" s="9"/>
      <c r="AE626" s="9"/>
      <c r="AF626" s="9"/>
    </row>
    <row r="627">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c r="AC627" s="9"/>
      <c r="AD627" s="9"/>
      <c r="AE627" s="9"/>
      <c r="AF627" s="9"/>
    </row>
    <row r="628">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c r="AC628" s="9"/>
      <c r="AD628" s="9"/>
      <c r="AE628" s="9"/>
      <c r="AF628" s="9"/>
    </row>
    <row r="629">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c r="AC629" s="9"/>
      <c r="AD629" s="9"/>
      <c r="AE629" s="9"/>
      <c r="AF629" s="9"/>
    </row>
    <row r="630">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c r="AC630" s="9"/>
      <c r="AD630" s="9"/>
      <c r="AE630" s="9"/>
      <c r="AF630" s="9"/>
    </row>
    <row r="63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c r="AC631" s="9"/>
      <c r="AD631" s="9"/>
      <c r="AE631" s="9"/>
      <c r="AF631" s="9"/>
    </row>
    <row r="632">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c r="AC632" s="9"/>
      <c r="AD632" s="9"/>
      <c r="AE632" s="9"/>
      <c r="AF632" s="9"/>
    </row>
    <row r="633">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c r="AC633" s="9"/>
      <c r="AD633" s="9"/>
      <c r="AE633" s="9"/>
      <c r="AF633" s="9"/>
    </row>
    <row r="634">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c r="AC634" s="9"/>
      <c r="AD634" s="9"/>
      <c r="AE634" s="9"/>
      <c r="AF634" s="9"/>
    </row>
    <row r="63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c r="AC635" s="9"/>
      <c r="AD635" s="9"/>
      <c r="AE635" s="9"/>
      <c r="AF635" s="9"/>
    </row>
    <row r="636">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c r="AC636" s="9"/>
      <c r="AD636" s="9"/>
      <c r="AE636" s="9"/>
      <c r="AF636" s="9"/>
    </row>
    <row r="637">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c r="AC637" s="9"/>
      <c r="AD637" s="9"/>
      <c r="AE637" s="9"/>
      <c r="AF637" s="9"/>
    </row>
    <row r="638">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c r="AC638" s="9"/>
      <c r="AD638" s="9"/>
      <c r="AE638" s="9"/>
      <c r="AF638" s="9"/>
    </row>
    <row r="639">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c r="AC639" s="9"/>
      <c r="AD639" s="9"/>
      <c r="AE639" s="9"/>
      <c r="AF639" s="9"/>
    </row>
    <row r="640">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c r="AC640" s="9"/>
      <c r="AD640" s="9"/>
      <c r="AE640" s="9"/>
      <c r="AF640" s="9"/>
    </row>
    <row r="64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c r="AC641" s="9"/>
      <c r="AD641" s="9"/>
      <c r="AE641" s="9"/>
      <c r="AF641" s="9"/>
    </row>
    <row r="642">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c r="AC642" s="9"/>
      <c r="AD642" s="9"/>
      <c r="AE642" s="9"/>
      <c r="AF642" s="9"/>
    </row>
    <row r="643">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c r="AC643" s="9"/>
      <c r="AD643" s="9"/>
      <c r="AE643" s="9"/>
      <c r="AF643" s="9"/>
    </row>
    <row r="644">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c r="AC644" s="9"/>
      <c r="AD644" s="9"/>
      <c r="AE644" s="9"/>
      <c r="AF644" s="9"/>
    </row>
    <row r="64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c r="AC645" s="9"/>
      <c r="AD645" s="9"/>
      <c r="AE645" s="9"/>
      <c r="AF645" s="9"/>
    </row>
    <row r="646">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c r="AC646" s="9"/>
      <c r="AD646" s="9"/>
      <c r="AE646" s="9"/>
      <c r="AF646" s="9"/>
    </row>
    <row r="647">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c r="AC647" s="9"/>
      <c r="AD647" s="9"/>
      <c r="AE647" s="9"/>
      <c r="AF647" s="9"/>
    </row>
    <row r="648">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c r="AC648" s="9"/>
      <c r="AD648" s="9"/>
      <c r="AE648" s="9"/>
      <c r="AF648" s="9"/>
    </row>
    <row r="649">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c r="AC649" s="9"/>
      <c r="AD649" s="9"/>
      <c r="AE649" s="9"/>
      <c r="AF649" s="9"/>
    </row>
    <row r="650">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c r="AC650" s="9"/>
      <c r="AD650" s="9"/>
      <c r="AE650" s="9"/>
      <c r="AF650" s="9"/>
    </row>
    <row r="65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c r="AC651" s="9"/>
      <c r="AD651" s="9"/>
      <c r="AE651" s="9"/>
      <c r="AF651" s="9"/>
    </row>
    <row r="652">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c r="AC652" s="9"/>
      <c r="AD652" s="9"/>
      <c r="AE652" s="9"/>
      <c r="AF652" s="9"/>
    </row>
    <row r="653">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c r="AC653" s="9"/>
      <c r="AD653" s="9"/>
      <c r="AE653" s="9"/>
      <c r="AF653" s="9"/>
    </row>
    <row r="654">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c r="AC654" s="9"/>
      <c r="AD654" s="9"/>
      <c r="AE654" s="9"/>
      <c r="AF654" s="9"/>
    </row>
    <row r="65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c r="AC655" s="9"/>
      <c r="AD655" s="9"/>
      <c r="AE655" s="9"/>
      <c r="AF655" s="9"/>
    </row>
    <row r="656">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c r="AC656" s="9"/>
      <c r="AD656" s="9"/>
      <c r="AE656" s="9"/>
      <c r="AF656" s="9"/>
    </row>
    <row r="657">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c r="AC657" s="9"/>
      <c r="AD657" s="9"/>
      <c r="AE657" s="9"/>
      <c r="AF657" s="9"/>
    </row>
    <row r="658">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c r="AC658" s="9"/>
      <c r="AD658" s="9"/>
      <c r="AE658" s="9"/>
      <c r="AF658" s="9"/>
    </row>
    <row r="659">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c r="AC659" s="9"/>
      <c r="AD659" s="9"/>
      <c r="AE659" s="9"/>
      <c r="AF659" s="9"/>
    </row>
    <row r="660">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c r="AC660" s="9"/>
      <c r="AD660" s="9"/>
      <c r="AE660" s="9"/>
      <c r="AF660" s="9"/>
    </row>
    <row r="66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c r="AC661" s="9"/>
      <c r="AD661" s="9"/>
      <c r="AE661" s="9"/>
      <c r="AF661" s="9"/>
    </row>
    <row r="662">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c r="AC662" s="9"/>
      <c r="AD662" s="9"/>
      <c r="AE662" s="9"/>
      <c r="AF662" s="9"/>
    </row>
    <row r="663">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c r="AC663" s="9"/>
      <c r="AD663" s="9"/>
      <c r="AE663" s="9"/>
      <c r="AF663" s="9"/>
    </row>
    <row r="664">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c r="AC664" s="9"/>
      <c r="AD664" s="9"/>
      <c r="AE664" s="9"/>
      <c r="AF664" s="9"/>
    </row>
    <row r="66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c r="AC665" s="9"/>
      <c r="AD665" s="9"/>
      <c r="AE665" s="9"/>
      <c r="AF665" s="9"/>
    </row>
    <row r="666">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c r="AC666" s="9"/>
      <c r="AD666" s="9"/>
      <c r="AE666" s="9"/>
      <c r="AF666" s="9"/>
    </row>
    <row r="667">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c r="AC667" s="9"/>
      <c r="AD667" s="9"/>
      <c r="AE667" s="9"/>
      <c r="AF667" s="9"/>
    </row>
    <row r="668">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c r="AC668" s="9"/>
      <c r="AD668" s="9"/>
      <c r="AE668" s="9"/>
      <c r="AF668" s="9"/>
    </row>
    <row r="669">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c r="AC669" s="9"/>
      <c r="AD669" s="9"/>
      <c r="AE669" s="9"/>
      <c r="AF669" s="9"/>
    </row>
    <row r="670">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c r="AC670" s="9"/>
      <c r="AD670" s="9"/>
      <c r="AE670" s="9"/>
      <c r="AF670" s="9"/>
    </row>
    <row r="67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c r="AC671" s="9"/>
      <c r="AD671" s="9"/>
      <c r="AE671" s="9"/>
      <c r="AF671" s="9"/>
    </row>
    <row r="672">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c r="AC672" s="9"/>
      <c r="AD672" s="9"/>
      <c r="AE672" s="9"/>
      <c r="AF672" s="9"/>
    </row>
    <row r="673">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c r="AC673" s="9"/>
      <c r="AD673" s="9"/>
      <c r="AE673" s="9"/>
      <c r="AF673" s="9"/>
    </row>
    <row r="674">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c r="AC674" s="9"/>
      <c r="AD674" s="9"/>
      <c r="AE674" s="9"/>
      <c r="AF674" s="9"/>
    </row>
    <row r="67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c r="AC675" s="9"/>
      <c r="AD675" s="9"/>
      <c r="AE675" s="9"/>
      <c r="AF675" s="9"/>
    </row>
    <row r="676">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c r="AC676" s="9"/>
      <c r="AD676" s="9"/>
      <c r="AE676" s="9"/>
      <c r="AF676" s="9"/>
    </row>
    <row r="677">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c r="AC677" s="9"/>
      <c r="AD677" s="9"/>
      <c r="AE677" s="9"/>
      <c r="AF677" s="9"/>
    </row>
    <row r="678">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c r="AC678" s="9"/>
      <c r="AD678" s="9"/>
      <c r="AE678" s="9"/>
      <c r="AF678" s="9"/>
    </row>
    <row r="679">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c r="AC679" s="9"/>
      <c r="AD679" s="9"/>
      <c r="AE679" s="9"/>
      <c r="AF679" s="9"/>
    </row>
    <row r="680">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c r="AC680" s="9"/>
      <c r="AD680" s="9"/>
      <c r="AE680" s="9"/>
      <c r="AF680" s="9"/>
    </row>
    <row r="68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c r="AC681" s="9"/>
      <c r="AD681" s="9"/>
      <c r="AE681" s="9"/>
      <c r="AF681" s="9"/>
    </row>
    <row r="682">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c r="AC682" s="9"/>
      <c r="AD682" s="9"/>
      <c r="AE682" s="9"/>
      <c r="AF682" s="9"/>
    </row>
    <row r="683">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c r="AC683" s="9"/>
      <c r="AD683" s="9"/>
      <c r="AE683" s="9"/>
      <c r="AF683" s="9"/>
    </row>
    <row r="684">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c r="AC684" s="9"/>
      <c r="AD684" s="9"/>
      <c r="AE684" s="9"/>
      <c r="AF684" s="9"/>
    </row>
    <row r="68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c r="AC685" s="9"/>
      <c r="AD685" s="9"/>
      <c r="AE685" s="9"/>
      <c r="AF685" s="9"/>
    </row>
    <row r="686">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c r="AC686" s="9"/>
      <c r="AD686" s="9"/>
      <c r="AE686" s="9"/>
      <c r="AF686" s="9"/>
    </row>
    <row r="687">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c r="AC687" s="9"/>
      <c r="AD687" s="9"/>
      <c r="AE687" s="9"/>
      <c r="AF687" s="9"/>
    </row>
    <row r="688">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c r="AC688" s="9"/>
      <c r="AD688" s="9"/>
      <c r="AE688" s="9"/>
      <c r="AF688" s="9"/>
    </row>
    <row r="689">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c r="AC689" s="9"/>
      <c r="AD689" s="9"/>
      <c r="AE689" s="9"/>
      <c r="AF689" s="9"/>
    </row>
    <row r="690">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c r="AC690" s="9"/>
      <c r="AD690" s="9"/>
      <c r="AE690" s="9"/>
      <c r="AF690" s="9"/>
    </row>
    <row r="69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c r="AC691" s="9"/>
      <c r="AD691" s="9"/>
      <c r="AE691" s="9"/>
      <c r="AF691" s="9"/>
    </row>
    <row r="692">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c r="AC692" s="9"/>
      <c r="AD692" s="9"/>
      <c r="AE692" s="9"/>
      <c r="AF692" s="9"/>
    </row>
    <row r="693">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c r="AC693" s="9"/>
      <c r="AD693" s="9"/>
      <c r="AE693" s="9"/>
      <c r="AF693" s="9"/>
    </row>
    <row r="694">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c r="AC694" s="9"/>
      <c r="AD694" s="9"/>
      <c r="AE694" s="9"/>
      <c r="AF694" s="9"/>
    </row>
    <row r="69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c r="AC695" s="9"/>
      <c r="AD695" s="9"/>
      <c r="AE695" s="9"/>
      <c r="AF695" s="9"/>
    </row>
    <row r="696">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c r="AC696" s="9"/>
      <c r="AD696" s="9"/>
      <c r="AE696" s="9"/>
      <c r="AF696" s="9"/>
    </row>
    <row r="697">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c r="AC697" s="9"/>
      <c r="AD697" s="9"/>
      <c r="AE697" s="9"/>
      <c r="AF697" s="9"/>
    </row>
    <row r="698">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c r="AC698" s="9"/>
      <c r="AD698" s="9"/>
      <c r="AE698" s="9"/>
      <c r="AF698" s="9"/>
    </row>
    <row r="699">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c r="AC699" s="9"/>
      <c r="AD699" s="9"/>
      <c r="AE699" s="9"/>
      <c r="AF699" s="9"/>
    </row>
    <row r="700">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c r="AC700" s="9"/>
      <c r="AD700" s="9"/>
      <c r="AE700" s="9"/>
      <c r="AF700" s="9"/>
    </row>
    <row r="70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c r="AC701" s="9"/>
      <c r="AD701" s="9"/>
      <c r="AE701" s="9"/>
      <c r="AF701" s="9"/>
    </row>
    <row r="702">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c r="AC702" s="9"/>
      <c r="AD702" s="9"/>
      <c r="AE702" s="9"/>
      <c r="AF702" s="9"/>
    </row>
    <row r="703">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c r="AC703" s="9"/>
      <c r="AD703" s="9"/>
      <c r="AE703" s="9"/>
      <c r="AF703" s="9"/>
    </row>
    <row r="704">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c r="AC704" s="9"/>
      <c r="AD704" s="9"/>
      <c r="AE704" s="9"/>
      <c r="AF704" s="9"/>
    </row>
    <row r="70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c r="AC705" s="9"/>
      <c r="AD705" s="9"/>
      <c r="AE705" s="9"/>
      <c r="AF705" s="9"/>
    </row>
    <row r="706">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c r="AC706" s="9"/>
      <c r="AD706" s="9"/>
      <c r="AE706" s="9"/>
      <c r="AF706" s="9"/>
    </row>
    <row r="707">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c r="AC707" s="9"/>
      <c r="AD707" s="9"/>
      <c r="AE707" s="9"/>
      <c r="AF707" s="9"/>
    </row>
    <row r="708">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c r="AC708" s="9"/>
      <c r="AD708" s="9"/>
      <c r="AE708" s="9"/>
      <c r="AF708" s="9"/>
    </row>
    <row r="709">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c r="AC709" s="9"/>
      <c r="AD709" s="9"/>
      <c r="AE709" s="9"/>
      <c r="AF709" s="9"/>
    </row>
    <row r="710">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c r="AC710" s="9"/>
      <c r="AD710" s="9"/>
      <c r="AE710" s="9"/>
      <c r="AF710" s="9"/>
    </row>
    <row r="71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c r="AC711" s="9"/>
      <c r="AD711" s="9"/>
      <c r="AE711" s="9"/>
      <c r="AF711" s="9"/>
    </row>
    <row r="712">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c r="AC712" s="9"/>
      <c r="AD712" s="9"/>
      <c r="AE712" s="9"/>
      <c r="AF712" s="9"/>
    </row>
    <row r="713">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c r="AC713" s="9"/>
      <c r="AD713" s="9"/>
      <c r="AE713" s="9"/>
      <c r="AF713" s="9"/>
    </row>
    <row r="714">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c r="AC714" s="9"/>
      <c r="AD714" s="9"/>
      <c r="AE714" s="9"/>
      <c r="AF714" s="9"/>
    </row>
    <row r="71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c r="AC715" s="9"/>
      <c r="AD715" s="9"/>
      <c r="AE715" s="9"/>
      <c r="AF715" s="9"/>
    </row>
    <row r="716">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c r="AC716" s="9"/>
      <c r="AD716" s="9"/>
      <c r="AE716" s="9"/>
      <c r="AF716" s="9"/>
    </row>
    <row r="717">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c r="AC717" s="9"/>
      <c r="AD717" s="9"/>
      <c r="AE717" s="9"/>
      <c r="AF717" s="9"/>
    </row>
    <row r="718">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c r="AC718" s="9"/>
      <c r="AD718" s="9"/>
      <c r="AE718" s="9"/>
      <c r="AF718" s="9"/>
    </row>
    <row r="719">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c r="AC719" s="9"/>
      <c r="AD719" s="9"/>
      <c r="AE719" s="9"/>
      <c r="AF719" s="9"/>
    </row>
    <row r="720">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c r="AC720" s="9"/>
      <c r="AD720" s="9"/>
      <c r="AE720" s="9"/>
      <c r="AF720" s="9"/>
    </row>
    <row r="72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c r="AC721" s="9"/>
      <c r="AD721" s="9"/>
      <c r="AE721" s="9"/>
      <c r="AF721" s="9"/>
    </row>
    <row r="722">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c r="AC722" s="9"/>
      <c r="AD722" s="9"/>
      <c r="AE722" s="9"/>
      <c r="AF722" s="9"/>
    </row>
    <row r="723">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c r="AC723" s="9"/>
      <c r="AD723" s="9"/>
      <c r="AE723" s="9"/>
      <c r="AF723" s="9"/>
    </row>
    <row r="724">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c r="AC724" s="9"/>
      <c r="AD724" s="9"/>
      <c r="AE724" s="9"/>
      <c r="AF724" s="9"/>
    </row>
    <row r="7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c r="AC725" s="9"/>
      <c r="AD725" s="9"/>
      <c r="AE725" s="9"/>
      <c r="AF725" s="9"/>
    </row>
    <row r="726">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c r="AC726" s="9"/>
      <c r="AD726" s="9"/>
      <c r="AE726" s="9"/>
      <c r="AF726" s="9"/>
    </row>
    <row r="727">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c r="AC727" s="9"/>
      <c r="AD727" s="9"/>
      <c r="AE727" s="9"/>
      <c r="AF727" s="9"/>
    </row>
    <row r="728">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c r="AC728" s="9"/>
      <c r="AD728" s="9"/>
      <c r="AE728" s="9"/>
      <c r="AF728" s="9"/>
    </row>
    <row r="729">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c r="AC729" s="9"/>
      <c r="AD729" s="9"/>
      <c r="AE729" s="9"/>
      <c r="AF729" s="9"/>
    </row>
    <row r="730">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c r="AC730" s="9"/>
      <c r="AD730" s="9"/>
      <c r="AE730" s="9"/>
      <c r="AF730" s="9"/>
    </row>
    <row r="73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c r="AC731" s="9"/>
      <c r="AD731" s="9"/>
      <c r="AE731" s="9"/>
      <c r="AF731" s="9"/>
    </row>
    <row r="732">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c r="AC732" s="9"/>
      <c r="AD732" s="9"/>
      <c r="AE732" s="9"/>
      <c r="AF732" s="9"/>
    </row>
    <row r="733">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c r="AC733" s="9"/>
      <c r="AD733" s="9"/>
      <c r="AE733" s="9"/>
      <c r="AF733" s="9"/>
    </row>
    <row r="734">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c r="AC734" s="9"/>
      <c r="AD734" s="9"/>
      <c r="AE734" s="9"/>
      <c r="AF734" s="9"/>
    </row>
    <row r="73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c r="AC735" s="9"/>
      <c r="AD735" s="9"/>
      <c r="AE735" s="9"/>
      <c r="AF735" s="9"/>
    </row>
    <row r="736">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c r="AC736" s="9"/>
      <c r="AD736" s="9"/>
      <c r="AE736" s="9"/>
      <c r="AF736" s="9"/>
    </row>
    <row r="737">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c r="AC737" s="9"/>
      <c r="AD737" s="9"/>
      <c r="AE737" s="9"/>
      <c r="AF737" s="9"/>
    </row>
    <row r="738">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c r="AC738" s="9"/>
      <c r="AD738" s="9"/>
      <c r="AE738" s="9"/>
      <c r="AF738" s="9"/>
    </row>
    <row r="739">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c r="AC739" s="9"/>
      <c r="AD739" s="9"/>
      <c r="AE739" s="9"/>
      <c r="AF739" s="9"/>
    </row>
    <row r="740">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c r="AC740" s="9"/>
      <c r="AD740" s="9"/>
      <c r="AE740" s="9"/>
      <c r="AF740" s="9"/>
    </row>
    <row r="74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c r="AC741" s="9"/>
      <c r="AD741" s="9"/>
      <c r="AE741" s="9"/>
      <c r="AF741" s="9"/>
    </row>
    <row r="742">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c r="AC742" s="9"/>
      <c r="AD742" s="9"/>
      <c r="AE742" s="9"/>
      <c r="AF742" s="9"/>
    </row>
    <row r="743">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c r="AC743" s="9"/>
      <c r="AD743" s="9"/>
      <c r="AE743" s="9"/>
      <c r="AF743" s="9"/>
    </row>
    <row r="744">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c r="AC744" s="9"/>
      <c r="AD744" s="9"/>
      <c r="AE744" s="9"/>
      <c r="AF744" s="9"/>
    </row>
    <row r="74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c r="AC745" s="9"/>
      <c r="AD745" s="9"/>
      <c r="AE745" s="9"/>
      <c r="AF745" s="9"/>
    </row>
    <row r="746">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c r="AC746" s="9"/>
      <c r="AD746" s="9"/>
      <c r="AE746" s="9"/>
      <c r="AF746" s="9"/>
    </row>
    <row r="747">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c r="AC747" s="9"/>
      <c r="AD747" s="9"/>
      <c r="AE747" s="9"/>
      <c r="AF747" s="9"/>
    </row>
    <row r="748">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c r="AC748" s="9"/>
      <c r="AD748" s="9"/>
      <c r="AE748" s="9"/>
      <c r="AF748" s="9"/>
    </row>
    <row r="749">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c r="AC749" s="9"/>
      <c r="AD749" s="9"/>
      <c r="AE749" s="9"/>
      <c r="AF749" s="9"/>
    </row>
    <row r="750">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c r="AC750" s="9"/>
      <c r="AD750" s="9"/>
      <c r="AE750" s="9"/>
      <c r="AF750" s="9"/>
    </row>
    <row r="75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c r="AC751" s="9"/>
      <c r="AD751" s="9"/>
      <c r="AE751" s="9"/>
      <c r="AF751" s="9"/>
    </row>
    <row r="752">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c r="AC752" s="9"/>
      <c r="AD752" s="9"/>
      <c r="AE752" s="9"/>
      <c r="AF752" s="9"/>
    </row>
    <row r="753">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c r="AC753" s="9"/>
      <c r="AD753" s="9"/>
      <c r="AE753" s="9"/>
      <c r="AF753" s="9"/>
    </row>
    <row r="754">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c r="AC754" s="9"/>
      <c r="AD754" s="9"/>
      <c r="AE754" s="9"/>
      <c r="AF754" s="9"/>
    </row>
    <row r="75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c r="AC755" s="9"/>
      <c r="AD755" s="9"/>
      <c r="AE755" s="9"/>
      <c r="AF755" s="9"/>
    </row>
    <row r="756">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c r="AC756" s="9"/>
      <c r="AD756" s="9"/>
      <c r="AE756" s="9"/>
      <c r="AF756" s="9"/>
    </row>
    <row r="757">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c r="AC757" s="9"/>
      <c r="AD757" s="9"/>
      <c r="AE757" s="9"/>
      <c r="AF757" s="9"/>
    </row>
    <row r="758">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c r="AC758" s="9"/>
      <c r="AD758" s="9"/>
      <c r="AE758" s="9"/>
      <c r="AF758" s="9"/>
    </row>
    <row r="759">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c r="AC759" s="9"/>
      <c r="AD759" s="9"/>
      <c r="AE759" s="9"/>
      <c r="AF759" s="9"/>
    </row>
    <row r="760">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c r="AC760" s="9"/>
      <c r="AD760" s="9"/>
      <c r="AE760" s="9"/>
      <c r="AF760" s="9"/>
    </row>
    <row r="76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c r="AC761" s="9"/>
      <c r="AD761" s="9"/>
      <c r="AE761" s="9"/>
      <c r="AF761" s="9"/>
    </row>
    <row r="762">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c r="AC762" s="9"/>
      <c r="AD762" s="9"/>
      <c r="AE762" s="9"/>
      <c r="AF762" s="9"/>
    </row>
    <row r="763">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c r="AC763" s="9"/>
      <c r="AD763" s="9"/>
      <c r="AE763" s="9"/>
      <c r="AF763" s="9"/>
    </row>
    <row r="764">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c r="AC764" s="9"/>
      <c r="AD764" s="9"/>
      <c r="AE764" s="9"/>
      <c r="AF764" s="9"/>
    </row>
    <row r="76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c r="AC765" s="9"/>
      <c r="AD765" s="9"/>
      <c r="AE765" s="9"/>
      <c r="AF765" s="9"/>
    </row>
    <row r="766">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c r="AC766" s="9"/>
      <c r="AD766" s="9"/>
      <c r="AE766" s="9"/>
      <c r="AF766" s="9"/>
    </row>
    <row r="767">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c r="AC767" s="9"/>
      <c r="AD767" s="9"/>
      <c r="AE767" s="9"/>
      <c r="AF767" s="9"/>
    </row>
    <row r="768">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c r="AC768" s="9"/>
      <c r="AD768" s="9"/>
      <c r="AE768" s="9"/>
      <c r="AF768" s="9"/>
    </row>
    <row r="769">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c r="AC769" s="9"/>
      <c r="AD769" s="9"/>
      <c r="AE769" s="9"/>
      <c r="AF769" s="9"/>
    </row>
    <row r="770">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c r="AC770" s="9"/>
      <c r="AD770" s="9"/>
      <c r="AE770" s="9"/>
      <c r="AF770" s="9"/>
    </row>
    <row r="77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c r="AC771" s="9"/>
      <c r="AD771" s="9"/>
      <c r="AE771" s="9"/>
      <c r="AF771" s="9"/>
    </row>
    <row r="772">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c r="AC772" s="9"/>
      <c r="AD772" s="9"/>
      <c r="AE772" s="9"/>
      <c r="AF772" s="9"/>
    </row>
    <row r="773">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c r="AC773" s="9"/>
      <c r="AD773" s="9"/>
      <c r="AE773" s="9"/>
      <c r="AF773" s="9"/>
    </row>
    <row r="774">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c r="AC774" s="9"/>
      <c r="AD774" s="9"/>
      <c r="AE774" s="9"/>
      <c r="AF774" s="9"/>
    </row>
    <row r="77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c r="AC775" s="9"/>
      <c r="AD775" s="9"/>
      <c r="AE775" s="9"/>
      <c r="AF775" s="9"/>
    </row>
    <row r="776">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c r="AC776" s="9"/>
      <c r="AD776" s="9"/>
      <c r="AE776" s="9"/>
      <c r="AF776" s="9"/>
    </row>
    <row r="777">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c r="AC777" s="9"/>
      <c r="AD777" s="9"/>
      <c r="AE777" s="9"/>
      <c r="AF777" s="9"/>
    </row>
    <row r="778">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c r="AC778" s="9"/>
      <c r="AD778" s="9"/>
      <c r="AE778" s="9"/>
      <c r="AF778" s="9"/>
    </row>
    <row r="779">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c r="AC779" s="9"/>
      <c r="AD779" s="9"/>
      <c r="AE779" s="9"/>
      <c r="AF779" s="9"/>
    </row>
    <row r="780">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c r="AC780" s="9"/>
      <c r="AD780" s="9"/>
      <c r="AE780" s="9"/>
      <c r="AF780" s="9"/>
    </row>
    <row r="78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c r="AB781" s="9"/>
      <c r="AC781" s="9"/>
      <c r="AD781" s="9"/>
      <c r="AE781" s="9"/>
      <c r="AF781" s="9"/>
    </row>
    <row r="782">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c r="AB782" s="9"/>
      <c r="AC782" s="9"/>
      <c r="AD782" s="9"/>
      <c r="AE782" s="9"/>
      <c r="AF782" s="9"/>
    </row>
    <row r="783">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c r="AB783" s="9"/>
      <c r="AC783" s="9"/>
      <c r="AD783" s="9"/>
      <c r="AE783" s="9"/>
      <c r="AF783" s="9"/>
    </row>
    <row r="784">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c r="AB784" s="9"/>
      <c r="AC784" s="9"/>
      <c r="AD784" s="9"/>
      <c r="AE784" s="9"/>
      <c r="AF784" s="9"/>
    </row>
    <row r="78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c r="AB785" s="9"/>
      <c r="AC785" s="9"/>
      <c r="AD785" s="9"/>
      <c r="AE785" s="9"/>
      <c r="AF785" s="9"/>
    </row>
    <row r="786">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c r="AB786" s="9"/>
      <c r="AC786" s="9"/>
      <c r="AD786" s="9"/>
      <c r="AE786" s="9"/>
      <c r="AF786" s="9"/>
    </row>
    <row r="787">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c r="AB787" s="9"/>
      <c r="AC787" s="9"/>
      <c r="AD787" s="9"/>
      <c r="AE787" s="9"/>
      <c r="AF787" s="9"/>
    </row>
    <row r="788">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c r="AB788" s="9"/>
      <c r="AC788" s="9"/>
      <c r="AD788" s="9"/>
      <c r="AE788" s="9"/>
      <c r="AF788" s="9"/>
    </row>
    <row r="789">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c r="AB789" s="9"/>
      <c r="AC789" s="9"/>
      <c r="AD789" s="9"/>
      <c r="AE789" s="9"/>
      <c r="AF789" s="9"/>
    </row>
    <row r="790">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c r="AB790" s="9"/>
      <c r="AC790" s="9"/>
      <c r="AD790" s="9"/>
      <c r="AE790" s="9"/>
      <c r="AF790" s="9"/>
    </row>
    <row r="79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c r="AB791" s="9"/>
      <c r="AC791" s="9"/>
      <c r="AD791" s="9"/>
      <c r="AE791" s="9"/>
      <c r="AF791" s="9"/>
    </row>
    <row r="792">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c r="AB792" s="9"/>
      <c r="AC792" s="9"/>
      <c r="AD792" s="9"/>
      <c r="AE792" s="9"/>
      <c r="AF792" s="9"/>
    </row>
    <row r="793">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c r="AB793" s="9"/>
      <c r="AC793" s="9"/>
      <c r="AD793" s="9"/>
      <c r="AE793" s="9"/>
      <c r="AF793" s="9"/>
    </row>
    <row r="794">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c r="AB794" s="9"/>
      <c r="AC794" s="9"/>
      <c r="AD794" s="9"/>
      <c r="AE794" s="9"/>
      <c r="AF794" s="9"/>
    </row>
    <row r="79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c r="AB795" s="9"/>
      <c r="AC795" s="9"/>
      <c r="AD795" s="9"/>
      <c r="AE795" s="9"/>
      <c r="AF795" s="9"/>
    </row>
    <row r="796">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c r="AB796" s="9"/>
      <c r="AC796" s="9"/>
      <c r="AD796" s="9"/>
      <c r="AE796" s="9"/>
      <c r="AF796" s="9"/>
    </row>
    <row r="797">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c r="AB797" s="9"/>
      <c r="AC797" s="9"/>
      <c r="AD797" s="9"/>
      <c r="AE797" s="9"/>
      <c r="AF797" s="9"/>
    </row>
    <row r="798">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c r="AB798" s="9"/>
      <c r="AC798" s="9"/>
      <c r="AD798" s="9"/>
      <c r="AE798" s="9"/>
      <c r="AF798" s="9"/>
    </row>
    <row r="799">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c r="AB799" s="9"/>
      <c r="AC799" s="9"/>
      <c r="AD799" s="9"/>
      <c r="AE799" s="9"/>
      <c r="AF799" s="9"/>
    </row>
    <row r="800">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c r="AB800" s="9"/>
      <c r="AC800" s="9"/>
      <c r="AD800" s="9"/>
      <c r="AE800" s="9"/>
      <c r="AF800" s="9"/>
    </row>
    <row r="80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c r="AB801" s="9"/>
      <c r="AC801" s="9"/>
      <c r="AD801" s="9"/>
      <c r="AE801" s="9"/>
      <c r="AF801" s="9"/>
    </row>
    <row r="802">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c r="AB802" s="9"/>
      <c r="AC802" s="9"/>
      <c r="AD802" s="9"/>
      <c r="AE802" s="9"/>
      <c r="AF802" s="9"/>
    </row>
    <row r="803">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c r="AB803" s="9"/>
      <c r="AC803" s="9"/>
      <c r="AD803" s="9"/>
      <c r="AE803" s="9"/>
      <c r="AF803" s="9"/>
    </row>
    <row r="804">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c r="AB804" s="9"/>
      <c r="AC804" s="9"/>
      <c r="AD804" s="9"/>
      <c r="AE804" s="9"/>
      <c r="AF804" s="9"/>
    </row>
    <row r="80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c r="AB805" s="9"/>
      <c r="AC805" s="9"/>
      <c r="AD805" s="9"/>
      <c r="AE805" s="9"/>
      <c r="AF805" s="9"/>
    </row>
    <row r="806">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c r="AB806" s="9"/>
      <c r="AC806" s="9"/>
      <c r="AD806" s="9"/>
      <c r="AE806" s="9"/>
      <c r="AF806" s="9"/>
    </row>
    <row r="807">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c r="AB807" s="9"/>
      <c r="AC807" s="9"/>
      <c r="AD807" s="9"/>
      <c r="AE807" s="9"/>
      <c r="AF807" s="9"/>
    </row>
    <row r="808">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c r="AB808" s="9"/>
      <c r="AC808" s="9"/>
      <c r="AD808" s="9"/>
      <c r="AE808" s="9"/>
      <c r="AF808" s="9"/>
    </row>
    <row r="809">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c r="AB809" s="9"/>
      <c r="AC809" s="9"/>
      <c r="AD809" s="9"/>
      <c r="AE809" s="9"/>
      <c r="AF809" s="9"/>
    </row>
    <row r="810">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c r="AB810" s="9"/>
      <c r="AC810" s="9"/>
      <c r="AD810" s="9"/>
      <c r="AE810" s="9"/>
      <c r="AF810" s="9"/>
    </row>
    <row r="81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c r="AB811" s="9"/>
      <c r="AC811" s="9"/>
      <c r="AD811" s="9"/>
      <c r="AE811" s="9"/>
      <c r="AF811" s="9"/>
    </row>
    <row r="812">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c r="AB812" s="9"/>
      <c r="AC812" s="9"/>
      <c r="AD812" s="9"/>
      <c r="AE812" s="9"/>
      <c r="AF812" s="9"/>
    </row>
    <row r="813">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c r="AB813" s="9"/>
      <c r="AC813" s="9"/>
      <c r="AD813" s="9"/>
      <c r="AE813" s="9"/>
      <c r="AF813" s="9"/>
    </row>
    <row r="814">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c r="AB814" s="9"/>
      <c r="AC814" s="9"/>
      <c r="AD814" s="9"/>
      <c r="AE814" s="9"/>
      <c r="AF814" s="9"/>
    </row>
    <row r="81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c r="AB815" s="9"/>
      <c r="AC815" s="9"/>
      <c r="AD815" s="9"/>
      <c r="AE815" s="9"/>
      <c r="AF815" s="9"/>
    </row>
    <row r="816">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c r="AB816" s="9"/>
      <c r="AC816" s="9"/>
      <c r="AD816" s="9"/>
      <c r="AE816" s="9"/>
      <c r="AF816" s="9"/>
    </row>
    <row r="817">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c r="AB817" s="9"/>
      <c r="AC817" s="9"/>
      <c r="AD817" s="9"/>
      <c r="AE817" s="9"/>
      <c r="AF817" s="9"/>
    </row>
    <row r="818">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c r="AB818" s="9"/>
      <c r="AC818" s="9"/>
      <c r="AD818" s="9"/>
      <c r="AE818" s="9"/>
      <c r="AF818" s="9"/>
    </row>
    <row r="819">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c r="AB819" s="9"/>
      <c r="AC819" s="9"/>
      <c r="AD819" s="9"/>
      <c r="AE819" s="9"/>
      <c r="AF819" s="9"/>
    </row>
    <row r="820">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c r="AB820" s="9"/>
      <c r="AC820" s="9"/>
      <c r="AD820" s="9"/>
      <c r="AE820" s="9"/>
      <c r="AF820" s="9"/>
    </row>
    <row r="82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c r="AB821" s="9"/>
      <c r="AC821" s="9"/>
      <c r="AD821" s="9"/>
      <c r="AE821" s="9"/>
      <c r="AF821" s="9"/>
    </row>
    <row r="822">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c r="AB822" s="9"/>
      <c r="AC822" s="9"/>
      <c r="AD822" s="9"/>
      <c r="AE822" s="9"/>
      <c r="AF822" s="9"/>
    </row>
    <row r="823">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c r="AB823" s="9"/>
      <c r="AC823" s="9"/>
      <c r="AD823" s="9"/>
      <c r="AE823" s="9"/>
      <c r="AF823" s="9"/>
    </row>
    <row r="824">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c r="AB824" s="9"/>
      <c r="AC824" s="9"/>
      <c r="AD824" s="9"/>
      <c r="AE824" s="9"/>
      <c r="AF824" s="9"/>
    </row>
    <row r="8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c r="AB825" s="9"/>
      <c r="AC825" s="9"/>
      <c r="AD825" s="9"/>
      <c r="AE825" s="9"/>
      <c r="AF825" s="9"/>
    </row>
    <row r="826">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c r="AB826" s="9"/>
      <c r="AC826" s="9"/>
      <c r="AD826" s="9"/>
      <c r="AE826" s="9"/>
      <c r="AF826" s="9"/>
    </row>
    <row r="827">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c r="AB827" s="9"/>
      <c r="AC827" s="9"/>
      <c r="AD827" s="9"/>
      <c r="AE827" s="9"/>
      <c r="AF827" s="9"/>
    </row>
    <row r="828">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c r="AB828" s="9"/>
      <c r="AC828" s="9"/>
      <c r="AD828" s="9"/>
      <c r="AE828" s="9"/>
      <c r="AF828" s="9"/>
    </row>
    <row r="829">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c r="AB829" s="9"/>
      <c r="AC829" s="9"/>
      <c r="AD829" s="9"/>
      <c r="AE829" s="9"/>
      <c r="AF829" s="9"/>
    </row>
    <row r="830">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c r="AB830" s="9"/>
      <c r="AC830" s="9"/>
      <c r="AD830" s="9"/>
      <c r="AE830" s="9"/>
      <c r="AF830" s="9"/>
    </row>
    <row r="83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c r="AB831" s="9"/>
      <c r="AC831" s="9"/>
      <c r="AD831" s="9"/>
      <c r="AE831" s="9"/>
      <c r="AF831" s="9"/>
    </row>
    <row r="832">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c r="AB832" s="9"/>
      <c r="AC832" s="9"/>
      <c r="AD832" s="9"/>
      <c r="AE832" s="9"/>
      <c r="AF832" s="9"/>
    </row>
    <row r="833">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c r="AB833" s="9"/>
      <c r="AC833" s="9"/>
      <c r="AD833" s="9"/>
      <c r="AE833" s="9"/>
      <c r="AF833" s="9"/>
    </row>
    <row r="834">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c r="AB834" s="9"/>
      <c r="AC834" s="9"/>
      <c r="AD834" s="9"/>
      <c r="AE834" s="9"/>
      <c r="AF834" s="9"/>
    </row>
    <row r="83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c r="AB835" s="9"/>
      <c r="AC835" s="9"/>
      <c r="AD835" s="9"/>
      <c r="AE835" s="9"/>
      <c r="AF835" s="9"/>
    </row>
    <row r="836">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c r="AB836" s="9"/>
      <c r="AC836" s="9"/>
      <c r="AD836" s="9"/>
      <c r="AE836" s="9"/>
      <c r="AF836" s="9"/>
    </row>
    <row r="837">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c r="AB837" s="9"/>
      <c r="AC837" s="9"/>
      <c r="AD837" s="9"/>
      <c r="AE837" s="9"/>
      <c r="AF837" s="9"/>
    </row>
    <row r="838">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c r="AB838" s="9"/>
      <c r="AC838" s="9"/>
      <c r="AD838" s="9"/>
      <c r="AE838" s="9"/>
      <c r="AF838" s="9"/>
    </row>
    <row r="839">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c r="AB839" s="9"/>
      <c r="AC839" s="9"/>
      <c r="AD839" s="9"/>
      <c r="AE839" s="9"/>
      <c r="AF839" s="9"/>
    </row>
    <row r="840">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c r="AB840" s="9"/>
      <c r="AC840" s="9"/>
      <c r="AD840" s="9"/>
      <c r="AE840" s="9"/>
      <c r="AF840" s="9"/>
    </row>
    <row r="84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c r="AB841" s="9"/>
      <c r="AC841" s="9"/>
      <c r="AD841" s="9"/>
      <c r="AE841" s="9"/>
      <c r="AF841" s="9"/>
    </row>
    <row r="842">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c r="AB842" s="9"/>
      <c r="AC842" s="9"/>
      <c r="AD842" s="9"/>
      <c r="AE842" s="9"/>
      <c r="AF842" s="9"/>
    </row>
    <row r="843">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c r="AB843" s="9"/>
      <c r="AC843" s="9"/>
      <c r="AD843" s="9"/>
      <c r="AE843" s="9"/>
      <c r="AF843" s="9"/>
    </row>
    <row r="844">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c r="AB844" s="9"/>
      <c r="AC844" s="9"/>
      <c r="AD844" s="9"/>
      <c r="AE844" s="9"/>
      <c r="AF844" s="9"/>
    </row>
    <row r="84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c r="AB845" s="9"/>
      <c r="AC845" s="9"/>
      <c r="AD845" s="9"/>
      <c r="AE845" s="9"/>
      <c r="AF845" s="9"/>
    </row>
    <row r="846">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c r="AB846" s="9"/>
      <c r="AC846" s="9"/>
      <c r="AD846" s="9"/>
      <c r="AE846" s="9"/>
      <c r="AF846" s="9"/>
    </row>
    <row r="847">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c r="AB847" s="9"/>
      <c r="AC847" s="9"/>
      <c r="AD847" s="9"/>
      <c r="AE847" s="9"/>
      <c r="AF847" s="9"/>
    </row>
    <row r="848">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c r="AB848" s="9"/>
      <c r="AC848" s="9"/>
      <c r="AD848" s="9"/>
      <c r="AE848" s="9"/>
      <c r="AF848" s="9"/>
    </row>
    <row r="849">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c r="AB849" s="9"/>
      <c r="AC849" s="9"/>
      <c r="AD849" s="9"/>
      <c r="AE849" s="9"/>
      <c r="AF849" s="9"/>
    </row>
    <row r="850">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c r="AB850" s="9"/>
      <c r="AC850" s="9"/>
      <c r="AD850" s="9"/>
      <c r="AE850" s="9"/>
      <c r="AF850" s="9"/>
    </row>
    <row r="85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c r="AB851" s="9"/>
      <c r="AC851" s="9"/>
      <c r="AD851" s="9"/>
      <c r="AE851" s="9"/>
      <c r="AF851" s="9"/>
    </row>
    <row r="852">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c r="AB852" s="9"/>
      <c r="AC852" s="9"/>
      <c r="AD852" s="9"/>
      <c r="AE852" s="9"/>
      <c r="AF852" s="9"/>
    </row>
    <row r="853">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c r="AB853" s="9"/>
      <c r="AC853" s="9"/>
      <c r="AD853" s="9"/>
      <c r="AE853" s="9"/>
      <c r="AF853" s="9"/>
    </row>
    <row r="854">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c r="AB854" s="9"/>
      <c r="AC854" s="9"/>
      <c r="AD854" s="9"/>
      <c r="AE854" s="9"/>
      <c r="AF854" s="9"/>
    </row>
    <row r="85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c r="AB855" s="9"/>
      <c r="AC855" s="9"/>
      <c r="AD855" s="9"/>
      <c r="AE855" s="9"/>
      <c r="AF855" s="9"/>
    </row>
    <row r="856">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c r="AB856" s="9"/>
      <c r="AC856" s="9"/>
      <c r="AD856" s="9"/>
      <c r="AE856" s="9"/>
      <c r="AF856" s="9"/>
    </row>
    <row r="857">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c r="AB857" s="9"/>
      <c r="AC857" s="9"/>
      <c r="AD857" s="9"/>
      <c r="AE857" s="9"/>
      <c r="AF857" s="9"/>
    </row>
    <row r="858">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c r="AB858" s="9"/>
      <c r="AC858" s="9"/>
      <c r="AD858" s="9"/>
      <c r="AE858" s="9"/>
      <c r="AF858" s="9"/>
    </row>
    <row r="859">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c r="AB859" s="9"/>
      <c r="AC859" s="9"/>
      <c r="AD859" s="9"/>
      <c r="AE859" s="9"/>
      <c r="AF859" s="9"/>
    </row>
    <row r="860">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c r="AB860" s="9"/>
      <c r="AC860" s="9"/>
      <c r="AD860" s="9"/>
      <c r="AE860" s="9"/>
      <c r="AF860" s="9"/>
    </row>
    <row r="86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c r="AB861" s="9"/>
      <c r="AC861" s="9"/>
      <c r="AD861" s="9"/>
      <c r="AE861" s="9"/>
      <c r="AF861" s="9"/>
    </row>
    <row r="862">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c r="AB862" s="9"/>
      <c r="AC862" s="9"/>
      <c r="AD862" s="9"/>
      <c r="AE862" s="9"/>
      <c r="AF862" s="9"/>
    </row>
    <row r="863">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c r="AB863" s="9"/>
      <c r="AC863" s="9"/>
      <c r="AD863" s="9"/>
      <c r="AE863" s="9"/>
      <c r="AF863" s="9"/>
    </row>
    <row r="864">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c r="AB864" s="9"/>
      <c r="AC864" s="9"/>
      <c r="AD864" s="9"/>
      <c r="AE864" s="9"/>
      <c r="AF864" s="9"/>
    </row>
    <row r="86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c r="AB865" s="9"/>
      <c r="AC865" s="9"/>
      <c r="AD865" s="9"/>
      <c r="AE865" s="9"/>
      <c r="AF865" s="9"/>
    </row>
    <row r="866">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c r="AB866" s="9"/>
      <c r="AC866" s="9"/>
      <c r="AD866" s="9"/>
      <c r="AE866" s="9"/>
      <c r="AF866" s="9"/>
    </row>
    <row r="867">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c r="AB867" s="9"/>
      <c r="AC867" s="9"/>
      <c r="AD867" s="9"/>
      <c r="AE867" s="9"/>
      <c r="AF867" s="9"/>
    </row>
    <row r="868">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c r="AB868" s="9"/>
      <c r="AC868" s="9"/>
      <c r="AD868" s="9"/>
      <c r="AE868" s="9"/>
      <c r="AF868" s="9"/>
    </row>
    <row r="869">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c r="AB869" s="9"/>
      <c r="AC869" s="9"/>
      <c r="AD869" s="9"/>
      <c r="AE869" s="9"/>
      <c r="AF869" s="9"/>
    </row>
    <row r="870">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c r="AB870" s="9"/>
      <c r="AC870" s="9"/>
      <c r="AD870" s="9"/>
      <c r="AE870" s="9"/>
      <c r="AF870" s="9"/>
    </row>
    <row r="87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c r="AB871" s="9"/>
      <c r="AC871" s="9"/>
      <c r="AD871" s="9"/>
      <c r="AE871" s="9"/>
      <c r="AF871" s="9"/>
    </row>
    <row r="872">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c r="AB872" s="9"/>
      <c r="AC872" s="9"/>
      <c r="AD872" s="9"/>
      <c r="AE872" s="9"/>
      <c r="AF872" s="9"/>
    </row>
    <row r="873">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c r="AB873" s="9"/>
      <c r="AC873" s="9"/>
      <c r="AD873" s="9"/>
      <c r="AE873" s="9"/>
      <c r="AF873" s="9"/>
    </row>
    <row r="874">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c r="AB874" s="9"/>
      <c r="AC874" s="9"/>
      <c r="AD874" s="9"/>
      <c r="AE874" s="9"/>
      <c r="AF874" s="9"/>
    </row>
    <row r="87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c r="AB875" s="9"/>
      <c r="AC875" s="9"/>
      <c r="AD875" s="9"/>
      <c r="AE875" s="9"/>
      <c r="AF875" s="9"/>
    </row>
    <row r="876">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c r="AB876" s="9"/>
      <c r="AC876" s="9"/>
      <c r="AD876" s="9"/>
      <c r="AE876" s="9"/>
      <c r="AF876" s="9"/>
    </row>
    <row r="877">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c r="AB877" s="9"/>
      <c r="AC877" s="9"/>
      <c r="AD877" s="9"/>
      <c r="AE877" s="9"/>
      <c r="AF877" s="9"/>
    </row>
    <row r="878">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c r="AB878" s="9"/>
      <c r="AC878" s="9"/>
      <c r="AD878" s="9"/>
      <c r="AE878" s="9"/>
      <c r="AF878" s="9"/>
    </row>
    <row r="879">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c r="AB879" s="9"/>
      <c r="AC879" s="9"/>
      <c r="AD879" s="9"/>
      <c r="AE879" s="9"/>
      <c r="AF879" s="9"/>
    </row>
    <row r="880">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c r="AB880" s="9"/>
      <c r="AC880" s="9"/>
      <c r="AD880" s="9"/>
      <c r="AE880" s="9"/>
      <c r="AF880" s="9"/>
    </row>
    <row r="88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c r="AB881" s="9"/>
      <c r="AC881" s="9"/>
      <c r="AD881" s="9"/>
      <c r="AE881" s="9"/>
      <c r="AF881" s="9"/>
    </row>
    <row r="882">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c r="AB882" s="9"/>
      <c r="AC882" s="9"/>
      <c r="AD882" s="9"/>
      <c r="AE882" s="9"/>
      <c r="AF882" s="9"/>
    </row>
    <row r="883">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c r="AB883" s="9"/>
      <c r="AC883" s="9"/>
      <c r="AD883" s="9"/>
      <c r="AE883" s="9"/>
      <c r="AF883" s="9"/>
    </row>
    <row r="884">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c r="AB884" s="9"/>
      <c r="AC884" s="9"/>
      <c r="AD884" s="9"/>
      <c r="AE884" s="9"/>
      <c r="AF884" s="9"/>
    </row>
    <row r="88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c r="AB885" s="9"/>
      <c r="AC885" s="9"/>
      <c r="AD885" s="9"/>
      <c r="AE885" s="9"/>
      <c r="AF885" s="9"/>
    </row>
    <row r="886">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c r="AB886" s="9"/>
      <c r="AC886" s="9"/>
      <c r="AD886" s="9"/>
      <c r="AE886" s="9"/>
      <c r="AF886" s="9"/>
    </row>
    <row r="887">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c r="AB887" s="9"/>
      <c r="AC887" s="9"/>
      <c r="AD887" s="9"/>
      <c r="AE887" s="9"/>
      <c r="AF887" s="9"/>
    </row>
    <row r="888">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c r="AB888" s="9"/>
      <c r="AC888" s="9"/>
      <c r="AD888" s="9"/>
      <c r="AE888" s="9"/>
      <c r="AF888" s="9"/>
    </row>
    <row r="889">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c r="AB889" s="9"/>
      <c r="AC889" s="9"/>
      <c r="AD889" s="9"/>
      <c r="AE889" s="9"/>
      <c r="AF889" s="9"/>
    </row>
    <row r="890">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c r="AB890" s="9"/>
      <c r="AC890" s="9"/>
      <c r="AD890" s="9"/>
      <c r="AE890" s="9"/>
      <c r="AF890" s="9"/>
    </row>
    <row r="89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c r="AB891" s="9"/>
      <c r="AC891" s="9"/>
      <c r="AD891" s="9"/>
      <c r="AE891" s="9"/>
      <c r="AF891" s="9"/>
    </row>
    <row r="892">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c r="AB892" s="9"/>
      <c r="AC892" s="9"/>
      <c r="AD892" s="9"/>
      <c r="AE892" s="9"/>
      <c r="AF892" s="9"/>
    </row>
    <row r="893">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c r="AB893" s="9"/>
      <c r="AC893" s="9"/>
      <c r="AD893" s="9"/>
      <c r="AE893" s="9"/>
      <c r="AF893" s="9"/>
    </row>
    <row r="894">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c r="AB894" s="9"/>
      <c r="AC894" s="9"/>
      <c r="AD894" s="9"/>
      <c r="AE894" s="9"/>
      <c r="AF894" s="9"/>
    </row>
    <row r="89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c r="AB895" s="9"/>
      <c r="AC895" s="9"/>
      <c r="AD895" s="9"/>
      <c r="AE895" s="9"/>
      <c r="AF895" s="9"/>
    </row>
    <row r="896">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c r="AB896" s="9"/>
      <c r="AC896" s="9"/>
      <c r="AD896" s="9"/>
      <c r="AE896" s="9"/>
      <c r="AF896" s="9"/>
    </row>
    <row r="897">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c r="AB897" s="9"/>
      <c r="AC897" s="9"/>
      <c r="AD897" s="9"/>
      <c r="AE897" s="9"/>
      <c r="AF897" s="9"/>
    </row>
    <row r="898">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c r="AB898" s="9"/>
      <c r="AC898" s="9"/>
      <c r="AD898" s="9"/>
      <c r="AE898" s="9"/>
      <c r="AF898" s="9"/>
    </row>
    <row r="899">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c r="AB899" s="9"/>
      <c r="AC899" s="9"/>
      <c r="AD899" s="9"/>
      <c r="AE899" s="9"/>
      <c r="AF899" s="9"/>
    </row>
    <row r="900">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c r="AB900" s="9"/>
      <c r="AC900" s="9"/>
      <c r="AD900" s="9"/>
      <c r="AE900" s="9"/>
      <c r="AF900" s="9"/>
    </row>
    <row r="90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c r="AB901" s="9"/>
      <c r="AC901" s="9"/>
      <c r="AD901" s="9"/>
      <c r="AE901" s="9"/>
      <c r="AF901" s="9"/>
    </row>
    <row r="902">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c r="AB902" s="9"/>
      <c r="AC902" s="9"/>
      <c r="AD902" s="9"/>
      <c r="AE902" s="9"/>
      <c r="AF902" s="9"/>
    </row>
    <row r="903">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c r="AB903" s="9"/>
      <c r="AC903" s="9"/>
      <c r="AD903" s="9"/>
      <c r="AE903" s="9"/>
      <c r="AF903" s="9"/>
    </row>
    <row r="904">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c r="AB904" s="9"/>
      <c r="AC904" s="9"/>
      <c r="AD904" s="9"/>
      <c r="AE904" s="9"/>
      <c r="AF904" s="9"/>
    </row>
    <row r="90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c r="AB905" s="9"/>
      <c r="AC905" s="9"/>
      <c r="AD905" s="9"/>
      <c r="AE905" s="9"/>
      <c r="AF905" s="9"/>
    </row>
    <row r="906">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c r="AB906" s="9"/>
      <c r="AC906" s="9"/>
      <c r="AD906" s="9"/>
      <c r="AE906" s="9"/>
      <c r="AF906" s="9"/>
    </row>
    <row r="907">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c r="AB907" s="9"/>
      <c r="AC907" s="9"/>
      <c r="AD907" s="9"/>
      <c r="AE907" s="9"/>
      <c r="AF907" s="9"/>
    </row>
    <row r="908">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c r="AB908" s="9"/>
      <c r="AC908" s="9"/>
      <c r="AD908" s="9"/>
      <c r="AE908" s="9"/>
      <c r="AF908" s="9"/>
    </row>
    <row r="909">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c r="AB909" s="9"/>
      <c r="AC909" s="9"/>
      <c r="AD909" s="9"/>
      <c r="AE909" s="9"/>
      <c r="AF909" s="9"/>
    </row>
    <row r="910">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c r="AB910" s="9"/>
      <c r="AC910" s="9"/>
      <c r="AD910" s="9"/>
      <c r="AE910" s="9"/>
      <c r="AF910" s="9"/>
    </row>
    <row r="91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c r="AB911" s="9"/>
      <c r="AC911" s="9"/>
      <c r="AD911" s="9"/>
      <c r="AE911" s="9"/>
      <c r="AF911" s="9"/>
    </row>
    <row r="912">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c r="AB912" s="9"/>
      <c r="AC912" s="9"/>
      <c r="AD912" s="9"/>
      <c r="AE912" s="9"/>
      <c r="AF912" s="9"/>
    </row>
    <row r="913">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c r="AB913" s="9"/>
      <c r="AC913" s="9"/>
      <c r="AD913" s="9"/>
      <c r="AE913" s="9"/>
      <c r="AF913" s="9"/>
    </row>
    <row r="914">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c r="AB914" s="9"/>
      <c r="AC914" s="9"/>
      <c r="AD914" s="9"/>
      <c r="AE914" s="9"/>
      <c r="AF914" s="9"/>
    </row>
    <row r="91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c r="AB915" s="9"/>
      <c r="AC915" s="9"/>
      <c r="AD915" s="9"/>
      <c r="AE915" s="9"/>
      <c r="AF915" s="9"/>
    </row>
    <row r="916">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c r="AB916" s="9"/>
      <c r="AC916" s="9"/>
      <c r="AD916" s="9"/>
      <c r="AE916" s="9"/>
      <c r="AF916" s="9"/>
    </row>
    <row r="917">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c r="AB917" s="9"/>
      <c r="AC917" s="9"/>
      <c r="AD917" s="9"/>
      <c r="AE917" s="9"/>
      <c r="AF917" s="9"/>
    </row>
    <row r="918">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c r="AB918" s="9"/>
      <c r="AC918" s="9"/>
      <c r="AD918" s="9"/>
      <c r="AE918" s="9"/>
      <c r="AF918" s="9"/>
    </row>
    <row r="919">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c r="AB919" s="9"/>
      <c r="AC919" s="9"/>
      <c r="AD919" s="9"/>
      <c r="AE919" s="9"/>
      <c r="AF919" s="9"/>
    </row>
    <row r="920">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c r="AB920" s="9"/>
      <c r="AC920" s="9"/>
      <c r="AD920" s="9"/>
      <c r="AE920" s="9"/>
      <c r="AF920" s="9"/>
    </row>
    <row r="92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c r="AB921" s="9"/>
      <c r="AC921" s="9"/>
      <c r="AD921" s="9"/>
      <c r="AE921" s="9"/>
      <c r="AF921" s="9"/>
    </row>
    <row r="922">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c r="AB922" s="9"/>
      <c r="AC922" s="9"/>
      <c r="AD922" s="9"/>
      <c r="AE922" s="9"/>
      <c r="AF922" s="9"/>
    </row>
    <row r="923">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c r="AB923" s="9"/>
      <c r="AC923" s="9"/>
      <c r="AD923" s="9"/>
      <c r="AE923" s="9"/>
      <c r="AF923" s="9"/>
    </row>
    <row r="924">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c r="AB924" s="9"/>
      <c r="AC924" s="9"/>
      <c r="AD924" s="9"/>
      <c r="AE924" s="9"/>
      <c r="AF924" s="9"/>
    </row>
    <row r="9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c r="AB925" s="9"/>
      <c r="AC925" s="9"/>
      <c r="AD925" s="9"/>
      <c r="AE925" s="9"/>
      <c r="AF925" s="9"/>
    </row>
    <row r="926">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c r="AB926" s="9"/>
      <c r="AC926" s="9"/>
      <c r="AD926" s="9"/>
      <c r="AE926" s="9"/>
      <c r="AF926" s="9"/>
    </row>
    <row r="927">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c r="AB927" s="9"/>
      <c r="AC927" s="9"/>
      <c r="AD927" s="9"/>
      <c r="AE927" s="9"/>
      <c r="AF927" s="9"/>
    </row>
    <row r="928">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c r="AB928" s="9"/>
      <c r="AC928" s="9"/>
      <c r="AD928" s="9"/>
      <c r="AE928" s="9"/>
      <c r="AF928" s="9"/>
    </row>
    <row r="929">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c r="AB929" s="9"/>
      <c r="AC929" s="9"/>
      <c r="AD929" s="9"/>
      <c r="AE929" s="9"/>
      <c r="AF929" s="9"/>
    </row>
    <row r="930">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c r="AB930" s="9"/>
      <c r="AC930" s="9"/>
      <c r="AD930" s="9"/>
      <c r="AE930" s="9"/>
      <c r="AF930" s="9"/>
    </row>
    <row r="93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c r="AB931" s="9"/>
      <c r="AC931" s="9"/>
      <c r="AD931" s="9"/>
      <c r="AE931" s="9"/>
      <c r="AF931" s="9"/>
    </row>
    <row r="932">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c r="AB932" s="9"/>
      <c r="AC932" s="9"/>
      <c r="AD932" s="9"/>
      <c r="AE932" s="9"/>
      <c r="AF932" s="9"/>
    </row>
    <row r="933">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c r="AB933" s="9"/>
      <c r="AC933" s="9"/>
      <c r="AD933" s="9"/>
      <c r="AE933" s="9"/>
      <c r="AF933" s="9"/>
    </row>
    <row r="934">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c r="AB934" s="9"/>
      <c r="AC934" s="9"/>
      <c r="AD934" s="9"/>
      <c r="AE934" s="9"/>
      <c r="AF934" s="9"/>
    </row>
    <row r="93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c r="AB935" s="9"/>
      <c r="AC935" s="9"/>
      <c r="AD935" s="9"/>
      <c r="AE935" s="9"/>
      <c r="AF935" s="9"/>
    </row>
    <row r="936">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c r="AB936" s="9"/>
      <c r="AC936" s="9"/>
      <c r="AD936" s="9"/>
      <c r="AE936" s="9"/>
      <c r="AF936" s="9"/>
    </row>
    <row r="937">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c r="AB937" s="9"/>
      <c r="AC937" s="9"/>
      <c r="AD937" s="9"/>
      <c r="AE937" s="9"/>
      <c r="AF937" s="9"/>
    </row>
    <row r="938">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c r="AB938" s="9"/>
      <c r="AC938" s="9"/>
      <c r="AD938" s="9"/>
      <c r="AE938" s="9"/>
      <c r="AF938" s="9"/>
    </row>
    <row r="939">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c r="AB939" s="9"/>
      <c r="AC939" s="9"/>
      <c r="AD939" s="9"/>
      <c r="AE939" s="9"/>
      <c r="AF939" s="9"/>
    </row>
    <row r="940">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c r="AB940" s="9"/>
      <c r="AC940" s="9"/>
      <c r="AD940" s="9"/>
      <c r="AE940" s="9"/>
      <c r="AF940" s="9"/>
    </row>
    <row r="94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c r="AB941" s="9"/>
      <c r="AC941" s="9"/>
      <c r="AD941" s="9"/>
      <c r="AE941" s="9"/>
      <c r="AF941" s="9"/>
    </row>
    <row r="942">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c r="AB942" s="9"/>
      <c r="AC942" s="9"/>
      <c r="AD942" s="9"/>
      <c r="AE942" s="9"/>
      <c r="AF942" s="9"/>
    </row>
    <row r="943">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c r="AB943" s="9"/>
      <c r="AC943" s="9"/>
      <c r="AD943" s="9"/>
      <c r="AE943" s="9"/>
      <c r="AF943" s="9"/>
    </row>
    <row r="944">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c r="AB944" s="9"/>
      <c r="AC944" s="9"/>
      <c r="AD944" s="9"/>
      <c r="AE944" s="9"/>
      <c r="AF944" s="9"/>
    </row>
    <row r="94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c r="AB945" s="9"/>
      <c r="AC945" s="9"/>
      <c r="AD945" s="9"/>
      <c r="AE945" s="9"/>
      <c r="AF945" s="9"/>
    </row>
    <row r="946">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c r="AB946" s="9"/>
      <c r="AC946" s="9"/>
      <c r="AD946" s="9"/>
      <c r="AE946" s="9"/>
      <c r="AF946" s="9"/>
    </row>
    <row r="947">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c r="AB947" s="9"/>
      <c r="AC947" s="9"/>
      <c r="AD947" s="9"/>
      <c r="AE947" s="9"/>
      <c r="AF947" s="9"/>
    </row>
    <row r="948">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c r="AB948" s="9"/>
      <c r="AC948" s="9"/>
      <c r="AD948" s="9"/>
      <c r="AE948" s="9"/>
      <c r="AF948" s="9"/>
    </row>
    <row r="949">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c r="AB949" s="9"/>
      <c r="AC949" s="9"/>
      <c r="AD949" s="9"/>
      <c r="AE949" s="9"/>
      <c r="AF949" s="9"/>
    </row>
    <row r="950">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c r="AB950" s="9"/>
      <c r="AC950" s="9"/>
      <c r="AD950" s="9"/>
      <c r="AE950" s="9"/>
      <c r="AF950" s="9"/>
    </row>
    <row r="95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c r="AB951" s="9"/>
      <c r="AC951" s="9"/>
      <c r="AD951" s="9"/>
      <c r="AE951" s="9"/>
      <c r="AF951" s="9"/>
    </row>
    <row r="952">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c r="AB952" s="9"/>
      <c r="AC952" s="9"/>
      <c r="AD952" s="9"/>
      <c r="AE952" s="9"/>
      <c r="AF952" s="9"/>
    </row>
    <row r="953">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c r="AB953" s="9"/>
      <c r="AC953" s="9"/>
      <c r="AD953" s="9"/>
      <c r="AE953" s="9"/>
      <c r="AF953" s="9"/>
    </row>
    <row r="954">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c r="AB954" s="9"/>
      <c r="AC954" s="9"/>
      <c r="AD954" s="9"/>
      <c r="AE954" s="9"/>
      <c r="AF954" s="9"/>
    </row>
    <row r="95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c r="AB955" s="9"/>
      <c r="AC955" s="9"/>
      <c r="AD955" s="9"/>
      <c r="AE955" s="9"/>
      <c r="AF955" s="9"/>
    </row>
    <row r="956">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c r="AB956" s="9"/>
      <c r="AC956" s="9"/>
      <c r="AD956" s="9"/>
      <c r="AE956" s="9"/>
      <c r="AF956" s="9"/>
    </row>
    <row r="957">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c r="AB957" s="9"/>
      <c r="AC957" s="9"/>
      <c r="AD957" s="9"/>
      <c r="AE957" s="9"/>
      <c r="AF957" s="9"/>
    </row>
    <row r="958">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c r="AB958" s="9"/>
      <c r="AC958" s="9"/>
      <c r="AD958" s="9"/>
      <c r="AE958" s="9"/>
      <c r="AF958" s="9"/>
    </row>
    <row r="959">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c r="AB959" s="9"/>
      <c r="AC959" s="9"/>
      <c r="AD959" s="9"/>
      <c r="AE959" s="9"/>
      <c r="AF959" s="9"/>
    </row>
    <row r="960">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c r="AB960" s="9"/>
      <c r="AC960" s="9"/>
      <c r="AD960" s="9"/>
      <c r="AE960" s="9"/>
      <c r="AF960" s="9"/>
    </row>
    <row r="96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c r="AB961" s="9"/>
      <c r="AC961" s="9"/>
      <c r="AD961" s="9"/>
      <c r="AE961" s="9"/>
      <c r="AF961" s="9"/>
    </row>
    <row r="962">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c r="AB962" s="9"/>
      <c r="AC962" s="9"/>
      <c r="AD962" s="9"/>
      <c r="AE962" s="9"/>
      <c r="AF962" s="9"/>
    </row>
    <row r="963">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c r="AB963" s="9"/>
      <c r="AC963" s="9"/>
      <c r="AD963" s="9"/>
      <c r="AE963" s="9"/>
      <c r="AF963" s="9"/>
    </row>
    <row r="964">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c r="AB964" s="9"/>
      <c r="AC964" s="9"/>
      <c r="AD964" s="9"/>
      <c r="AE964" s="9"/>
      <c r="AF964" s="9"/>
    </row>
    <row r="96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c r="AB965" s="9"/>
      <c r="AC965" s="9"/>
      <c r="AD965" s="9"/>
      <c r="AE965" s="9"/>
      <c r="AF965" s="9"/>
    </row>
    <row r="966">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c r="AB966" s="9"/>
      <c r="AC966" s="9"/>
      <c r="AD966" s="9"/>
      <c r="AE966" s="9"/>
      <c r="AF966" s="9"/>
    </row>
    <row r="967">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c r="AB967" s="9"/>
      <c r="AC967" s="9"/>
      <c r="AD967" s="9"/>
      <c r="AE967" s="9"/>
      <c r="AF967" s="9"/>
    </row>
    <row r="968">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c r="AB968" s="9"/>
      <c r="AC968" s="9"/>
      <c r="AD968" s="9"/>
      <c r="AE968" s="9"/>
      <c r="AF968" s="9"/>
    </row>
    <row r="969">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c r="AB969" s="9"/>
      <c r="AC969" s="9"/>
      <c r="AD969" s="9"/>
      <c r="AE969" s="9"/>
      <c r="AF969" s="9"/>
    </row>
    <row r="970">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c r="AB970" s="9"/>
      <c r="AC970" s="9"/>
      <c r="AD970" s="9"/>
      <c r="AE970" s="9"/>
      <c r="AF970" s="9"/>
    </row>
    <row r="97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c r="AB971" s="9"/>
      <c r="AC971" s="9"/>
      <c r="AD971" s="9"/>
      <c r="AE971" s="9"/>
      <c r="AF971" s="9"/>
    </row>
    <row r="972">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c r="AB972" s="9"/>
      <c r="AC972" s="9"/>
      <c r="AD972" s="9"/>
      <c r="AE972" s="9"/>
      <c r="AF972" s="9"/>
    </row>
    <row r="973">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c r="AB973" s="9"/>
      <c r="AC973" s="9"/>
      <c r="AD973" s="9"/>
      <c r="AE973" s="9"/>
      <c r="AF973" s="9"/>
    </row>
    <row r="974">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c r="AB974" s="9"/>
      <c r="AC974" s="9"/>
      <c r="AD974" s="9"/>
      <c r="AE974" s="9"/>
      <c r="AF974" s="9"/>
    </row>
    <row r="97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c r="AB975" s="9"/>
      <c r="AC975" s="9"/>
      <c r="AD975" s="9"/>
      <c r="AE975" s="9"/>
      <c r="AF975" s="9"/>
    </row>
    <row r="976">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c r="AB976" s="9"/>
      <c r="AC976" s="9"/>
      <c r="AD976" s="9"/>
      <c r="AE976" s="9"/>
      <c r="AF976" s="9"/>
    </row>
    <row r="977">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c r="AB977" s="9"/>
      <c r="AC977" s="9"/>
      <c r="AD977" s="9"/>
      <c r="AE977" s="9"/>
      <c r="AF977" s="9"/>
    </row>
    <row r="978">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c r="AB978" s="9"/>
      <c r="AC978" s="9"/>
      <c r="AD978" s="9"/>
      <c r="AE978" s="9"/>
      <c r="AF978" s="9"/>
    </row>
    <row r="979">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c r="AB979" s="9"/>
      <c r="AC979" s="9"/>
      <c r="AD979" s="9"/>
      <c r="AE979" s="9"/>
      <c r="AF979" s="9"/>
    </row>
    <row r="980">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c r="AB980" s="9"/>
      <c r="AC980" s="9"/>
      <c r="AD980" s="9"/>
      <c r="AE980" s="9"/>
      <c r="AF980" s="9"/>
    </row>
    <row r="98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c r="AB981" s="9"/>
      <c r="AC981" s="9"/>
      <c r="AD981" s="9"/>
      <c r="AE981" s="9"/>
      <c r="AF981" s="9"/>
    </row>
    <row r="982">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c r="AB982" s="9"/>
      <c r="AC982" s="9"/>
      <c r="AD982" s="9"/>
      <c r="AE982" s="9"/>
      <c r="AF982" s="9"/>
    </row>
    <row r="983">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c r="AB983" s="9"/>
      <c r="AC983" s="9"/>
      <c r="AD983" s="9"/>
      <c r="AE983" s="9"/>
      <c r="AF983" s="9"/>
    </row>
    <row r="984">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c r="AB984" s="9"/>
      <c r="AC984" s="9"/>
      <c r="AD984" s="9"/>
      <c r="AE984" s="9"/>
      <c r="AF984" s="9"/>
    </row>
    <row r="98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c r="AB985" s="9"/>
      <c r="AC985" s="9"/>
      <c r="AD985" s="9"/>
      <c r="AE985" s="9"/>
      <c r="AF985" s="9"/>
    </row>
    <row r="986">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c r="AB986" s="9"/>
      <c r="AC986" s="9"/>
      <c r="AD986" s="9"/>
      <c r="AE986" s="9"/>
      <c r="AF986" s="9"/>
    </row>
    <row r="987">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c r="AB987" s="9"/>
      <c r="AC987" s="9"/>
      <c r="AD987" s="9"/>
      <c r="AE987" s="9"/>
      <c r="AF987" s="9"/>
    </row>
    <row r="988">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c r="AB988" s="9"/>
      <c r="AC988" s="9"/>
      <c r="AD988" s="9"/>
      <c r="AE988" s="9"/>
      <c r="AF988" s="9"/>
    </row>
    <row r="989">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c r="AB989" s="9"/>
      <c r="AC989" s="9"/>
      <c r="AD989" s="9"/>
      <c r="AE989" s="9"/>
      <c r="AF989" s="9"/>
    </row>
    <row r="990">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c r="AB990" s="9"/>
      <c r="AC990" s="9"/>
      <c r="AD990" s="9"/>
      <c r="AE990" s="9"/>
      <c r="AF990" s="9"/>
    </row>
    <row r="99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c r="AB991" s="9"/>
      <c r="AC991" s="9"/>
      <c r="AD991" s="9"/>
      <c r="AE991" s="9"/>
      <c r="AF991" s="9"/>
    </row>
    <row r="992">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c r="AB992" s="9"/>
      <c r="AC992" s="9"/>
      <c r="AD992" s="9"/>
      <c r="AE992" s="9"/>
      <c r="AF992" s="9"/>
    </row>
    <row r="993">
      <c r="A993" s="176"/>
      <c r="B993" s="176"/>
      <c r="C993" s="176"/>
      <c r="D993" s="176"/>
      <c r="E993" s="176"/>
      <c r="F993" s="176"/>
      <c r="G993" s="176"/>
      <c r="H993" s="176"/>
      <c r="I993" s="176"/>
      <c r="J993" s="176"/>
      <c r="K993" s="176"/>
      <c r="L993" s="176"/>
      <c r="M993" s="176"/>
      <c r="N993" s="176"/>
      <c r="O993" s="176"/>
      <c r="P993" s="176"/>
      <c r="Q993" s="176"/>
      <c r="R993" s="176"/>
      <c r="S993" s="176"/>
      <c r="T993" s="176"/>
      <c r="U993" s="176"/>
      <c r="V993" s="176"/>
      <c r="W993" s="176"/>
      <c r="X993" s="176"/>
      <c r="Y993" s="176"/>
      <c r="Z993" s="176"/>
      <c r="AA993" s="176"/>
      <c r="AB993" s="176"/>
      <c r="AC993" s="176"/>
      <c r="AD993" s="176"/>
      <c r="AE993" s="176"/>
      <c r="AF993" s="176"/>
    </row>
    <row r="994">
      <c r="A994" s="176"/>
      <c r="B994" s="176"/>
      <c r="C994" s="176"/>
      <c r="D994" s="176"/>
      <c r="E994" s="176"/>
      <c r="F994" s="176"/>
      <c r="G994" s="176"/>
      <c r="H994" s="176"/>
      <c r="I994" s="176"/>
      <c r="J994" s="176"/>
      <c r="K994" s="176"/>
      <c r="L994" s="176"/>
      <c r="M994" s="176"/>
      <c r="N994" s="176"/>
      <c r="O994" s="176"/>
      <c r="P994" s="176"/>
      <c r="Q994" s="176"/>
      <c r="R994" s="176"/>
      <c r="S994" s="176"/>
      <c r="T994" s="176"/>
      <c r="U994" s="176"/>
      <c r="V994" s="176"/>
      <c r="W994" s="176"/>
      <c r="X994" s="176"/>
      <c r="Y994" s="176"/>
      <c r="Z994" s="176"/>
      <c r="AA994" s="176"/>
      <c r="AB994" s="176"/>
      <c r="AC994" s="176"/>
      <c r="AD994" s="176"/>
      <c r="AE994" s="176"/>
      <c r="AF994" s="176"/>
    </row>
    <row r="995">
      <c r="A995" s="176"/>
      <c r="B995" s="176"/>
      <c r="C995" s="176"/>
      <c r="D995" s="176"/>
      <c r="E995" s="176"/>
      <c r="F995" s="176"/>
      <c r="G995" s="176"/>
      <c r="H995" s="176"/>
      <c r="I995" s="176"/>
      <c r="J995" s="176"/>
      <c r="K995" s="176"/>
      <c r="L995" s="176"/>
      <c r="M995" s="176"/>
      <c r="N995" s="176"/>
      <c r="O995" s="176"/>
      <c r="P995" s="176"/>
      <c r="Q995" s="176"/>
      <c r="R995" s="176"/>
      <c r="S995" s="176"/>
      <c r="T995" s="176"/>
      <c r="U995" s="176"/>
      <c r="V995" s="176"/>
      <c r="W995" s="176"/>
      <c r="X995" s="176"/>
      <c r="Y995" s="176"/>
      <c r="Z995" s="176"/>
      <c r="AA995" s="176"/>
      <c r="AB995" s="176"/>
      <c r="AC995" s="176"/>
      <c r="AD995" s="176"/>
      <c r="AE995" s="176"/>
      <c r="AF995" s="176"/>
    </row>
    <row r="996">
      <c r="A996" s="176"/>
      <c r="B996" s="176"/>
      <c r="C996" s="176"/>
      <c r="D996" s="176"/>
      <c r="E996" s="176"/>
      <c r="F996" s="176"/>
      <c r="G996" s="176"/>
      <c r="H996" s="176"/>
      <c r="I996" s="176"/>
      <c r="J996" s="176"/>
      <c r="K996" s="176"/>
      <c r="L996" s="176"/>
      <c r="M996" s="176"/>
      <c r="N996" s="176"/>
      <c r="O996" s="176"/>
      <c r="P996" s="176"/>
      <c r="Q996" s="176"/>
      <c r="R996" s="176"/>
      <c r="S996" s="176"/>
      <c r="T996" s="176"/>
      <c r="U996" s="176"/>
      <c r="V996" s="176"/>
      <c r="W996" s="176"/>
      <c r="X996" s="176"/>
      <c r="Y996" s="176"/>
      <c r="Z996" s="176"/>
      <c r="AA996" s="176"/>
      <c r="AB996" s="176"/>
      <c r="AC996" s="176"/>
      <c r="AD996" s="176"/>
      <c r="AE996" s="176"/>
      <c r="AF996" s="176"/>
    </row>
  </sheetData>
  <mergeCells count="1">
    <mergeCell ref="O1:P1"/>
  </mergeCells>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38"/>
    <col customWidth="1" min="15" max="15" width="9.75"/>
  </cols>
  <sheetData>
    <row r="1">
      <c r="A1" s="1" t="s">
        <v>1</v>
      </c>
      <c r="B1" s="2">
        <v>45748.0</v>
      </c>
      <c r="C1" s="2">
        <v>45778.0</v>
      </c>
      <c r="D1" s="2">
        <v>45809.0</v>
      </c>
      <c r="E1" s="2">
        <v>45839.0</v>
      </c>
      <c r="F1" s="4">
        <v>45870.0</v>
      </c>
      <c r="G1" s="2">
        <v>45901.0</v>
      </c>
      <c r="H1" s="2">
        <v>45931.0</v>
      </c>
      <c r="I1" s="2">
        <v>45962.0</v>
      </c>
      <c r="J1" s="2">
        <v>45992.0</v>
      </c>
      <c r="K1" s="2">
        <v>46023.0</v>
      </c>
      <c r="L1" s="2">
        <v>46054.0</v>
      </c>
      <c r="M1" s="2">
        <v>46082.0</v>
      </c>
      <c r="N1" s="5" t="s">
        <v>5</v>
      </c>
      <c r="O1" s="6"/>
    </row>
    <row r="2">
      <c r="A2" s="7" t="s">
        <v>6</v>
      </c>
      <c r="B2" s="8"/>
      <c r="C2" s="8"/>
      <c r="D2" s="8"/>
      <c r="E2" s="8"/>
      <c r="F2" s="10"/>
      <c r="G2" s="8"/>
      <c r="H2" s="8"/>
      <c r="I2" s="8"/>
      <c r="J2" s="8"/>
      <c r="K2" s="8"/>
      <c r="L2" s="8"/>
      <c r="M2" s="8"/>
      <c r="N2" s="8"/>
      <c r="O2" s="8"/>
    </row>
    <row r="3">
      <c r="A3" s="11" t="s">
        <v>7</v>
      </c>
      <c r="B3" s="12">
        <f>44945.58</f>
        <v>44945.58</v>
      </c>
      <c r="C3" s="14">
        <f t="shared" ref="C3:M3" si="1">B7</f>
        <v>51724</v>
      </c>
      <c r="D3" s="14">
        <f t="shared" si="1"/>
        <v>37108.77</v>
      </c>
      <c r="E3" s="14">
        <f t="shared" si="1"/>
        <v>41568.44</v>
      </c>
      <c r="F3" s="14">
        <f t="shared" si="1"/>
        <v>47446.62</v>
      </c>
      <c r="G3" s="14">
        <f t="shared" si="1"/>
        <v>52793.17</v>
      </c>
      <c r="H3" s="14">
        <f t="shared" si="1"/>
        <v>45183</v>
      </c>
      <c r="I3" s="14">
        <f t="shared" si="1"/>
        <v>45811</v>
      </c>
      <c r="J3" s="14">
        <f t="shared" si="1"/>
        <v>47804.9</v>
      </c>
      <c r="K3" s="14">
        <f t="shared" si="1"/>
        <v>52068</v>
      </c>
      <c r="L3" s="14">
        <f t="shared" si="1"/>
        <v>47575.79</v>
      </c>
      <c r="M3" s="14">
        <f t="shared" si="1"/>
        <v>38156.51</v>
      </c>
      <c r="N3" s="15">
        <f>+SUM(J3:L3)</f>
        <v>147448.69</v>
      </c>
      <c r="O3" s="18"/>
    </row>
    <row r="4">
      <c r="A4" s="11" t="s">
        <v>9</v>
      </c>
      <c r="B4" s="17">
        <v>594373.0</v>
      </c>
      <c r="C4" s="17">
        <v>632127.0</v>
      </c>
      <c r="D4" s="17">
        <v>598614.0</v>
      </c>
      <c r="E4" s="17">
        <v>657733.0</v>
      </c>
      <c r="F4" s="17">
        <v>655137.0</v>
      </c>
      <c r="G4" s="17">
        <v>570053.89</v>
      </c>
      <c r="H4" s="17">
        <v>612354.0</v>
      </c>
      <c r="I4" s="17">
        <v>647580.0</v>
      </c>
      <c r="J4" s="17">
        <f>621640.68-3964.58</f>
        <v>617676.1</v>
      </c>
      <c r="K4" s="17">
        <v>631870.43</v>
      </c>
      <c r="L4" s="17">
        <v>609497.0</v>
      </c>
      <c r="M4" s="14">
        <f>771030.48</f>
        <v>771030.48</v>
      </c>
      <c r="N4" s="15">
        <f>sum(B4:M4)</f>
        <v>7598045.9</v>
      </c>
      <c r="O4" s="18"/>
    </row>
    <row r="5">
      <c r="A5" s="11" t="s">
        <v>10</v>
      </c>
      <c r="B5" s="17">
        <v>469.6</v>
      </c>
      <c r="C5" s="17">
        <v>1268.71</v>
      </c>
      <c r="D5" s="17">
        <v>370.66</v>
      </c>
      <c r="E5" s="17">
        <v>940.68</v>
      </c>
      <c r="F5" s="17">
        <v>766.52</v>
      </c>
      <c r="G5" s="17">
        <v>3604.0</v>
      </c>
      <c r="H5" s="17">
        <v>814.74</v>
      </c>
      <c r="I5" s="17">
        <v>1207.37</v>
      </c>
      <c r="J5" s="17">
        <v>2892.98</v>
      </c>
      <c r="K5" s="17">
        <v>3581.0</v>
      </c>
      <c r="L5" s="17">
        <v>2440.0</v>
      </c>
      <c r="M5" s="17">
        <v>1907.31</v>
      </c>
      <c r="N5" s="15">
        <f t="shared" ref="N5:N6" si="2">+SUM(J5:L5)</f>
        <v>8913.98</v>
      </c>
      <c r="O5" s="18"/>
    </row>
    <row r="6">
      <c r="A6" s="11" t="s">
        <v>11</v>
      </c>
      <c r="B6" s="17">
        <v>17556.0</v>
      </c>
      <c r="C6" s="17">
        <v>18684.39</v>
      </c>
      <c r="D6" s="17">
        <v>17946.17</v>
      </c>
      <c r="E6" s="17">
        <v>18861.99</v>
      </c>
      <c r="F6" s="17">
        <v>17219.0</v>
      </c>
      <c r="G6" s="17">
        <v>18324.91</v>
      </c>
      <c r="H6" s="17">
        <v>19738.05</v>
      </c>
      <c r="I6" s="17">
        <v>28022.38</v>
      </c>
      <c r="J6" s="17">
        <v>24657.0</v>
      </c>
      <c r="K6" s="17">
        <v>23890.0</v>
      </c>
      <c r="L6" s="17">
        <v>26090.0</v>
      </c>
      <c r="M6" s="17">
        <v>24764.48</v>
      </c>
      <c r="N6" s="15">
        <f t="shared" si="2"/>
        <v>74637</v>
      </c>
      <c r="O6" s="18"/>
    </row>
    <row r="7">
      <c r="A7" s="11" t="s">
        <v>12</v>
      </c>
      <c r="B7" s="17">
        <v>51724.0</v>
      </c>
      <c r="C7" s="17">
        <v>37108.77</v>
      </c>
      <c r="D7" s="17">
        <v>41568.44</v>
      </c>
      <c r="E7" s="17">
        <v>47446.62</v>
      </c>
      <c r="F7" s="17">
        <v>52793.17</v>
      </c>
      <c r="G7" s="17">
        <v>45183.0</v>
      </c>
      <c r="H7" s="17">
        <v>45811.0</v>
      </c>
      <c r="I7" s="17">
        <v>47804.9</v>
      </c>
      <c r="J7" s="17">
        <v>52068.0</v>
      </c>
      <c r="K7" s="17">
        <v>47575.79</v>
      </c>
      <c r="L7" s="17">
        <v>38156.51</v>
      </c>
      <c r="M7" s="17">
        <v>47397.02</v>
      </c>
      <c r="N7" s="15">
        <f>sum(B7:M7)</f>
        <v>554637.22</v>
      </c>
      <c r="O7" s="18"/>
    </row>
    <row r="8">
      <c r="A8" s="8"/>
      <c r="B8" s="8"/>
      <c r="C8" s="8"/>
      <c r="D8" s="8"/>
      <c r="E8" s="8"/>
      <c r="F8" s="10"/>
      <c r="G8" s="8"/>
      <c r="H8" s="8"/>
      <c r="I8" s="8"/>
      <c r="J8" s="8"/>
      <c r="K8" s="8"/>
      <c r="L8" s="8"/>
      <c r="M8" s="8"/>
      <c r="N8" s="8"/>
      <c r="O8" s="8"/>
    </row>
    <row r="9">
      <c r="A9" s="19" t="s">
        <v>13</v>
      </c>
      <c r="B9" s="14">
        <f>2548637.87*1.05+43218.97*1.05</f>
        <v>2721449.682</v>
      </c>
      <c r="C9" s="14">
        <f>2631268.94*1.05+54041.72*1.05</f>
        <v>2819576.193</v>
      </c>
      <c r="D9" s="14">
        <f>2522016.1*1.05+54999.89*1.05</f>
        <v>2705866.79</v>
      </c>
      <c r="E9" s="14">
        <f>2729685.55*1.05+63869.62*1.05</f>
        <v>2933232.929</v>
      </c>
      <c r="F9" s="14">
        <f>2582413.9*1.05+61635.2*1.05</f>
        <v>2776251.555</v>
      </c>
      <c r="G9" s="14">
        <f>2369906.82*1.05</f>
        <v>2488402.161</v>
      </c>
      <c r="H9" s="14">
        <f>2545706*1.05+63761.9*1.05</f>
        <v>2739941.295</v>
      </c>
      <c r="I9" s="14">
        <f>2461573.74*1.05+63094.22*1.05</f>
        <v>2650901.358</v>
      </c>
      <c r="J9" s="14">
        <f>2411532.51*1.05+55354.97*1.05</f>
        <v>2590231.854</v>
      </c>
      <c r="K9" s="14">
        <f>2356461.41*1.05+56374*1.05</f>
        <v>2533477.181</v>
      </c>
      <c r="L9" s="14">
        <f>2221953.22*1.05+57799.79*1.05</f>
        <v>2393740.661</v>
      </c>
      <c r="M9" s="14">
        <f>2953762.56*1.05+72309.59*1.05</f>
        <v>3177375.758</v>
      </c>
      <c r="N9" s="15">
        <f t="shared" ref="N9:N12" si="3">+SUM(B9:M9)</f>
        <v>32530447.41</v>
      </c>
      <c r="O9" s="18"/>
    </row>
    <row r="10">
      <c r="A10" s="19" t="s">
        <v>14</v>
      </c>
      <c r="B10" s="17">
        <v>0.0</v>
      </c>
      <c r="C10" s="17">
        <v>0.0</v>
      </c>
      <c r="D10" s="17">
        <v>0.0</v>
      </c>
      <c r="E10" s="17">
        <v>0.0</v>
      </c>
      <c r="F10" s="17">
        <v>0.0</v>
      </c>
      <c r="G10" s="17">
        <v>0.0</v>
      </c>
      <c r="H10" s="17">
        <v>0.0</v>
      </c>
      <c r="I10" s="17">
        <v>0.0</v>
      </c>
      <c r="J10" s="17">
        <v>0.0</v>
      </c>
      <c r="K10" s="17">
        <v>0.0</v>
      </c>
      <c r="L10" s="17">
        <v>0.0</v>
      </c>
      <c r="M10" s="17">
        <v>0.0</v>
      </c>
      <c r="N10" s="15">
        <f t="shared" si="3"/>
        <v>0</v>
      </c>
      <c r="O10" s="18"/>
    </row>
    <row r="11">
      <c r="A11" s="20" t="s">
        <v>16</v>
      </c>
      <c r="B11" s="14">
        <f t="shared" ref="B11:M11" si="4">(B9+B10)/1.05*0.05</f>
        <v>129592.842</v>
      </c>
      <c r="C11" s="14">
        <f t="shared" si="4"/>
        <v>134265.533</v>
      </c>
      <c r="D11" s="14">
        <f t="shared" si="4"/>
        <v>128850.7995</v>
      </c>
      <c r="E11" s="14">
        <f t="shared" si="4"/>
        <v>139677.7585</v>
      </c>
      <c r="F11" s="14">
        <f t="shared" si="4"/>
        <v>132202.455</v>
      </c>
      <c r="G11" s="14">
        <f t="shared" si="4"/>
        <v>118495.341</v>
      </c>
      <c r="H11" s="14">
        <f t="shared" si="4"/>
        <v>130473.395</v>
      </c>
      <c r="I11" s="14">
        <f t="shared" si="4"/>
        <v>126233.398</v>
      </c>
      <c r="J11" s="14">
        <f t="shared" si="4"/>
        <v>123344.374</v>
      </c>
      <c r="K11" s="14">
        <f t="shared" si="4"/>
        <v>120641.7705</v>
      </c>
      <c r="L11" s="14">
        <f t="shared" si="4"/>
        <v>113987.6505</v>
      </c>
      <c r="M11" s="14">
        <f t="shared" si="4"/>
        <v>151303.6075</v>
      </c>
      <c r="N11" s="15">
        <f t="shared" si="3"/>
        <v>1549068.925</v>
      </c>
      <c r="O11" s="18"/>
    </row>
    <row r="12">
      <c r="A12" s="20" t="s">
        <v>18</v>
      </c>
      <c r="B12" s="17">
        <f>99165.02+427.02+17849.7+76.86+117459.26+21142.66+836.72+16899</f>
        <v>273856.24</v>
      </c>
      <c r="C12" s="17">
        <f>22458.52+124769.56+107754.48+19395.79+376.65+246.01+16.7+32239.33+5803+4234.46</f>
        <v>317294.5</v>
      </c>
      <c r="D12" s="14">
        <f>125624.92+22612.49+89532.89+16115.91+2159.08+41967.19+7554.08</f>
        <v>305566.56</v>
      </c>
      <c r="E12" s="14">
        <f>146856+26434.08+119885.8+21606.39+2125.94+1631+179.65+25239+4543</f>
        <v>348500.86</v>
      </c>
      <c r="F12" s="14">
        <f>91613.42+16490.42+142331.2+25619.92+1129.44*1.18+37197.72+6695.56</f>
        <v>321280.9792</v>
      </c>
      <c r="G12" s="17">
        <f>118786.34*1.18+2568.04*1.18+103927.14*1.18-1759.7</f>
        <v>264072.4936</v>
      </c>
      <c r="H12" s="14">
        <f>146933.25*1.18+85454.55*1.18+2932.62*1.18+20821.39*1.18</f>
        <v>302247.3358</v>
      </c>
      <c r="I12" s="14">
        <f>145277.32*1.18+99684.31*1.18+2856.24*1.18</f>
        <v>292425.0866</v>
      </c>
      <c r="J12" s="17">
        <f>(127476.88+911.08)*1.18+114582.43*1.18+1461.48*1.18</f>
        <v>288429.6066</v>
      </c>
      <c r="K12" s="14">
        <f>131298.23*1.18+1734.5*1.18+102732.86*1.18</f>
        <v>278203.3962</v>
      </c>
      <c r="L12" s="14">
        <f>157004+47110.75+52609.25+138.05+8479.94+24.84+1959.63*1.18+95.41*1.18</f>
        <v>267791.7772</v>
      </c>
      <c r="M12" s="14">
        <f>166993.16*1.18+85169.45*1.18+4521.44*1.18+78.8*1.18+42102.25*1.18</f>
        <v>352660.818</v>
      </c>
      <c r="N12" s="15">
        <f t="shared" si="3"/>
        <v>3612329.653</v>
      </c>
      <c r="O12" s="18"/>
    </row>
    <row r="13">
      <c r="A13" s="21" t="s">
        <v>19</v>
      </c>
      <c r="B13" s="22">
        <f t="shared" ref="B13:M13" si="5">B9+B10-B11-B12</f>
        <v>2318000.6</v>
      </c>
      <c r="C13" s="22">
        <f t="shared" si="5"/>
        <v>2368016.16</v>
      </c>
      <c r="D13" s="22">
        <f t="shared" si="5"/>
        <v>2271449.43</v>
      </c>
      <c r="E13" s="22">
        <f t="shared" si="5"/>
        <v>2445054.31</v>
      </c>
      <c r="F13" s="23">
        <f t="shared" si="5"/>
        <v>2322768.121</v>
      </c>
      <c r="G13" s="23">
        <f t="shared" si="5"/>
        <v>2105834.326</v>
      </c>
      <c r="H13" s="22">
        <f t="shared" si="5"/>
        <v>2307220.564</v>
      </c>
      <c r="I13" s="22">
        <f t="shared" si="5"/>
        <v>2232242.873</v>
      </c>
      <c r="J13" s="22">
        <f t="shared" si="5"/>
        <v>2178457.873</v>
      </c>
      <c r="K13" s="22">
        <f t="shared" si="5"/>
        <v>2134632.014</v>
      </c>
      <c r="L13" s="22">
        <f t="shared" si="5"/>
        <v>2011961.233</v>
      </c>
      <c r="M13" s="22">
        <f t="shared" si="5"/>
        <v>2673411.332</v>
      </c>
      <c r="N13" s="22">
        <f t="shared" ref="N13:N29" si="7">sum(B13:M13)</f>
        <v>27369048.84</v>
      </c>
      <c r="O13" s="24"/>
    </row>
    <row r="14">
      <c r="A14" s="19" t="s">
        <v>20</v>
      </c>
      <c r="B14" s="17">
        <f t="shared" ref="B14:M14" si="6">+B3+B4-B5-B7</f>
        <v>587124.98</v>
      </c>
      <c r="C14" s="17">
        <f t="shared" si="6"/>
        <v>645473.52</v>
      </c>
      <c r="D14" s="17">
        <f t="shared" si="6"/>
        <v>593783.67</v>
      </c>
      <c r="E14" s="17">
        <f t="shared" si="6"/>
        <v>650914.14</v>
      </c>
      <c r="F14" s="17">
        <f t="shared" si="6"/>
        <v>649023.93</v>
      </c>
      <c r="G14" s="17">
        <f t="shared" si="6"/>
        <v>574060.06</v>
      </c>
      <c r="H14" s="17">
        <f t="shared" si="6"/>
        <v>610911.26</v>
      </c>
      <c r="I14" s="17">
        <f t="shared" si="6"/>
        <v>644378.73</v>
      </c>
      <c r="J14" s="17">
        <f t="shared" si="6"/>
        <v>610520.02</v>
      </c>
      <c r="K14" s="17">
        <f t="shared" si="6"/>
        <v>632781.64</v>
      </c>
      <c r="L14" s="17">
        <f t="shared" si="6"/>
        <v>616476.28</v>
      </c>
      <c r="M14" s="17">
        <f t="shared" si="6"/>
        <v>759882.66</v>
      </c>
      <c r="N14" s="15">
        <f t="shared" si="7"/>
        <v>7575330.89</v>
      </c>
      <c r="O14" s="27">
        <f t="shared" ref="O14:O29" si="8">N14/$N$13</f>
        <v>0.2767845874</v>
      </c>
    </row>
    <row r="15">
      <c r="A15" s="19" t="s">
        <v>21</v>
      </c>
      <c r="B15" s="17">
        <v>134637.0</v>
      </c>
      <c r="C15" s="17">
        <v>149275.0</v>
      </c>
      <c r="D15" s="17">
        <v>149302.0</v>
      </c>
      <c r="E15" s="17">
        <f>151934</f>
        <v>151934</v>
      </c>
      <c r="F15" s="17">
        <v>152776.0</v>
      </c>
      <c r="G15" s="17">
        <f>141963</f>
        <v>141963</v>
      </c>
      <c r="H15" s="17">
        <f>156151</f>
        <v>156151</v>
      </c>
      <c r="I15" s="17">
        <v>131662.0</v>
      </c>
      <c r="J15" s="17">
        <f>106908</f>
        <v>106908</v>
      </c>
      <c r="K15" s="17">
        <f>98249</f>
        <v>98249</v>
      </c>
      <c r="L15" s="17">
        <f>96497</f>
        <v>96497</v>
      </c>
      <c r="M15" s="30">
        <v>125000.0</v>
      </c>
      <c r="N15" s="15">
        <f t="shared" si="7"/>
        <v>1594354</v>
      </c>
      <c r="O15" s="27">
        <f t="shared" si="8"/>
        <v>0.05825390606</v>
      </c>
    </row>
    <row r="16">
      <c r="A16" s="19" t="s">
        <v>22</v>
      </c>
      <c r="B16" s="17">
        <v>1100.0</v>
      </c>
      <c r="C16" s="17">
        <f t="shared" ref="C16:D16" si="9">1060.82+182</f>
        <v>1242.82</v>
      </c>
      <c r="D16" s="17">
        <f t="shared" si="9"/>
        <v>1242.82</v>
      </c>
      <c r="E16" s="17">
        <f t="shared" ref="E16:F16" si="10">2600/3</f>
        <v>866.6666667</v>
      </c>
      <c r="F16" s="17">
        <f t="shared" si="10"/>
        <v>866.6666667</v>
      </c>
      <c r="G16" s="17">
        <f>2600/3+1003</f>
        <v>1869.666667</v>
      </c>
      <c r="H16" s="17">
        <f t="shared" ref="H16:K16" si="11">6018/3</f>
        <v>2006</v>
      </c>
      <c r="I16" s="17">
        <f t="shared" si="11"/>
        <v>2006</v>
      </c>
      <c r="J16" s="17">
        <f t="shared" si="11"/>
        <v>2006</v>
      </c>
      <c r="K16" s="17">
        <f t="shared" si="11"/>
        <v>2006</v>
      </c>
      <c r="L16" s="17">
        <v>2475.0</v>
      </c>
      <c r="M16" s="30">
        <v>2475.0</v>
      </c>
      <c r="N16" s="15">
        <f t="shared" si="7"/>
        <v>20162.64</v>
      </c>
      <c r="O16" s="27">
        <f t="shared" si="8"/>
        <v>0.0007366949476</v>
      </c>
    </row>
    <row r="17">
      <c r="A17" s="19" t="s">
        <v>23</v>
      </c>
      <c r="B17" s="17">
        <v>0.0</v>
      </c>
      <c r="C17" s="17">
        <v>0.0</v>
      </c>
      <c r="D17" s="17">
        <v>0.0</v>
      </c>
      <c r="E17" s="17">
        <v>0.0</v>
      </c>
      <c r="F17" s="17">
        <v>0.0</v>
      </c>
      <c r="G17" s="17">
        <v>0.0</v>
      </c>
      <c r="H17" s="17">
        <v>0.0</v>
      </c>
      <c r="I17" s="17">
        <v>0.0</v>
      </c>
      <c r="J17" s="17">
        <v>0.0</v>
      </c>
      <c r="K17" s="17">
        <v>0.0</v>
      </c>
      <c r="L17" s="17">
        <f>10107</f>
        <v>10107</v>
      </c>
      <c r="M17" s="17">
        <f>15462+2*3556</f>
        <v>22574</v>
      </c>
      <c r="N17" s="15">
        <f t="shared" si="7"/>
        <v>32681</v>
      </c>
      <c r="O17" s="27">
        <f t="shared" si="8"/>
        <v>0.001194086071</v>
      </c>
    </row>
    <row r="18">
      <c r="A18" s="19" t="s">
        <v>24</v>
      </c>
      <c r="B18" s="17">
        <v>177000.0</v>
      </c>
      <c r="C18" s="17">
        <v>177000.0</v>
      </c>
      <c r="D18" s="17">
        <f t="shared" ref="D18:M18" si="12">177000+7500*1.18</f>
        <v>185850</v>
      </c>
      <c r="E18" s="17">
        <f t="shared" si="12"/>
        <v>185850</v>
      </c>
      <c r="F18" s="17">
        <f t="shared" si="12"/>
        <v>185850</v>
      </c>
      <c r="G18" s="17">
        <f t="shared" si="12"/>
        <v>185850</v>
      </c>
      <c r="H18" s="17">
        <f t="shared" si="12"/>
        <v>185850</v>
      </c>
      <c r="I18" s="17">
        <f t="shared" si="12"/>
        <v>185850</v>
      </c>
      <c r="J18" s="17">
        <f t="shared" si="12"/>
        <v>185850</v>
      </c>
      <c r="K18" s="17">
        <f t="shared" si="12"/>
        <v>185850</v>
      </c>
      <c r="L18" s="17">
        <f t="shared" si="12"/>
        <v>185850</v>
      </c>
      <c r="M18" s="17">
        <f t="shared" si="12"/>
        <v>185850</v>
      </c>
      <c r="N18" s="15">
        <f t="shared" si="7"/>
        <v>2212500</v>
      </c>
      <c r="O18" s="27">
        <f t="shared" si="8"/>
        <v>0.08083949184</v>
      </c>
    </row>
    <row r="19">
      <c r="A19" s="19" t="s">
        <v>25</v>
      </c>
      <c r="B19" s="17">
        <v>6770.0</v>
      </c>
      <c r="C19" s="17">
        <v>6770.0</v>
      </c>
      <c r="D19" s="17">
        <v>6770.0</v>
      </c>
      <c r="E19" s="17">
        <v>6770.0</v>
      </c>
      <c r="F19" s="17">
        <v>6770.0</v>
      </c>
      <c r="G19" s="17">
        <v>6770.0</v>
      </c>
      <c r="H19" s="17">
        <v>6770.0</v>
      </c>
      <c r="I19" s="17">
        <v>6770.0</v>
      </c>
      <c r="J19" s="17">
        <v>6770.0</v>
      </c>
      <c r="K19" s="17">
        <f t="shared" ref="K19:M19" si="13">34000*1.18/12+4250*1.18/12</f>
        <v>3761.25</v>
      </c>
      <c r="L19" s="17">
        <f t="shared" si="13"/>
        <v>3761.25</v>
      </c>
      <c r="M19" s="17">
        <f t="shared" si="13"/>
        <v>3761.25</v>
      </c>
      <c r="N19" s="15">
        <f t="shared" si="7"/>
        <v>72213.75</v>
      </c>
      <c r="O19" s="27">
        <f t="shared" si="8"/>
        <v>0.002638518804</v>
      </c>
    </row>
    <row r="20">
      <c r="A20" s="20" t="s">
        <v>26</v>
      </c>
      <c r="B20" s="17">
        <f>400358+168169/12</f>
        <v>414372.0833</v>
      </c>
      <c r="C20" s="17">
        <f>389046+168169/12</f>
        <v>403060.0833</v>
      </c>
      <c r="D20" s="17">
        <f>270369.22+107604.47+12274.8+168169/12</f>
        <v>404262.5733</v>
      </c>
      <c r="E20" s="17">
        <f>387694.01+168169/12</f>
        <v>401708.0933</v>
      </c>
      <c r="F20" s="17">
        <f>391990.49+168169/12</f>
        <v>406004.5733</v>
      </c>
      <c r="G20" s="17">
        <f>376223+168169/12</f>
        <v>390237.0833</v>
      </c>
      <c r="H20" s="17">
        <f>168169/12+367160.98</f>
        <v>381175.0633</v>
      </c>
      <c r="I20" s="17">
        <f>168169/12+385078</f>
        <v>399092.0833</v>
      </c>
      <c r="J20" s="17">
        <f>168169/12+386585</f>
        <v>400599.0833</v>
      </c>
      <c r="K20" s="17">
        <f>168169/12+368580</f>
        <v>382594.0833</v>
      </c>
      <c r="L20" s="17">
        <f>168169/12+396205+8344.29</f>
        <v>418563.3733</v>
      </c>
      <c r="M20" s="17">
        <f>168169/12+9000+361801</f>
        <v>384815.0833</v>
      </c>
      <c r="N20" s="15">
        <f t="shared" si="7"/>
        <v>4786483.26</v>
      </c>
      <c r="O20" s="27">
        <f t="shared" si="8"/>
        <v>0.1748867229</v>
      </c>
    </row>
    <row r="21">
      <c r="A21" s="11" t="s">
        <v>27</v>
      </c>
      <c r="B21" s="17">
        <f>1200+2360+2974+5145+69284/12+38645/12</f>
        <v>20673.08333</v>
      </c>
      <c r="C21" s="17">
        <f t="shared" ref="C21:D21" si="14">2478+2974+5145+69284/12+38645/12</f>
        <v>19591.08333</v>
      </c>
      <c r="D21" s="17">
        <f t="shared" si="14"/>
        <v>19591.08333</v>
      </c>
      <c r="E21" s="17">
        <f t="shared" ref="E21:F21" si="15">5145+1200+2974+2478+69284/12+38645/12</f>
        <v>20791.08333</v>
      </c>
      <c r="F21" s="17">
        <f t="shared" si="15"/>
        <v>20791.08333</v>
      </c>
      <c r="G21" s="17">
        <f>69284/12+38645/12+5145+2974+2478</f>
        <v>19591.08333</v>
      </c>
      <c r="H21" s="17">
        <f>69284/12+38645/12+5145+2478+2974</f>
        <v>19591.08333</v>
      </c>
      <c r="I21" s="17">
        <f>69284/12+38645/12+5145+2974+2478</f>
        <v>19591.08333</v>
      </c>
      <c r="J21" s="17">
        <f>69284/12+38645/12+5452+5145</f>
        <v>19591.08333</v>
      </c>
      <c r="K21" s="17">
        <f>69284/12+38645/12+5145+2974+2478</f>
        <v>19591.08333</v>
      </c>
      <c r="L21" s="17">
        <f>69284/12+38645/12+1500+2974+2478+5145</f>
        <v>21091.08333</v>
      </c>
      <c r="M21" s="17">
        <f>69284/12+38645/12+5145+2850+2974+2478</f>
        <v>22441.08333</v>
      </c>
      <c r="N21" s="15">
        <f t="shared" si="7"/>
        <v>242925</v>
      </c>
      <c r="O21" s="27">
        <f t="shared" si="8"/>
        <v>0.008875902171</v>
      </c>
    </row>
    <row r="22">
      <c r="A22" s="32" t="s">
        <v>28</v>
      </c>
      <c r="B22" s="17">
        <f t="shared" ref="B22:D22" si="16">18000/3+2124/3+9813/12+6372/12</f>
        <v>8056.75</v>
      </c>
      <c r="C22" s="17">
        <f t="shared" si="16"/>
        <v>8056.75</v>
      </c>
      <c r="D22" s="17">
        <f t="shared" si="16"/>
        <v>8056.75</v>
      </c>
      <c r="E22" s="17">
        <f t="shared" ref="E22:J22" si="17">9813/12+6372/12+2124/3+18000/3</f>
        <v>8056.75</v>
      </c>
      <c r="F22" s="17">
        <f t="shared" si="17"/>
        <v>8056.75</v>
      </c>
      <c r="G22" s="17">
        <f t="shared" si="17"/>
        <v>8056.75</v>
      </c>
      <c r="H22" s="17">
        <f t="shared" si="17"/>
        <v>8056.75</v>
      </c>
      <c r="I22" s="17">
        <f t="shared" si="17"/>
        <v>8056.75</v>
      </c>
      <c r="J22" s="17">
        <f t="shared" si="17"/>
        <v>8056.75</v>
      </c>
      <c r="K22" s="17">
        <f t="shared" ref="K22:M22" si="18">9813/12+6372/12+3271.32/3+18000/3</f>
        <v>8439.19</v>
      </c>
      <c r="L22" s="17">
        <f t="shared" si="18"/>
        <v>8439.19</v>
      </c>
      <c r="M22" s="17">
        <f t="shared" si="18"/>
        <v>8439.19</v>
      </c>
      <c r="N22" s="15">
        <f t="shared" si="7"/>
        <v>97828.32</v>
      </c>
      <c r="O22" s="27">
        <f t="shared" si="8"/>
        <v>0.003574414317</v>
      </c>
    </row>
    <row r="23">
      <c r="A23" s="20" t="s">
        <v>29</v>
      </c>
      <c r="B23" s="17">
        <v>0.0</v>
      </c>
      <c r="C23" s="17">
        <v>1380.47</v>
      </c>
      <c r="D23" s="17">
        <v>1380.47</v>
      </c>
      <c r="E23" s="17">
        <v>1380.47</v>
      </c>
      <c r="F23" s="17">
        <v>1380.47</v>
      </c>
      <c r="G23" s="17">
        <v>1380.47</v>
      </c>
      <c r="H23" s="17">
        <v>1380.47</v>
      </c>
      <c r="I23" s="17">
        <v>1380.47</v>
      </c>
      <c r="J23" s="17">
        <v>1380.47</v>
      </c>
      <c r="K23" s="17">
        <v>1380.47</v>
      </c>
      <c r="L23" s="17">
        <v>1380.47</v>
      </c>
      <c r="M23" s="17">
        <v>1380.47</v>
      </c>
      <c r="N23" s="15">
        <f t="shared" si="7"/>
        <v>15185.17</v>
      </c>
      <c r="O23" s="27">
        <f t="shared" si="8"/>
        <v>0.0005548300232</v>
      </c>
    </row>
    <row r="24">
      <c r="A24" s="19" t="s">
        <v>30</v>
      </c>
      <c r="B24" s="17">
        <v>4650.0</v>
      </c>
      <c r="C24" s="17">
        <v>24860.0</v>
      </c>
      <c r="D24" s="17">
        <v>5940.0</v>
      </c>
      <c r="E24" s="17">
        <v>5800.0</v>
      </c>
      <c r="F24" s="17">
        <v>16816.0</v>
      </c>
      <c r="G24" s="17">
        <v>13150.0</v>
      </c>
      <c r="H24" s="17">
        <v>13725.0</v>
      </c>
      <c r="I24" s="17">
        <v>20190.0</v>
      </c>
      <c r="J24" s="17">
        <v>20840.0</v>
      </c>
      <c r="K24" s="17">
        <v>126010.0</v>
      </c>
      <c r="L24" s="17">
        <v>10869.0</v>
      </c>
      <c r="M24" s="17">
        <v>35061.0</v>
      </c>
      <c r="N24" s="15">
        <f t="shared" si="7"/>
        <v>297911</v>
      </c>
      <c r="O24" s="27">
        <f t="shared" si="8"/>
        <v>0.01088495993</v>
      </c>
    </row>
    <row r="25">
      <c r="A25" s="19" t="s">
        <v>31</v>
      </c>
      <c r="B25" s="17">
        <v>9542.35</v>
      </c>
      <c r="C25" s="17">
        <v>74498.15</v>
      </c>
      <c r="D25" s="17">
        <f>27823</f>
        <v>27823</v>
      </c>
      <c r="E25" s="17">
        <v>59290.0</v>
      </c>
      <c r="F25" s="17">
        <f>24890.54</f>
        <v>24890.54</v>
      </c>
      <c r="G25" s="17">
        <v>15445.67</v>
      </c>
      <c r="H25" s="17">
        <v>10370.0</v>
      </c>
      <c r="I25" s="17">
        <v>26121.27</v>
      </c>
      <c r="J25" s="17">
        <v>11861.0</v>
      </c>
      <c r="K25" s="17">
        <v>11624.27</v>
      </c>
      <c r="L25" s="17">
        <v>15045.0</v>
      </c>
      <c r="M25" s="17">
        <f>23926.72</f>
        <v>23926.72</v>
      </c>
      <c r="N25" s="15">
        <f t="shared" si="7"/>
        <v>310437.97</v>
      </c>
      <c r="O25" s="27">
        <f t="shared" si="8"/>
        <v>0.01134266565</v>
      </c>
    </row>
    <row r="26">
      <c r="A26" s="19" t="s">
        <v>32</v>
      </c>
      <c r="B26" s="17">
        <v>12614.0</v>
      </c>
      <c r="C26" s="17">
        <v>12614.0</v>
      </c>
      <c r="D26" s="17">
        <v>12614.0</v>
      </c>
      <c r="E26" s="17">
        <v>11535.0</v>
      </c>
      <c r="F26" s="17">
        <v>12124.0</v>
      </c>
      <c r="G26" s="17">
        <v>11942.0</v>
      </c>
      <c r="H26" s="17">
        <v>12191.0</v>
      </c>
      <c r="I26" s="17">
        <v>12232.0</v>
      </c>
      <c r="J26" s="17">
        <v>11975.0</v>
      </c>
      <c r="K26" s="17">
        <v>11765.0</v>
      </c>
      <c r="L26" s="17">
        <f>11826</f>
        <v>11826</v>
      </c>
      <c r="M26" s="30">
        <v>11800.0</v>
      </c>
      <c r="N26" s="15">
        <f t="shared" si="7"/>
        <v>145232</v>
      </c>
      <c r="O26" s="27">
        <f t="shared" si="8"/>
        <v>0.005306432126</v>
      </c>
    </row>
    <row r="27">
      <c r="A27" s="19" t="s">
        <v>33</v>
      </c>
      <c r="B27" s="17">
        <f>HO!D25</f>
        <v>470155.3083</v>
      </c>
      <c r="C27" s="17">
        <f>HO!H25</f>
        <v>475851.0606</v>
      </c>
      <c r="D27" s="17">
        <f>HO!L25</f>
        <v>451783.8402</v>
      </c>
      <c r="E27" s="17">
        <f>HO!P25</f>
        <v>522985.0177</v>
      </c>
      <c r="F27" s="17">
        <f>HO!D44</f>
        <v>455646.6463</v>
      </c>
      <c r="G27" s="17">
        <f>HO!H44</f>
        <v>452914.6649</v>
      </c>
      <c r="H27" s="17">
        <f>HO!L44</f>
        <v>444624.8607</v>
      </c>
      <c r="I27" s="17">
        <f>HO!P44</f>
        <v>481598.5532</v>
      </c>
      <c r="J27" s="17">
        <f>HO!D63</f>
        <v>410208.6618</v>
      </c>
      <c r="K27" s="17">
        <f>HO!H63</f>
        <v>416043.7764</v>
      </c>
      <c r="L27" s="17">
        <f>HO!L63</f>
        <v>420938.1509</v>
      </c>
      <c r="M27" s="17">
        <f>HO!P63</f>
        <v>492361.5001</v>
      </c>
      <c r="N27" s="15">
        <f t="shared" si="7"/>
        <v>5495112.041</v>
      </c>
      <c r="O27" s="27">
        <f t="shared" si="8"/>
        <v>0.2007783345</v>
      </c>
    </row>
    <row r="28">
      <c r="A28" s="35" t="s">
        <v>34</v>
      </c>
      <c r="B28" s="36">
        <f t="shared" ref="B28:M28" si="19">+SUM(B14:B27)</f>
        <v>1846695.555</v>
      </c>
      <c r="C28" s="36">
        <f t="shared" si="19"/>
        <v>1999672.937</v>
      </c>
      <c r="D28" s="36">
        <f t="shared" si="19"/>
        <v>1868400.207</v>
      </c>
      <c r="E28" s="36">
        <f t="shared" si="19"/>
        <v>2027881.221</v>
      </c>
      <c r="F28" s="36">
        <f t="shared" si="19"/>
        <v>1940996.66</v>
      </c>
      <c r="G28" s="36">
        <f t="shared" si="19"/>
        <v>1823230.448</v>
      </c>
      <c r="H28" s="36">
        <f t="shared" si="19"/>
        <v>1852802.487</v>
      </c>
      <c r="I28" s="36">
        <f t="shared" si="19"/>
        <v>1938928.94</v>
      </c>
      <c r="J28" s="36">
        <f t="shared" si="19"/>
        <v>1796566.068</v>
      </c>
      <c r="K28" s="36">
        <f t="shared" si="19"/>
        <v>1900095.763</v>
      </c>
      <c r="L28" s="36">
        <f t="shared" si="19"/>
        <v>1823318.798</v>
      </c>
      <c r="M28" s="36">
        <f t="shared" si="19"/>
        <v>2079767.957</v>
      </c>
      <c r="N28" s="36">
        <f t="shared" si="7"/>
        <v>22898357.04</v>
      </c>
      <c r="O28" s="38">
        <f t="shared" si="8"/>
        <v>0.8366515467</v>
      </c>
    </row>
    <row r="29">
      <c r="A29" s="39" t="s">
        <v>35</v>
      </c>
      <c r="B29" s="40">
        <f t="shared" ref="B29:M29" si="20">B13-B28</f>
        <v>471305.0451</v>
      </c>
      <c r="C29" s="40">
        <f t="shared" si="20"/>
        <v>368343.2227</v>
      </c>
      <c r="D29" s="40">
        <f t="shared" si="20"/>
        <v>403049.2231</v>
      </c>
      <c r="E29" s="40">
        <f t="shared" si="20"/>
        <v>417173.089</v>
      </c>
      <c r="F29" s="40">
        <f t="shared" si="20"/>
        <v>381771.4612</v>
      </c>
      <c r="G29" s="40">
        <f t="shared" si="20"/>
        <v>282603.8782</v>
      </c>
      <c r="H29" s="40">
        <f t="shared" si="20"/>
        <v>454418.0768</v>
      </c>
      <c r="I29" s="40">
        <f t="shared" si="20"/>
        <v>293313.9335</v>
      </c>
      <c r="J29" s="40">
        <f t="shared" si="20"/>
        <v>381891.805</v>
      </c>
      <c r="K29" s="40">
        <f t="shared" si="20"/>
        <v>234536.2507</v>
      </c>
      <c r="L29" s="40">
        <f t="shared" si="20"/>
        <v>188642.4352</v>
      </c>
      <c r="M29" s="40">
        <f t="shared" si="20"/>
        <v>593643.3752</v>
      </c>
      <c r="N29" s="40">
        <f t="shared" si="7"/>
        <v>4470691.796</v>
      </c>
      <c r="O29" s="41">
        <f t="shared" si="8"/>
        <v>0.1633484533</v>
      </c>
    </row>
    <row r="30">
      <c r="A30" s="42" t="s">
        <v>36</v>
      </c>
      <c r="B30" s="43">
        <f t="shared" ref="B30:M30" si="21">(B14/B13)</f>
        <v>0.2532893995</v>
      </c>
      <c r="C30" s="43">
        <f t="shared" si="21"/>
        <v>0.2725798628</v>
      </c>
      <c r="D30" s="43">
        <f t="shared" si="21"/>
        <v>0.2614117938</v>
      </c>
      <c r="E30" s="43">
        <f t="shared" si="21"/>
        <v>0.2662166388</v>
      </c>
      <c r="F30" s="44">
        <f t="shared" si="21"/>
        <v>0.2794183045</v>
      </c>
      <c r="G30" s="43">
        <f t="shared" si="21"/>
        <v>0.2726045695</v>
      </c>
      <c r="H30" s="43">
        <f t="shared" si="21"/>
        <v>0.26478234</v>
      </c>
      <c r="I30" s="43">
        <f t="shared" si="21"/>
        <v>0.2886687366</v>
      </c>
      <c r="J30" s="43">
        <f t="shared" si="21"/>
        <v>0.2802533055</v>
      </c>
      <c r="K30" s="43">
        <f t="shared" si="21"/>
        <v>0.2964359365</v>
      </c>
      <c r="L30" s="43">
        <f t="shared" si="21"/>
        <v>0.3064056454</v>
      </c>
      <c r="M30" s="43">
        <f t="shared" si="21"/>
        <v>0.284237091</v>
      </c>
      <c r="N30" s="45"/>
      <c r="O30" s="45"/>
    </row>
    <row r="32">
      <c r="B32" s="46">
        <f t="shared" ref="B32:M32" si="22">B29+B27</f>
        <v>941460.3533</v>
      </c>
      <c r="C32" s="46">
        <f t="shared" si="22"/>
        <v>844194.2833</v>
      </c>
      <c r="D32" s="46">
        <f t="shared" si="22"/>
        <v>854833.0633</v>
      </c>
      <c r="E32" s="46">
        <f t="shared" si="22"/>
        <v>940158.1067</v>
      </c>
      <c r="F32" s="46">
        <f t="shared" si="22"/>
        <v>837418.1075</v>
      </c>
      <c r="G32" s="46">
        <f t="shared" si="22"/>
        <v>735518.5431</v>
      </c>
      <c r="H32" s="46">
        <f t="shared" si="22"/>
        <v>899042.9375</v>
      </c>
      <c r="I32" s="46">
        <f t="shared" si="22"/>
        <v>774912.4867</v>
      </c>
      <c r="J32" s="46">
        <f t="shared" si="22"/>
        <v>792100.4667</v>
      </c>
      <c r="K32" s="46">
        <f t="shared" si="22"/>
        <v>650580.0271</v>
      </c>
      <c r="L32" s="46">
        <f t="shared" si="22"/>
        <v>609580.5861</v>
      </c>
      <c r="M32" s="46">
        <f t="shared" si="22"/>
        <v>1086004.875</v>
      </c>
    </row>
    <row r="33">
      <c r="A33" s="47"/>
      <c r="B33" s="48">
        <f t="shared" ref="B33:M33" si="23">B32/B13</f>
        <v>0.4061519023</v>
      </c>
      <c r="C33" s="48">
        <f t="shared" si="23"/>
        <v>0.3564985314</v>
      </c>
      <c r="D33" s="48">
        <f t="shared" si="23"/>
        <v>0.3763381443</v>
      </c>
      <c r="E33" s="48">
        <f t="shared" si="23"/>
        <v>0.3845142019</v>
      </c>
      <c r="F33" s="48">
        <f t="shared" si="23"/>
        <v>0.3605259173</v>
      </c>
      <c r="G33" s="48">
        <f t="shared" si="23"/>
        <v>0.3492765475</v>
      </c>
      <c r="H33" s="48">
        <f t="shared" si="23"/>
        <v>0.3896649291</v>
      </c>
      <c r="I33" s="48">
        <f t="shared" si="23"/>
        <v>0.3471452394</v>
      </c>
      <c r="J33" s="48">
        <f t="shared" si="23"/>
        <v>0.363606052</v>
      </c>
      <c r="K33" s="48">
        <f t="shared" si="23"/>
        <v>0.3047738547</v>
      </c>
      <c r="L33" s="48">
        <f t="shared" si="23"/>
        <v>0.3029782961</v>
      </c>
      <c r="M33" s="48">
        <f t="shared" si="23"/>
        <v>0.4062243854</v>
      </c>
    </row>
    <row r="34">
      <c r="A34" s="47"/>
      <c r="B34" s="48"/>
      <c r="C34" s="48"/>
      <c r="D34" s="48"/>
      <c r="E34" s="48"/>
    </row>
    <row r="35">
      <c r="A35" s="9"/>
      <c r="B35" s="49"/>
      <c r="C35" s="49"/>
      <c r="D35" s="49"/>
      <c r="E35" s="49"/>
    </row>
    <row r="36">
      <c r="A36" s="47"/>
      <c r="B36" s="50"/>
      <c r="C36" s="50"/>
      <c r="D36" s="50"/>
      <c r="E36" s="50"/>
    </row>
    <row r="37">
      <c r="B37" s="46"/>
    </row>
    <row r="38">
      <c r="B38" s="48"/>
    </row>
  </sheetData>
  <mergeCells count="1">
    <mergeCell ref="N1:O1"/>
  </mergeCells>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38"/>
  </cols>
  <sheetData>
    <row r="1">
      <c r="A1" s="1" t="s">
        <v>0</v>
      </c>
      <c r="B1" s="2">
        <v>45748.0</v>
      </c>
      <c r="C1" s="2">
        <v>45778.0</v>
      </c>
      <c r="D1" s="2">
        <v>45809.0</v>
      </c>
      <c r="E1" s="2">
        <v>45839.0</v>
      </c>
      <c r="F1" s="4">
        <v>45870.0</v>
      </c>
      <c r="G1" s="2">
        <v>45901.0</v>
      </c>
      <c r="H1" s="2">
        <v>45931.0</v>
      </c>
      <c r="I1" s="2">
        <v>45962.0</v>
      </c>
      <c r="J1" s="2">
        <v>45992.0</v>
      </c>
      <c r="K1" s="2">
        <v>46023.0</v>
      </c>
      <c r="L1" s="2">
        <v>46054.0</v>
      </c>
      <c r="M1" s="2">
        <v>46082.0</v>
      </c>
      <c r="N1" s="5" t="s">
        <v>5</v>
      </c>
      <c r="O1" s="6"/>
    </row>
    <row r="2">
      <c r="A2" s="7" t="s">
        <v>6</v>
      </c>
      <c r="B2" s="8"/>
      <c r="C2" s="8"/>
      <c r="D2" s="8"/>
      <c r="E2" s="8"/>
      <c r="F2" s="10"/>
      <c r="G2" s="8"/>
      <c r="H2" s="8"/>
      <c r="I2" s="8"/>
      <c r="J2" s="8"/>
      <c r="K2" s="8"/>
      <c r="L2" s="8"/>
      <c r="M2" s="8"/>
      <c r="N2" s="8"/>
      <c r="O2" s="8"/>
    </row>
    <row r="3">
      <c r="A3" s="11" t="s">
        <v>7</v>
      </c>
      <c r="B3" s="12">
        <v>28853.64</v>
      </c>
      <c r="C3" s="13">
        <f t="shared" ref="C3:M3" si="1">B7</f>
        <v>27870.05</v>
      </c>
      <c r="D3" s="14">
        <f t="shared" si="1"/>
        <v>30897.09</v>
      </c>
      <c r="E3" s="14">
        <f t="shared" si="1"/>
        <v>25613.86</v>
      </c>
      <c r="F3" s="14">
        <f t="shared" si="1"/>
        <v>34797</v>
      </c>
      <c r="G3" s="14">
        <f t="shared" si="1"/>
        <v>29046</v>
      </c>
      <c r="H3" s="14">
        <f t="shared" si="1"/>
        <v>34437.17</v>
      </c>
      <c r="I3" s="14">
        <f t="shared" si="1"/>
        <v>35238.95</v>
      </c>
      <c r="J3" s="14">
        <f t="shared" si="1"/>
        <v>30377.92</v>
      </c>
      <c r="K3" s="14">
        <f t="shared" si="1"/>
        <v>32918</v>
      </c>
      <c r="L3" s="14">
        <f t="shared" si="1"/>
        <v>31345.52</v>
      </c>
      <c r="M3" s="14">
        <f t="shared" si="1"/>
        <v>27487.28</v>
      </c>
      <c r="N3" s="15">
        <f>+SUM(J3:L3)</f>
        <v>94641.44</v>
      </c>
      <c r="O3" s="15"/>
    </row>
    <row r="4">
      <c r="A4" s="11" t="s">
        <v>9</v>
      </c>
      <c r="B4" s="16">
        <v>412929.15</v>
      </c>
      <c r="C4" s="16">
        <v>454226.11</v>
      </c>
      <c r="D4" s="17">
        <v>457480.9</v>
      </c>
      <c r="E4" s="17">
        <v>504849.47</v>
      </c>
      <c r="F4" s="17">
        <v>503759.38</v>
      </c>
      <c r="G4" s="17">
        <v>487853.37</v>
      </c>
      <c r="H4" s="17">
        <v>484824.47</v>
      </c>
      <c r="I4" s="17">
        <v>474597.35</v>
      </c>
      <c r="J4" s="17">
        <v>477515.0</v>
      </c>
      <c r="K4" s="17">
        <v>533474.51</v>
      </c>
      <c r="L4" s="17">
        <v>459966.98</v>
      </c>
      <c r="M4" s="14">
        <f>573365</f>
        <v>573365</v>
      </c>
      <c r="N4" s="15">
        <f>sum(B4:M4)</f>
        <v>5824841.69</v>
      </c>
      <c r="O4" s="15"/>
    </row>
    <row r="5">
      <c r="A5" s="11" t="s">
        <v>10</v>
      </c>
      <c r="B5" s="16">
        <v>569.0</v>
      </c>
      <c r="C5" s="16">
        <v>1199.23</v>
      </c>
      <c r="D5" s="17">
        <v>0.0</v>
      </c>
      <c r="E5" s="17">
        <v>0.0</v>
      </c>
      <c r="F5" s="17">
        <v>437.54</v>
      </c>
      <c r="G5" s="17">
        <v>1357.9</v>
      </c>
      <c r="H5" s="17">
        <v>1300.1</v>
      </c>
      <c r="I5" s="17">
        <v>520.41</v>
      </c>
      <c r="J5" s="17">
        <v>165.0</v>
      </c>
      <c r="K5" s="17">
        <v>379.42</v>
      </c>
      <c r="L5" s="17">
        <v>734.8</v>
      </c>
      <c r="M5" s="17">
        <v>782.37</v>
      </c>
      <c r="N5" s="15">
        <f t="shared" ref="N5:N6" si="2">+SUM(J5:L5)</f>
        <v>1279.22</v>
      </c>
      <c r="O5" s="15"/>
    </row>
    <row r="6">
      <c r="A6" s="11" t="s">
        <v>11</v>
      </c>
      <c r="B6" s="16">
        <v>19567.36</v>
      </c>
      <c r="C6" s="16">
        <v>21686.37</v>
      </c>
      <c r="D6" s="17">
        <v>22389.7</v>
      </c>
      <c r="E6" s="17">
        <v>24346.0</v>
      </c>
      <c r="F6" s="17">
        <v>24160.0</v>
      </c>
      <c r="G6" s="17">
        <v>23754.0</v>
      </c>
      <c r="H6" s="17">
        <v>22285.52</v>
      </c>
      <c r="I6" s="17">
        <v>21987.71</v>
      </c>
      <c r="J6" s="17">
        <v>23991.0</v>
      </c>
      <c r="K6" s="17">
        <v>23450.0</v>
      </c>
      <c r="L6" s="17">
        <v>19167.53</v>
      </c>
      <c r="M6" s="17">
        <v>25393.0</v>
      </c>
      <c r="N6" s="15">
        <f t="shared" si="2"/>
        <v>66608.53</v>
      </c>
      <c r="O6" s="15"/>
    </row>
    <row r="7">
      <c r="A7" s="11" t="s">
        <v>12</v>
      </c>
      <c r="B7" s="16">
        <v>27870.05</v>
      </c>
      <c r="C7" s="16">
        <v>30897.09</v>
      </c>
      <c r="D7" s="17">
        <v>25613.86</v>
      </c>
      <c r="E7" s="17">
        <v>34797.0</v>
      </c>
      <c r="F7" s="17">
        <v>29046.0</v>
      </c>
      <c r="G7" s="17">
        <v>34437.17</v>
      </c>
      <c r="H7" s="14">
        <f>35238.95</f>
        <v>35238.95</v>
      </c>
      <c r="I7" s="17">
        <v>30377.92</v>
      </c>
      <c r="J7" s="17">
        <v>32918.0</v>
      </c>
      <c r="K7" s="17">
        <v>31345.52</v>
      </c>
      <c r="L7" s="17">
        <v>27487.28</v>
      </c>
      <c r="M7" s="17">
        <v>35427.58</v>
      </c>
      <c r="N7" s="15">
        <f>sum(B7:M7)</f>
        <v>375456.42</v>
      </c>
      <c r="O7" s="15"/>
    </row>
    <row r="8">
      <c r="A8" s="8"/>
      <c r="B8" s="8"/>
      <c r="C8" s="8"/>
      <c r="D8" s="8"/>
      <c r="E8" s="8"/>
      <c r="F8" s="10"/>
      <c r="G8" s="8"/>
      <c r="H8" s="8"/>
      <c r="I8" s="8"/>
      <c r="J8" s="8"/>
      <c r="K8" s="8"/>
      <c r="L8" s="8"/>
      <c r="M8" s="8"/>
      <c r="N8" s="8"/>
      <c r="O8" s="8"/>
    </row>
    <row r="9">
      <c r="A9" s="19" t="s">
        <v>13</v>
      </c>
      <c r="B9" s="14">
        <f>2055773.56*1.05+15222.14*1.05</f>
        <v>2174545.485</v>
      </c>
      <c r="C9" s="14">
        <f>2222764.92*1.05+18363.66*1.05</f>
        <v>2353185.009</v>
      </c>
      <c r="D9" s="14">
        <f>2173493.93*1.05+16289.61*1.05</f>
        <v>2299272.717</v>
      </c>
      <c r="E9" s="14">
        <f>2428106.25*1.05+17673.6*1.05</f>
        <v>2568068.843</v>
      </c>
      <c r="F9" s="14">
        <f>2350844.78*1.05+18922.31*1.05</f>
        <v>2488255.445</v>
      </c>
      <c r="G9" s="14">
        <f>2333997.27*1.05</f>
        <v>2450697.134</v>
      </c>
      <c r="H9" s="14">
        <f>2253685.32*1.05+24245.55*1.05</f>
        <v>2391827.414</v>
      </c>
      <c r="I9" s="14">
        <f>2199380.1*1.05+22203.68*1.05</f>
        <v>2332662.969</v>
      </c>
      <c r="J9" s="14">
        <f>2179487.16*1.05+17329.25*1.05</f>
        <v>2306657.231</v>
      </c>
      <c r="K9" s="14">
        <f>2420087.75*1.05+18893.18*1.05</f>
        <v>2560929.977</v>
      </c>
      <c r="L9" s="14">
        <f>2125094.86*1.05+15321.13*1.05</f>
        <v>2247436.79</v>
      </c>
      <c r="M9" s="14">
        <f>2573967.17*1.05</f>
        <v>2702665.529</v>
      </c>
      <c r="N9" s="15">
        <f t="shared" ref="N9:N12" si="3">+SUM(B9:M9)</f>
        <v>28876204.54</v>
      </c>
      <c r="O9" s="15"/>
    </row>
    <row r="10">
      <c r="A10" s="19" t="s">
        <v>14</v>
      </c>
      <c r="B10" s="17">
        <v>0.0</v>
      </c>
      <c r="C10" s="17">
        <v>0.0</v>
      </c>
      <c r="D10" s="17">
        <v>0.0</v>
      </c>
      <c r="E10" s="17">
        <v>0.0</v>
      </c>
      <c r="F10" s="17">
        <v>0.0</v>
      </c>
      <c r="G10" s="17">
        <v>0.0</v>
      </c>
      <c r="H10" s="17">
        <v>0.0</v>
      </c>
      <c r="I10" s="17">
        <v>0.0</v>
      </c>
      <c r="J10" s="17">
        <v>0.0</v>
      </c>
      <c r="K10" s="17">
        <v>0.0</v>
      </c>
      <c r="L10" s="17">
        <v>0.0</v>
      </c>
      <c r="M10" s="17">
        <v>0.0</v>
      </c>
      <c r="N10" s="15">
        <f t="shared" si="3"/>
        <v>0</v>
      </c>
      <c r="O10" s="15"/>
    </row>
    <row r="11">
      <c r="A11" s="19" t="s">
        <v>15</v>
      </c>
      <c r="B11" s="14">
        <f t="shared" ref="B11:M11" si="4">(B9+B10)/1.05*0.05</f>
        <v>103549.785</v>
      </c>
      <c r="C11" s="14">
        <f t="shared" si="4"/>
        <v>112056.429</v>
      </c>
      <c r="D11" s="14">
        <f t="shared" si="4"/>
        <v>109489.177</v>
      </c>
      <c r="E11" s="14">
        <f t="shared" si="4"/>
        <v>122288.9925</v>
      </c>
      <c r="F11" s="14">
        <f t="shared" si="4"/>
        <v>118488.3545</v>
      </c>
      <c r="G11" s="14">
        <f t="shared" si="4"/>
        <v>116699.8635</v>
      </c>
      <c r="H11" s="14">
        <f t="shared" si="4"/>
        <v>113896.5435</v>
      </c>
      <c r="I11" s="14">
        <f t="shared" si="4"/>
        <v>111079.189</v>
      </c>
      <c r="J11" s="14">
        <f t="shared" si="4"/>
        <v>109840.8205</v>
      </c>
      <c r="K11" s="14">
        <f t="shared" si="4"/>
        <v>121949.0465</v>
      </c>
      <c r="L11" s="14">
        <f t="shared" si="4"/>
        <v>107020.7995</v>
      </c>
      <c r="M11" s="14">
        <f t="shared" si="4"/>
        <v>128698.3585</v>
      </c>
      <c r="N11" s="15">
        <f t="shared" si="3"/>
        <v>1375057.359</v>
      </c>
      <c r="O11" s="15"/>
    </row>
    <row r="12">
      <c r="A12" s="19" t="s">
        <v>17</v>
      </c>
      <c r="B12" s="14">
        <f>35080.59+526.5+6314.5+94.72+50247.26+9044.53+9150</f>
        <v>110458.1</v>
      </c>
      <c r="C12" s="14">
        <f>7597.18+42206.52+56185.98+10113.45+65.88+14144+2545.94</f>
        <v>132858.95</v>
      </c>
      <c r="D12" s="13">
        <f>37612.75+6770.29+48344.69+8702+18079.23+3254.27</f>
        <v>122763.23</v>
      </c>
      <c r="E12" s="14">
        <f>366.24+40778.46+16083.39+7406.04+56223.16+10120.2+1788.28+13363+2405</f>
        <v>148533.77</v>
      </c>
      <c r="F12" s="14">
        <f>55260.33+8053.33+44193.64+7954+1396.83+22322.89+4018.31</f>
        <v>143199.33</v>
      </c>
      <c r="G12" s="14">
        <f>44848.24*1.18+1828.72*1.18+64092.76*1.18</f>
        <v>130708.2696</v>
      </c>
      <c r="H12" s="14">
        <f>56178.46*1.18+58872.03*1.18+842.5*1.18+11765.87*1.18</f>
        <v>150637.4548</v>
      </c>
      <c r="I12" s="14">
        <f>52116.71*1.18+55610.67*1.18+2788.64*1.18</f>
        <v>130408.9036</v>
      </c>
      <c r="J12" s="14">
        <f>(40030+780.36)*1.18+58904.98*1.18+1753.22*1.18</f>
        <v>119732.9008</v>
      </c>
      <c r="K12" s="14">
        <f>44878.17*1.18+2581.98*1.18+60807*1.18</f>
        <v>127755.237</v>
      </c>
      <c r="L12" s="14">
        <f>41762.09+25279.76+30155+152.19+4550.33+27.37+1625.53*1.18+30.75*1.18</f>
        <v>103881.1504</v>
      </c>
      <c r="M12" s="14">
        <f>51295.94*1.18+44390.78*1.18+2605.82*1.18+30.35*1.18+24010.66*1.18</f>
        <v>144353.589</v>
      </c>
      <c r="N12" s="15">
        <f t="shared" si="3"/>
        <v>1565290.885</v>
      </c>
      <c r="O12" s="15"/>
    </row>
    <row r="13">
      <c r="A13" s="21" t="s">
        <v>19</v>
      </c>
      <c r="B13" s="22">
        <f t="shared" ref="B13:M13" si="5">B9+B10-B11-B12</f>
        <v>1960537.6</v>
      </c>
      <c r="C13" s="22">
        <f t="shared" si="5"/>
        <v>2108269.63</v>
      </c>
      <c r="D13" s="22">
        <f t="shared" si="5"/>
        <v>2067020.31</v>
      </c>
      <c r="E13" s="22">
        <f t="shared" si="5"/>
        <v>2297246.08</v>
      </c>
      <c r="F13" s="23">
        <f t="shared" si="5"/>
        <v>2226567.76</v>
      </c>
      <c r="G13" s="23">
        <f t="shared" si="5"/>
        <v>2203289</v>
      </c>
      <c r="H13" s="22">
        <f t="shared" si="5"/>
        <v>2127293.415</v>
      </c>
      <c r="I13" s="22">
        <f t="shared" si="5"/>
        <v>2091174.876</v>
      </c>
      <c r="J13" s="22">
        <f t="shared" si="5"/>
        <v>2077083.509</v>
      </c>
      <c r="K13" s="22">
        <f t="shared" si="5"/>
        <v>2311225.693</v>
      </c>
      <c r="L13" s="22">
        <f t="shared" si="5"/>
        <v>2036534.84</v>
      </c>
      <c r="M13" s="22">
        <f t="shared" si="5"/>
        <v>2429613.581</v>
      </c>
      <c r="N13" s="22">
        <f t="shared" ref="N13:N29" si="7">sum(B13:M13)</f>
        <v>25935856.29</v>
      </c>
      <c r="O13" s="24"/>
    </row>
    <row r="14">
      <c r="A14" s="19" t="s">
        <v>20</v>
      </c>
      <c r="B14" s="26">
        <f t="shared" ref="B14:M14" si="6">+B3+B4-B5-B7</f>
        <v>413343.74</v>
      </c>
      <c r="C14" s="26">
        <f t="shared" si="6"/>
        <v>449999.84</v>
      </c>
      <c r="D14" s="26">
        <f t="shared" si="6"/>
        <v>462764.13</v>
      </c>
      <c r="E14" s="26">
        <f t="shared" si="6"/>
        <v>495666.33</v>
      </c>
      <c r="F14" s="26">
        <f t="shared" si="6"/>
        <v>509072.84</v>
      </c>
      <c r="G14" s="26">
        <f t="shared" si="6"/>
        <v>481104.3</v>
      </c>
      <c r="H14" s="26">
        <f t="shared" si="6"/>
        <v>482722.59</v>
      </c>
      <c r="I14" s="26">
        <f t="shared" si="6"/>
        <v>478937.97</v>
      </c>
      <c r="J14" s="26">
        <f t="shared" si="6"/>
        <v>474809.92</v>
      </c>
      <c r="K14" s="26">
        <f t="shared" si="6"/>
        <v>534667.57</v>
      </c>
      <c r="L14" s="26">
        <f t="shared" si="6"/>
        <v>463090.42</v>
      </c>
      <c r="M14" s="26">
        <f t="shared" si="6"/>
        <v>564642.33</v>
      </c>
      <c r="N14" s="15">
        <f t="shared" si="7"/>
        <v>5810821.98</v>
      </c>
      <c r="O14" s="27">
        <f t="shared" ref="O14:O29" si="8">N14/$N$13</f>
        <v>0.224045889</v>
      </c>
    </row>
    <row r="15">
      <c r="A15" s="19" t="s">
        <v>21</v>
      </c>
      <c r="B15" s="14">
        <f>81743</f>
        <v>81743</v>
      </c>
      <c r="C15" s="17">
        <v>85077.0</v>
      </c>
      <c r="D15" s="14">
        <f>79803</f>
        <v>79803</v>
      </c>
      <c r="E15" s="17">
        <v>78743.0</v>
      </c>
      <c r="F15" s="17">
        <v>85879.0</v>
      </c>
      <c r="G15" s="17">
        <v>77576.0</v>
      </c>
      <c r="H15" s="17">
        <v>77448.0</v>
      </c>
      <c r="I15" s="17">
        <v>63656.0</v>
      </c>
      <c r="J15" s="17">
        <v>61194.0</v>
      </c>
      <c r="K15" s="17">
        <v>55639.0</v>
      </c>
      <c r="L15" s="17">
        <v>63555.0</v>
      </c>
      <c r="M15" s="17">
        <v>72310.0</v>
      </c>
      <c r="N15" s="15">
        <f t="shared" si="7"/>
        <v>882623</v>
      </c>
      <c r="O15" s="27">
        <f t="shared" si="8"/>
        <v>0.03403099516</v>
      </c>
    </row>
    <row r="16">
      <c r="A16" s="19" t="s">
        <v>22</v>
      </c>
      <c r="B16" s="17">
        <v>1357.0</v>
      </c>
      <c r="C16" s="14">
        <f t="shared" ref="C16:E16" si="9">1357</f>
        <v>1357</v>
      </c>
      <c r="D16" s="14">
        <f t="shared" si="9"/>
        <v>1357</v>
      </c>
      <c r="E16" s="14">
        <f t="shared" si="9"/>
        <v>1357</v>
      </c>
      <c r="F16" s="17">
        <v>1357.0</v>
      </c>
      <c r="G16" s="17">
        <v>1357.0</v>
      </c>
      <c r="H16" s="17">
        <v>1357.0</v>
      </c>
      <c r="I16" s="30">
        <v>1357.0</v>
      </c>
      <c r="J16" s="30">
        <v>1357.0</v>
      </c>
      <c r="K16" s="17">
        <v>1357.0</v>
      </c>
      <c r="L16" s="17">
        <v>1357.0</v>
      </c>
      <c r="M16" s="14">
        <f>1357</f>
        <v>1357</v>
      </c>
      <c r="N16" s="15">
        <f t="shared" si="7"/>
        <v>16284</v>
      </c>
      <c r="O16" s="27">
        <f t="shared" si="8"/>
        <v>0.0006278566559</v>
      </c>
    </row>
    <row r="17">
      <c r="A17" s="19" t="s">
        <v>23</v>
      </c>
      <c r="B17" s="14"/>
      <c r="C17" s="14"/>
      <c r="D17" s="14"/>
      <c r="E17" s="14"/>
      <c r="F17" s="14"/>
      <c r="G17" s="14"/>
      <c r="H17" s="14"/>
      <c r="I17" s="14"/>
      <c r="J17" s="14"/>
      <c r="K17" s="14"/>
      <c r="L17" s="14"/>
      <c r="M17" s="14"/>
      <c r="N17" s="15">
        <f t="shared" si="7"/>
        <v>0</v>
      </c>
      <c r="O17" s="27">
        <f t="shared" si="8"/>
        <v>0</v>
      </c>
    </row>
    <row r="18">
      <c r="A18" s="19" t="s">
        <v>24</v>
      </c>
      <c r="B18" s="14">
        <f>109740+105782</f>
        <v>215522</v>
      </c>
      <c r="C18" s="14">
        <f>109740+123019</f>
        <v>232759</v>
      </c>
      <c r="D18" s="14">
        <f>109740+117992</f>
        <v>227732</v>
      </c>
      <c r="E18" s="14">
        <f>109740+144816</f>
        <v>254556</v>
      </c>
      <c r="F18" s="14">
        <f>109740+136278</f>
        <v>246018</v>
      </c>
      <c r="G18" s="14">
        <f>109740+133004</f>
        <v>242744</v>
      </c>
      <c r="H18" s="14">
        <f>109740+126106</f>
        <v>235846</v>
      </c>
      <c r="I18" s="14">
        <f>109740+120976</f>
        <v>230716</v>
      </c>
      <c r="J18" s="14">
        <f>109740+118456</f>
        <v>228196</v>
      </c>
      <c r="K18" s="14">
        <f>109740+143840</f>
        <v>253580</v>
      </c>
      <c r="L18" s="14">
        <f>109740+112739</f>
        <v>222479</v>
      </c>
      <c r="M18" s="14">
        <f>109740+159479</f>
        <v>269219</v>
      </c>
      <c r="N18" s="15">
        <f t="shared" si="7"/>
        <v>2859367</v>
      </c>
      <c r="O18" s="27">
        <f t="shared" si="8"/>
        <v>0.110247642</v>
      </c>
    </row>
    <row r="19">
      <c r="A19" s="19" t="s">
        <v>25</v>
      </c>
      <c r="B19" s="17">
        <v>5767.0</v>
      </c>
      <c r="C19" s="17">
        <v>5767.0</v>
      </c>
      <c r="D19" s="17">
        <v>5767.0</v>
      </c>
      <c r="E19" s="17">
        <v>5767.0</v>
      </c>
      <c r="F19" s="17">
        <v>5767.0</v>
      </c>
      <c r="G19" s="17">
        <v>5767.0</v>
      </c>
      <c r="H19" s="17">
        <v>5767.0</v>
      </c>
      <c r="I19" s="17">
        <v>5767.0</v>
      </c>
      <c r="J19" s="17">
        <v>5767.0</v>
      </c>
      <c r="K19" s="17">
        <f t="shared" ref="K19:M19" si="10">34000*1.18/12+4250*1.18/12</f>
        <v>3761.25</v>
      </c>
      <c r="L19" s="17">
        <f t="shared" si="10"/>
        <v>3761.25</v>
      </c>
      <c r="M19" s="17">
        <f t="shared" si="10"/>
        <v>3761.25</v>
      </c>
      <c r="N19" s="15">
        <f t="shared" si="7"/>
        <v>63186.75</v>
      </c>
      <c r="O19" s="27">
        <f t="shared" si="8"/>
        <v>0.002436270053</v>
      </c>
    </row>
    <row r="20">
      <c r="A20" s="20" t="s">
        <v>26</v>
      </c>
      <c r="B20" s="14">
        <f>258126+9800+16520+136352/12</f>
        <v>295808.6667</v>
      </c>
      <c r="C20" s="14">
        <f>252065.16+9800+136352/12</f>
        <v>273227.8267</v>
      </c>
      <c r="D20" s="14">
        <f>190896.66+64998.15+4035.15+9800+16520+136352/12</f>
        <v>297612.6267</v>
      </c>
      <c r="E20" s="14">
        <f>259788.06+9800+16520+136352/12</f>
        <v>297470.7267</v>
      </c>
      <c r="F20" s="14">
        <f>16520+269723.55+136352/12+9800</f>
        <v>307406.2167</v>
      </c>
      <c r="G20" s="14">
        <f>296525.01+136352/12+9800+16520</f>
        <v>334207.6767</v>
      </c>
      <c r="H20" s="14">
        <f>136352/12+299612.59+9800+12790</f>
        <v>333565.2567</v>
      </c>
      <c r="I20" s="14">
        <f>136352/12+304902+9800+551</f>
        <v>326615.6667</v>
      </c>
      <c r="J20" s="14">
        <f>136352/12+285156+9800+551</f>
        <v>306869.6667</v>
      </c>
      <c r="K20" s="14">
        <f>136352/12+9800+298717</f>
        <v>319879.6667</v>
      </c>
      <c r="L20" s="14">
        <f>136352/12+9800+308488</f>
        <v>329650.6667</v>
      </c>
      <c r="M20" s="14">
        <f>136352/12+11000+304706</f>
        <v>327068.6667</v>
      </c>
      <c r="N20" s="15">
        <f t="shared" si="7"/>
        <v>3749383.33</v>
      </c>
      <c r="O20" s="27">
        <f t="shared" si="8"/>
        <v>0.1445636993</v>
      </c>
    </row>
    <row r="21">
      <c r="A21" s="11" t="s">
        <v>27</v>
      </c>
      <c r="B21" s="17">
        <f>2360+2478+2950</f>
        <v>7788</v>
      </c>
      <c r="C21" s="17">
        <f>2478+2478+2950</f>
        <v>7906</v>
      </c>
      <c r="D21" s="17">
        <f>2478+1859+2950</f>
        <v>7287</v>
      </c>
      <c r="E21" s="14">
        <f t="shared" ref="E21:I21" si="11">2950+2478+2478</f>
        <v>7906</v>
      </c>
      <c r="F21" s="14">
        <f t="shared" si="11"/>
        <v>7906</v>
      </c>
      <c r="G21" s="14">
        <f t="shared" si="11"/>
        <v>7906</v>
      </c>
      <c r="H21" s="14">
        <f t="shared" si="11"/>
        <v>7906</v>
      </c>
      <c r="I21" s="14">
        <f t="shared" si="11"/>
        <v>7906</v>
      </c>
      <c r="J21" s="14">
        <f>2478+2478+2950+2478</f>
        <v>10384</v>
      </c>
      <c r="K21" s="14">
        <f>2950+4500+2478+2478</f>
        <v>12406</v>
      </c>
      <c r="L21" s="14">
        <f>2478+2478+2950</f>
        <v>7906</v>
      </c>
      <c r="M21" s="14">
        <f>2950+2478+2478</f>
        <v>7906</v>
      </c>
      <c r="N21" s="15">
        <f t="shared" si="7"/>
        <v>101113</v>
      </c>
      <c r="O21" s="27">
        <f t="shared" si="8"/>
        <v>0.00389857959</v>
      </c>
    </row>
    <row r="22">
      <c r="A22" s="32" t="s">
        <v>28</v>
      </c>
      <c r="B22" s="14">
        <f t="shared" ref="B22:C22" si="12">24000/3+2124/3+9813/12+6372/12</f>
        <v>10056.75</v>
      </c>
      <c r="C22" s="14">
        <f t="shared" si="12"/>
        <v>10056.75</v>
      </c>
      <c r="D22" s="14">
        <f>24000/3+2124/3+9813/12+6372/12+1000</f>
        <v>11056.75</v>
      </c>
      <c r="E22" s="14">
        <f>9813/12+6372/12+2124/3+24000/3</f>
        <v>10056.75</v>
      </c>
      <c r="F22" s="14">
        <f t="shared" ref="F22:G22" si="13">9813/12+6372/12+2124/3</f>
        <v>2056.75</v>
      </c>
      <c r="G22" s="14">
        <f t="shared" si="13"/>
        <v>2056.75</v>
      </c>
      <c r="H22" s="14">
        <f t="shared" ref="H22:J22" si="14">9813/12+6372/12+2124/3+24000/3</f>
        <v>10056.75</v>
      </c>
      <c r="I22" s="14">
        <f t="shared" si="14"/>
        <v>10056.75</v>
      </c>
      <c r="J22" s="14">
        <f t="shared" si="14"/>
        <v>10056.75</v>
      </c>
      <c r="K22" s="14">
        <f t="shared" ref="K22:M22" si="15">9813/12+6372/12+3271.32/3+24000/3</f>
        <v>10439.19</v>
      </c>
      <c r="L22" s="14">
        <f t="shared" si="15"/>
        <v>10439.19</v>
      </c>
      <c r="M22" s="14">
        <f t="shared" si="15"/>
        <v>10439.19</v>
      </c>
      <c r="N22" s="15">
        <f t="shared" si="7"/>
        <v>106828.32</v>
      </c>
      <c r="O22" s="27">
        <f t="shared" si="8"/>
        <v>0.004118943242</v>
      </c>
    </row>
    <row r="23">
      <c r="A23" s="20" t="s">
        <v>29</v>
      </c>
      <c r="B23" s="33"/>
      <c r="C23" s="34"/>
      <c r="D23" s="34"/>
      <c r="E23" s="34"/>
      <c r="F23" s="14"/>
      <c r="G23" s="14"/>
      <c r="H23" s="14"/>
      <c r="I23" s="14"/>
      <c r="J23" s="14"/>
      <c r="K23" s="14"/>
      <c r="L23" s="14"/>
      <c r="M23" s="14"/>
      <c r="N23" s="15">
        <f t="shared" si="7"/>
        <v>0</v>
      </c>
      <c r="O23" s="27">
        <f t="shared" si="8"/>
        <v>0</v>
      </c>
    </row>
    <row r="24">
      <c r="A24" s="19" t="s">
        <v>30</v>
      </c>
      <c r="B24" s="33">
        <v>100.0</v>
      </c>
      <c r="C24" s="33">
        <v>0.0</v>
      </c>
      <c r="D24" s="34">
        <f>40120/12+200</f>
        <v>3543.333333</v>
      </c>
      <c r="E24" s="34">
        <f>40120/12+30318</f>
        <v>33661.33333</v>
      </c>
      <c r="F24" s="34">
        <f>40120/12+11250</f>
        <v>14593.33333</v>
      </c>
      <c r="G24" s="34">
        <f>40120/12+1150</f>
        <v>4493.333333</v>
      </c>
      <c r="H24" s="34">
        <f>40120/12</f>
        <v>3343.333333</v>
      </c>
      <c r="I24" s="34">
        <f>40120/12+20500</f>
        <v>23843.33333</v>
      </c>
      <c r="J24" s="34">
        <f>40120/12+23270</f>
        <v>26613.33333</v>
      </c>
      <c r="K24" s="34">
        <f>40120/12+700</f>
        <v>4043.333333</v>
      </c>
      <c r="L24" s="34">
        <f>40120/12+593</f>
        <v>3936.333333</v>
      </c>
      <c r="M24" s="34">
        <f>40120/12+12810</f>
        <v>16153.33333</v>
      </c>
      <c r="N24" s="15">
        <f t="shared" si="7"/>
        <v>134324.3333</v>
      </c>
      <c r="O24" s="27">
        <f t="shared" si="8"/>
        <v>0.005179097686</v>
      </c>
    </row>
    <row r="25">
      <c r="A25" s="19" t="s">
        <v>31</v>
      </c>
      <c r="B25" s="17">
        <f>11736.67+5310/3</f>
        <v>13506.67</v>
      </c>
      <c r="C25" s="17">
        <f>8966.98+5310/3</f>
        <v>10736.98</v>
      </c>
      <c r="D25" s="14">
        <f>6211+5310/3</f>
        <v>7981</v>
      </c>
      <c r="E25" s="17">
        <f>24056+4500/3</f>
        <v>25556</v>
      </c>
      <c r="F25" s="14">
        <f>32705+4500/3</f>
        <v>34205</v>
      </c>
      <c r="G25" s="17">
        <f>20849.19+4500/3</f>
        <v>22349.19</v>
      </c>
      <c r="H25" s="17">
        <v>23216.0</v>
      </c>
      <c r="I25" s="17">
        <v>27974.32</v>
      </c>
      <c r="J25" s="17">
        <v>32933.0</v>
      </c>
      <c r="K25" s="14">
        <f>20500.88</f>
        <v>20500.88</v>
      </c>
      <c r="L25" s="17">
        <v>33557.0</v>
      </c>
      <c r="M25" s="17">
        <v>35347.0</v>
      </c>
      <c r="N25" s="15">
        <f t="shared" si="7"/>
        <v>287863.04</v>
      </c>
      <c r="O25" s="27">
        <f t="shared" si="8"/>
        <v>0.01109903744</v>
      </c>
    </row>
    <row r="26">
      <c r="A26" s="19" t="s">
        <v>32</v>
      </c>
      <c r="B26" s="17">
        <v>14160.0</v>
      </c>
      <c r="C26" s="17">
        <v>14160.0</v>
      </c>
      <c r="D26" s="17">
        <v>14160.0</v>
      </c>
      <c r="E26" s="17">
        <v>14160.0</v>
      </c>
      <c r="F26" s="17">
        <v>14160.0</v>
      </c>
      <c r="G26" s="17">
        <v>14160.0</v>
      </c>
      <c r="H26" s="17">
        <v>14160.0</v>
      </c>
      <c r="I26" s="17">
        <v>14160.0</v>
      </c>
      <c r="J26" s="17">
        <v>14160.0</v>
      </c>
      <c r="K26" s="17">
        <v>14160.0</v>
      </c>
      <c r="L26" s="17">
        <v>14160.0</v>
      </c>
      <c r="M26" s="17">
        <v>14160.0</v>
      </c>
      <c r="N26" s="15">
        <f t="shared" si="7"/>
        <v>169920</v>
      </c>
      <c r="O26" s="27">
        <f t="shared" si="8"/>
        <v>0.006551547713</v>
      </c>
    </row>
    <row r="27">
      <c r="A27" s="19" t="s">
        <v>33</v>
      </c>
      <c r="B27" s="14">
        <f>HO!D26</f>
        <v>397651.821</v>
      </c>
      <c r="C27" s="14">
        <f>HO!H26</f>
        <v>423655.1914</v>
      </c>
      <c r="D27" s="14">
        <f>HO!L26</f>
        <v>411123.5589</v>
      </c>
      <c r="E27" s="14">
        <f>HO!P26</f>
        <v>491369.5687</v>
      </c>
      <c r="F27" s="14">
        <f>HO!D45</f>
        <v>436775.4678</v>
      </c>
      <c r="G27" s="14">
        <f>HO!H45</f>
        <v>473874.8375</v>
      </c>
      <c r="H27" s="14">
        <f>HO!L45</f>
        <v>409951.0698</v>
      </c>
      <c r="I27" s="14">
        <f>HO!P45</f>
        <v>451163.6288</v>
      </c>
      <c r="J27" s="14">
        <f>HO!D64</f>
        <v>391119.6343</v>
      </c>
      <c r="K27" s="14">
        <f>HO!H64</f>
        <v>450462.2151</v>
      </c>
      <c r="L27" s="14">
        <f>HO!L64</f>
        <v>426079.3874</v>
      </c>
      <c r="M27" s="14">
        <f>HO!P64</f>
        <v>447461.329</v>
      </c>
      <c r="N27" s="15">
        <f t="shared" si="7"/>
        <v>5210687.71</v>
      </c>
      <c r="O27" s="27">
        <f t="shared" si="8"/>
        <v>0.2009067158</v>
      </c>
    </row>
    <row r="28">
      <c r="A28" s="35" t="s">
        <v>34</v>
      </c>
      <c r="B28" s="36">
        <f t="shared" ref="B28:M28" si="16">+SUM(B14:B27)</f>
        <v>1456804.648</v>
      </c>
      <c r="C28" s="36">
        <f t="shared" si="16"/>
        <v>1514702.588</v>
      </c>
      <c r="D28" s="36">
        <f t="shared" si="16"/>
        <v>1530187.399</v>
      </c>
      <c r="E28" s="36">
        <f t="shared" si="16"/>
        <v>1716269.709</v>
      </c>
      <c r="F28" s="36">
        <f t="shared" si="16"/>
        <v>1665196.608</v>
      </c>
      <c r="G28" s="36">
        <f t="shared" si="16"/>
        <v>1667596.087</v>
      </c>
      <c r="H28" s="36">
        <f t="shared" si="16"/>
        <v>1605339</v>
      </c>
      <c r="I28" s="36">
        <f t="shared" si="16"/>
        <v>1642153.669</v>
      </c>
      <c r="J28" s="36">
        <f t="shared" si="16"/>
        <v>1563460.304</v>
      </c>
      <c r="K28" s="36">
        <f t="shared" si="16"/>
        <v>1680896.105</v>
      </c>
      <c r="L28" s="36">
        <f t="shared" si="16"/>
        <v>1579971.247</v>
      </c>
      <c r="M28" s="36">
        <f t="shared" si="16"/>
        <v>1769825.099</v>
      </c>
      <c r="N28" s="36">
        <f t="shared" si="7"/>
        <v>19392402.46</v>
      </c>
      <c r="O28" s="38">
        <f t="shared" si="8"/>
        <v>0.7477062736</v>
      </c>
    </row>
    <row r="29">
      <c r="A29" s="39" t="s">
        <v>35</v>
      </c>
      <c r="B29" s="40">
        <f t="shared" ref="B29:M29" si="17">B13-B28</f>
        <v>503732.9523</v>
      </c>
      <c r="C29" s="40">
        <f t="shared" si="17"/>
        <v>593567.0419</v>
      </c>
      <c r="D29" s="40">
        <f t="shared" si="17"/>
        <v>536832.9111</v>
      </c>
      <c r="E29" s="40">
        <f t="shared" si="17"/>
        <v>580976.3713</v>
      </c>
      <c r="F29" s="40">
        <f t="shared" si="17"/>
        <v>561371.1522</v>
      </c>
      <c r="G29" s="40">
        <f t="shared" si="17"/>
        <v>535692.9129</v>
      </c>
      <c r="H29" s="40">
        <f t="shared" si="17"/>
        <v>521954.4154</v>
      </c>
      <c r="I29" s="40">
        <f t="shared" si="17"/>
        <v>449021.2076</v>
      </c>
      <c r="J29" s="40">
        <f t="shared" si="17"/>
        <v>513623.2049</v>
      </c>
      <c r="K29" s="40">
        <f t="shared" si="17"/>
        <v>630329.5879</v>
      </c>
      <c r="L29" s="40">
        <f t="shared" si="17"/>
        <v>456563.5922</v>
      </c>
      <c r="M29" s="40">
        <f t="shared" si="17"/>
        <v>659788.482</v>
      </c>
      <c r="N29" s="40">
        <f t="shared" si="7"/>
        <v>6543453.832</v>
      </c>
      <c r="O29" s="41">
        <f t="shared" si="8"/>
        <v>0.2522937264</v>
      </c>
    </row>
    <row r="30">
      <c r="A30" s="42" t="s">
        <v>36</v>
      </c>
      <c r="B30" s="43">
        <f t="shared" ref="B30:M30" si="18">(B14/B13)</f>
        <v>0.2108318351</v>
      </c>
      <c r="C30" s="43">
        <f t="shared" si="18"/>
        <v>0.2134451085</v>
      </c>
      <c r="D30" s="43">
        <f t="shared" si="18"/>
        <v>0.2238798176</v>
      </c>
      <c r="E30" s="43">
        <f t="shared" si="18"/>
        <v>0.2157654482</v>
      </c>
      <c r="F30" s="44">
        <f t="shared" si="18"/>
        <v>0.2286356828</v>
      </c>
      <c r="G30" s="43">
        <f t="shared" si="18"/>
        <v>0.2183573285</v>
      </c>
      <c r="H30" s="43">
        <f t="shared" si="18"/>
        <v>0.2269186688</v>
      </c>
      <c r="I30" s="43">
        <f t="shared" si="18"/>
        <v>0.2290281771</v>
      </c>
      <c r="J30" s="43">
        <f t="shared" si="18"/>
        <v>0.2285945259</v>
      </c>
      <c r="K30" s="43">
        <f t="shared" si="18"/>
        <v>0.2313350754</v>
      </c>
      <c r="L30" s="43">
        <f t="shared" si="18"/>
        <v>0.2273913566</v>
      </c>
      <c r="M30" s="43">
        <f t="shared" si="18"/>
        <v>0.2324000551</v>
      </c>
      <c r="N30" s="45"/>
      <c r="O30" s="45"/>
    </row>
    <row r="32">
      <c r="B32" s="46">
        <f t="shared" ref="B32:M32" si="19">B29+B27</f>
        <v>901384.7733</v>
      </c>
      <c r="C32" s="46">
        <f t="shared" si="19"/>
        <v>1017222.233</v>
      </c>
      <c r="D32" s="46">
        <f t="shared" si="19"/>
        <v>947956.47</v>
      </c>
      <c r="E32" s="46">
        <f t="shared" si="19"/>
        <v>1072345.94</v>
      </c>
      <c r="F32" s="46">
        <f t="shared" si="19"/>
        <v>998146.62</v>
      </c>
      <c r="G32" s="46">
        <f t="shared" si="19"/>
        <v>1009567.75</v>
      </c>
      <c r="H32" s="46">
        <f t="shared" si="19"/>
        <v>931905.4852</v>
      </c>
      <c r="I32" s="46">
        <f t="shared" si="19"/>
        <v>900184.8364</v>
      </c>
      <c r="J32" s="46">
        <f t="shared" si="19"/>
        <v>904742.8392</v>
      </c>
      <c r="K32" s="46">
        <f t="shared" si="19"/>
        <v>1080791.803</v>
      </c>
      <c r="L32" s="46">
        <f t="shared" si="19"/>
        <v>882642.9796</v>
      </c>
      <c r="M32" s="46">
        <f t="shared" si="19"/>
        <v>1107249.811</v>
      </c>
    </row>
    <row r="33">
      <c r="A33" s="47"/>
      <c r="B33" s="48">
        <f t="shared" ref="B33:M33" si="20">B32/B13</f>
        <v>0.4597640838</v>
      </c>
      <c r="C33" s="48">
        <f t="shared" si="20"/>
        <v>0.4824915271</v>
      </c>
      <c r="D33" s="48">
        <f t="shared" si="20"/>
        <v>0.4586101382</v>
      </c>
      <c r="E33" s="48">
        <f t="shared" si="20"/>
        <v>0.4667962868</v>
      </c>
      <c r="F33" s="48">
        <f t="shared" si="20"/>
        <v>0.4482893528</v>
      </c>
      <c r="G33" s="48">
        <f t="shared" si="20"/>
        <v>0.4582094089</v>
      </c>
      <c r="H33" s="48">
        <f t="shared" si="20"/>
        <v>0.4380709678</v>
      </c>
      <c r="I33" s="48">
        <f t="shared" si="20"/>
        <v>0.4304684637</v>
      </c>
      <c r="J33" s="48">
        <f t="shared" si="20"/>
        <v>0.4355832759</v>
      </c>
      <c r="K33" s="48">
        <f t="shared" si="20"/>
        <v>0.467627115</v>
      </c>
      <c r="L33" s="48">
        <f t="shared" si="20"/>
        <v>0.4334043113</v>
      </c>
      <c r="M33" s="48">
        <f t="shared" si="20"/>
        <v>0.4557308288</v>
      </c>
    </row>
    <row r="34">
      <c r="A34" s="47"/>
      <c r="B34" s="48"/>
      <c r="C34" s="48"/>
      <c r="D34" s="48"/>
      <c r="E34" s="48"/>
    </row>
    <row r="35">
      <c r="A35" s="9"/>
      <c r="B35" s="48"/>
      <c r="C35" s="48"/>
      <c r="D35" s="48"/>
      <c r="E35" s="48"/>
    </row>
    <row r="36">
      <c r="A36" s="47"/>
      <c r="B36" s="48"/>
      <c r="C36" s="48"/>
      <c r="D36" s="48"/>
      <c r="E36" s="48"/>
    </row>
  </sheetData>
  <mergeCells count="1">
    <mergeCell ref="N1:O1"/>
  </mergeCells>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38"/>
    <col customWidth="1" min="15" max="15" width="9.5"/>
  </cols>
  <sheetData>
    <row r="1">
      <c r="A1" s="1" t="s">
        <v>3</v>
      </c>
      <c r="B1" s="2">
        <v>45748.0</v>
      </c>
      <c r="C1" s="2">
        <v>45778.0</v>
      </c>
      <c r="D1" s="2">
        <v>45809.0</v>
      </c>
      <c r="E1" s="2">
        <v>45839.0</v>
      </c>
      <c r="F1" s="4">
        <v>45870.0</v>
      </c>
      <c r="G1" s="2">
        <v>45901.0</v>
      </c>
      <c r="H1" s="2">
        <v>45931.0</v>
      </c>
      <c r="I1" s="2">
        <v>45962.0</v>
      </c>
      <c r="J1" s="2">
        <v>45992.0</v>
      </c>
      <c r="K1" s="2">
        <v>46023.0</v>
      </c>
      <c r="L1" s="2">
        <v>46054.0</v>
      </c>
      <c r="M1" s="2">
        <v>46082.0</v>
      </c>
      <c r="N1" s="5" t="s">
        <v>5</v>
      </c>
      <c r="O1" s="6"/>
    </row>
    <row r="2">
      <c r="A2" s="7" t="s">
        <v>6</v>
      </c>
      <c r="B2" s="8"/>
      <c r="C2" s="8"/>
      <c r="D2" s="8"/>
      <c r="E2" s="8"/>
      <c r="F2" s="10"/>
      <c r="G2" s="8"/>
      <c r="H2" s="8"/>
      <c r="I2" s="8"/>
      <c r="J2" s="8"/>
      <c r="K2" s="8"/>
      <c r="L2" s="8"/>
      <c r="M2" s="8"/>
      <c r="N2" s="8"/>
      <c r="O2" s="8"/>
    </row>
    <row r="3">
      <c r="A3" s="11" t="s">
        <v>7</v>
      </c>
      <c r="B3" s="12">
        <v>31212.63</v>
      </c>
      <c r="C3" s="14">
        <f t="shared" ref="C3:M3" si="1">B7</f>
        <v>32154.48</v>
      </c>
      <c r="D3" s="14">
        <f t="shared" si="1"/>
        <v>29729.9</v>
      </c>
      <c r="E3" s="14">
        <f t="shared" si="1"/>
        <v>42360.03</v>
      </c>
      <c r="F3" s="14">
        <f t="shared" si="1"/>
        <v>39466.8</v>
      </c>
      <c r="G3" s="14">
        <f t="shared" si="1"/>
        <v>27409.41</v>
      </c>
      <c r="H3" s="14">
        <f t="shared" si="1"/>
        <v>25428</v>
      </c>
      <c r="I3" s="14">
        <f t="shared" si="1"/>
        <v>26072</v>
      </c>
      <c r="J3" s="14">
        <f t="shared" si="1"/>
        <v>17790.41</v>
      </c>
      <c r="K3" s="14">
        <f t="shared" si="1"/>
        <v>21846</v>
      </c>
      <c r="L3" s="14">
        <f t="shared" si="1"/>
        <v>24890.98</v>
      </c>
      <c r="M3" s="14">
        <f t="shared" si="1"/>
        <v>16996</v>
      </c>
      <c r="N3" s="15">
        <f>B3</f>
        <v>31212.63</v>
      </c>
      <c r="O3" s="18"/>
    </row>
    <row r="4">
      <c r="A4" s="11" t="s">
        <v>9</v>
      </c>
      <c r="B4" s="17">
        <v>138244.0</v>
      </c>
      <c r="C4" s="17">
        <v>151022.0</v>
      </c>
      <c r="D4" s="17">
        <v>148054.0</v>
      </c>
      <c r="E4" s="17">
        <v>148260.0</v>
      </c>
      <c r="F4" s="17">
        <v>125671.0</v>
      </c>
      <c r="G4" s="17">
        <v>130553.0</v>
      </c>
      <c r="H4" s="17">
        <v>127326.39</v>
      </c>
      <c r="I4" s="17">
        <v>113539.22</v>
      </c>
      <c r="J4" s="17">
        <v>148785.0</v>
      </c>
      <c r="K4" s="17">
        <v>133628.0</v>
      </c>
      <c r="L4" s="17">
        <f>115163-5040.78</f>
        <v>110122.22</v>
      </c>
      <c r="M4" s="17">
        <v>140671.29</v>
      </c>
      <c r="N4" s="15">
        <f>sum(B4:M4)</f>
        <v>1615876.12</v>
      </c>
      <c r="O4" s="18"/>
    </row>
    <row r="5">
      <c r="A5" s="11" t="s">
        <v>10</v>
      </c>
      <c r="B5" s="17">
        <v>1136.97</v>
      </c>
      <c r="C5" s="17">
        <v>2006.09</v>
      </c>
      <c r="D5" s="17">
        <v>1302.59</v>
      </c>
      <c r="E5" s="17">
        <v>2571.86</v>
      </c>
      <c r="F5" s="17">
        <v>377.52</v>
      </c>
      <c r="G5" s="17">
        <v>133.48</v>
      </c>
      <c r="H5" s="17">
        <v>315.0</v>
      </c>
      <c r="I5" s="17">
        <v>992.33</v>
      </c>
      <c r="J5" s="17">
        <v>76.0</v>
      </c>
      <c r="K5" s="17">
        <v>1398.0</v>
      </c>
      <c r="L5" s="14">
        <f>4854.37</f>
        <v>4854.37</v>
      </c>
      <c r="M5" s="17">
        <v>855.01</v>
      </c>
      <c r="N5" s="15">
        <f t="shared" ref="N5:N6" si="2">+SUM(J5:L5)</f>
        <v>6328.37</v>
      </c>
      <c r="O5" s="18"/>
    </row>
    <row r="6">
      <c r="A6" s="11" t="s">
        <v>11</v>
      </c>
      <c r="B6" s="17">
        <v>4271.44</v>
      </c>
      <c r="C6" s="17">
        <v>3150.74</v>
      </c>
      <c r="D6" s="17">
        <v>3864.0</v>
      </c>
      <c r="E6" s="17">
        <v>7104.68</v>
      </c>
      <c r="F6" s="17">
        <v>3404.91</v>
      </c>
      <c r="G6" s="17">
        <v>2860.0</v>
      </c>
      <c r="H6" s="17">
        <v>3805.07</v>
      </c>
      <c r="I6" s="17">
        <v>3304.0</v>
      </c>
      <c r="J6" s="17">
        <v>3935.0</v>
      </c>
      <c r="K6" s="17">
        <v>4897.67</v>
      </c>
      <c r="L6" s="17">
        <v>13315.0</v>
      </c>
      <c r="M6" s="17">
        <v>5686.0</v>
      </c>
      <c r="N6" s="15">
        <f t="shared" si="2"/>
        <v>22147.67</v>
      </c>
      <c r="O6" s="18"/>
    </row>
    <row r="7">
      <c r="A7" s="11" t="s">
        <v>12</v>
      </c>
      <c r="B7" s="17">
        <v>32154.48</v>
      </c>
      <c r="C7" s="17">
        <v>29729.9</v>
      </c>
      <c r="D7" s="17">
        <v>42360.03</v>
      </c>
      <c r="E7" s="17">
        <v>39466.8</v>
      </c>
      <c r="F7" s="17">
        <v>27409.41</v>
      </c>
      <c r="G7" s="17">
        <v>25428.0</v>
      </c>
      <c r="H7" s="17">
        <v>26072.0</v>
      </c>
      <c r="I7" s="17">
        <v>17790.41</v>
      </c>
      <c r="J7" s="17">
        <v>21846.0</v>
      </c>
      <c r="K7" s="17">
        <v>24890.98</v>
      </c>
      <c r="L7" s="17">
        <v>16996.0</v>
      </c>
      <c r="M7" s="17">
        <v>19397.33</v>
      </c>
      <c r="N7" s="15">
        <f>sum(B7:M7)</f>
        <v>323541.34</v>
      </c>
      <c r="O7" s="18"/>
    </row>
    <row r="8">
      <c r="A8" s="8"/>
      <c r="B8" s="8"/>
      <c r="C8" s="8"/>
      <c r="D8" s="8"/>
      <c r="E8" s="8"/>
      <c r="F8" s="10"/>
      <c r="G8" s="8"/>
      <c r="H8" s="8"/>
      <c r="I8" s="8"/>
      <c r="J8" s="8"/>
      <c r="K8" s="8"/>
      <c r="L8" s="8"/>
      <c r="M8" s="8"/>
      <c r="N8" s="8"/>
      <c r="O8" s="8"/>
    </row>
    <row r="9">
      <c r="A9" s="19" t="s">
        <v>13</v>
      </c>
      <c r="B9" s="14">
        <f>632245.42*1.05</f>
        <v>663857.691</v>
      </c>
      <c r="C9" s="14">
        <f>733415.89*1.05</f>
        <v>770086.6845</v>
      </c>
      <c r="D9" s="14">
        <f>660849.43*1.05</f>
        <v>693891.9015</v>
      </c>
      <c r="E9" s="14">
        <f>772036.5*1.05</f>
        <v>810638.325</v>
      </c>
      <c r="F9" s="14">
        <f>665954.87*1.05</f>
        <v>699252.6135</v>
      </c>
      <c r="G9" s="14">
        <f>686650.07*1.05</f>
        <v>720982.5735</v>
      </c>
      <c r="H9" s="14">
        <f>620318.57*1.05</f>
        <v>651334.4985</v>
      </c>
      <c r="I9" s="14">
        <f>627585.92*1.05</f>
        <v>658965.216</v>
      </c>
      <c r="J9" s="14">
        <f>734697.69*1.05</f>
        <v>771432.5745</v>
      </c>
      <c r="K9" s="14">
        <f>625240*1.05</f>
        <v>656502</v>
      </c>
      <c r="L9" s="14">
        <f>350349.47*1.05</f>
        <v>367866.9435</v>
      </c>
      <c r="M9" s="14">
        <f>631692.74*1.05</f>
        <v>663277.377</v>
      </c>
      <c r="N9" s="15">
        <f t="shared" ref="N9:N12" si="3">+SUM(B9:M9)</f>
        <v>8128088.399</v>
      </c>
      <c r="O9" s="18"/>
    </row>
    <row r="10">
      <c r="A10" s="19" t="s">
        <v>14</v>
      </c>
      <c r="B10" s="17">
        <v>0.0</v>
      </c>
      <c r="C10" s="17">
        <v>0.0</v>
      </c>
      <c r="D10" s="17">
        <v>0.0</v>
      </c>
      <c r="E10" s="17">
        <v>0.0</v>
      </c>
      <c r="F10" s="17">
        <v>0.0</v>
      </c>
      <c r="G10" s="17">
        <v>0.0</v>
      </c>
      <c r="H10" s="17">
        <v>0.0</v>
      </c>
      <c r="I10" s="17">
        <v>0.0</v>
      </c>
      <c r="J10" s="17">
        <v>0.0</v>
      </c>
      <c r="K10" s="17">
        <v>0.0</v>
      </c>
      <c r="L10" s="17">
        <v>0.0</v>
      </c>
      <c r="M10" s="17">
        <v>0.0</v>
      </c>
      <c r="N10" s="15">
        <f t="shared" si="3"/>
        <v>0</v>
      </c>
      <c r="O10" s="18"/>
    </row>
    <row r="11">
      <c r="A11" s="19" t="s">
        <v>15</v>
      </c>
      <c r="B11" s="14">
        <f t="shared" ref="B11:M11" si="4">(B9+B10)/1.05*0.05</f>
        <v>31612.271</v>
      </c>
      <c r="C11" s="14">
        <f t="shared" si="4"/>
        <v>36670.7945</v>
      </c>
      <c r="D11" s="14">
        <f t="shared" si="4"/>
        <v>33042.4715</v>
      </c>
      <c r="E11" s="14">
        <f t="shared" si="4"/>
        <v>38601.825</v>
      </c>
      <c r="F11" s="14">
        <f t="shared" si="4"/>
        <v>33297.7435</v>
      </c>
      <c r="G11" s="14">
        <f t="shared" si="4"/>
        <v>34332.5035</v>
      </c>
      <c r="H11" s="14">
        <f t="shared" si="4"/>
        <v>31015.9285</v>
      </c>
      <c r="I11" s="14">
        <f t="shared" si="4"/>
        <v>31379.296</v>
      </c>
      <c r="J11" s="14">
        <f t="shared" si="4"/>
        <v>36734.8845</v>
      </c>
      <c r="K11" s="14">
        <f t="shared" si="4"/>
        <v>31262</v>
      </c>
      <c r="L11" s="14">
        <f t="shared" si="4"/>
        <v>17517.4735</v>
      </c>
      <c r="M11" s="14">
        <f t="shared" si="4"/>
        <v>31584.637</v>
      </c>
      <c r="N11" s="15">
        <f t="shared" si="3"/>
        <v>387051.8285</v>
      </c>
      <c r="O11" s="18"/>
    </row>
    <row r="12">
      <c r="A12" s="19" t="s">
        <v>17</v>
      </c>
      <c r="B12" s="14"/>
      <c r="C12" s="14"/>
      <c r="D12" s="14"/>
      <c r="E12" s="14"/>
      <c r="F12" s="14"/>
      <c r="G12" s="14"/>
      <c r="H12" s="14"/>
      <c r="I12" s="14"/>
      <c r="J12" s="14"/>
      <c r="K12" s="14"/>
      <c r="L12" s="14"/>
      <c r="M12" s="14"/>
      <c r="N12" s="15">
        <f t="shared" si="3"/>
        <v>0</v>
      </c>
      <c r="O12" s="18"/>
    </row>
    <row r="13">
      <c r="A13" s="21" t="s">
        <v>19</v>
      </c>
      <c r="B13" s="22">
        <f t="shared" ref="B13:M13" si="5">B9+B10-B11-B12</f>
        <v>632245.42</v>
      </c>
      <c r="C13" s="22">
        <f t="shared" si="5"/>
        <v>733415.89</v>
      </c>
      <c r="D13" s="22">
        <f t="shared" si="5"/>
        <v>660849.43</v>
      </c>
      <c r="E13" s="22">
        <f t="shared" si="5"/>
        <v>772036.5</v>
      </c>
      <c r="F13" s="23">
        <f t="shared" si="5"/>
        <v>665954.87</v>
      </c>
      <c r="G13" s="23">
        <f t="shared" si="5"/>
        <v>686650.07</v>
      </c>
      <c r="H13" s="22">
        <f t="shared" si="5"/>
        <v>620318.57</v>
      </c>
      <c r="I13" s="22">
        <f t="shared" si="5"/>
        <v>627585.92</v>
      </c>
      <c r="J13" s="22">
        <f t="shared" si="5"/>
        <v>734697.69</v>
      </c>
      <c r="K13" s="22">
        <f t="shared" si="5"/>
        <v>625240</v>
      </c>
      <c r="L13" s="22">
        <f t="shared" si="5"/>
        <v>350349.47</v>
      </c>
      <c r="M13" s="22">
        <f t="shared" si="5"/>
        <v>631692.74</v>
      </c>
      <c r="N13" s="22">
        <f t="shared" ref="N13:N29" si="7">sum(B13:M13)</f>
        <v>7741036.57</v>
      </c>
      <c r="O13" s="24">
        <f>N13/$N$7</f>
        <v>23.92595818</v>
      </c>
    </row>
    <row r="14">
      <c r="A14" s="19" t="s">
        <v>20</v>
      </c>
      <c r="B14" s="26">
        <f t="shared" ref="B14:M14" si="6">+B3+B4-B5-B7</f>
        <v>136165.18</v>
      </c>
      <c r="C14" s="26">
        <f t="shared" si="6"/>
        <v>151440.49</v>
      </c>
      <c r="D14" s="26">
        <f t="shared" si="6"/>
        <v>134121.28</v>
      </c>
      <c r="E14" s="26">
        <f t="shared" si="6"/>
        <v>148581.37</v>
      </c>
      <c r="F14" s="26">
        <f t="shared" si="6"/>
        <v>137350.87</v>
      </c>
      <c r="G14" s="26">
        <f t="shared" si="6"/>
        <v>132400.93</v>
      </c>
      <c r="H14" s="26">
        <f t="shared" si="6"/>
        <v>126367.39</v>
      </c>
      <c r="I14" s="26">
        <f t="shared" si="6"/>
        <v>120828.48</v>
      </c>
      <c r="J14" s="26">
        <f t="shared" si="6"/>
        <v>144653.41</v>
      </c>
      <c r="K14" s="26">
        <f t="shared" si="6"/>
        <v>129185.02</v>
      </c>
      <c r="L14" s="26">
        <f t="shared" si="6"/>
        <v>113162.83</v>
      </c>
      <c r="M14" s="26">
        <f t="shared" si="6"/>
        <v>137414.95</v>
      </c>
      <c r="N14" s="15">
        <f t="shared" si="7"/>
        <v>1611672.2</v>
      </c>
      <c r="O14" s="27">
        <f t="shared" ref="O14:O29" si="8">N14/$N$13</f>
        <v>0.2081984997</v>
      </c>
    </row>
    <row r="15">
      <c r="A15" s="19" t="s">
        <v>21</v>
      </c>
      <c r="B15" s="26">
        <f>3965+47011</f>
        <v>50976</v>
      </c>
      <c r="C15" s="26">
        <f>3965+48049</f>
        <v>52014</v>
      </c>
      <c r="D15" s="26">
        <f>3965+42320</f>
        <v>46285</v>
      </c>
      <c r="E15" s="26">
        <f>3965+46546</f>
        <v>50511</v>
      </c>
      <c r="F15" s="26">
        <f>3965+43524</f>
        <v>47489</v>
      </c>
      <c r="G15" s="26">
        <f>43196+3965</f>
        <v>47161</v>
      </c>
      <c r="H15" s="26">
        <f>3965+45032</f>
        <v>48997</v>
      </c>
      <c r="I15" s="28">
        <f>41325+3965</f>
        <v>45290</v>
      </c>
      <c r="J15" s="26">
        <f>3965+44282</f>
        <v>48247</v>
      </c>
      <c r="K15" s="26">
        <f>3965+43832</f>
        <v>47797</v>
      </c>
      <c r="L15" s="26">
        <f>3965+34082</f>
        <v>38047</v>
      </c>
      <c r="M15" s="28">
        <f>44759+1026</f>
        <v>45785</v>
      </c>
      <c r="N15" s="15">
        <f t="shared" si="7"/>
        <v>568599</v>
      </c>
      <c r="O15" s="27">
        <f t="shared" si="8"/>
        <v>0.07345256606</v>
      </c>
    </row>
    <row r="16">
      <c r="A16" s="19" t="s">
        <v>22</v>
      </c>
      <c r="B16" s="26">
        <f t="shared" ref="B16:K16" si="9">588.82</f>
        <v>588.82</v>
      </c>
      <c r="C16" s="26">
        <f t="shared" si="9"/>
        <v>588.82</v>
      </c>
      <c r="D16" s="26">
        <f t="shared" si="9"/>
        <v>588.82</v>
      </c>
      <c r="E16" s="26">
        <f t="shared" si="9"/>
        <v>588.82</v>
      </c>
      <c r="F16" s="26">
        <f t="shared" si="9"/>
        <v>588.82</v>
      </c>
      <c r="G16" s="26">
        <f t="shared" si="9"/>
        <v>588.82</v>
      </c>
      <c r="H16" s="26">
        <f t="shared" si="9"/>
        <v>588.82</v>
      </c>
      <c r="I16" s="26">
        <f t="shared" si="9"/>
        <v>588.82</v>
      </c>
      <c r="J16" s="26">
        <f t="shared" si="9"/>
        <v>588.82</v>
      </c>
      <c r="K16" s="26">
        <f t="shared" si="9"/>
        <v>588.82</v>
      </c>
      <c r="L16" s="28">
        <v>588.52</v>
      </c>
      <c r="M16" s="28">
        <v>588.52</v>
      </c>
      <c r="N16" s="15">
        <f t="shared" si="7"/>
        <v>7065.24</v>
      </c>
      <c r="O16" s="27">
        <f t="shared" si="8"/>
        <v>0.0009126994733</v>
      </c>
    </row>
    <row r="17">
      <c r="A17" s="19" t="s">
        <v>23</v>
      </c>
      <c r="B17" s="29">
        <v>0.0</v>
      </c>
      <c r="C17" s="29">
        <v>0.0</v>
      </c>
      <c r="D17" s="29">
        <v>0.0</v>
      </c>
      <c r="E17" s="29">
        <v>0.0</v>
      </c>
      <c r="F17" s="29">
        <v>0.0</v>
      </c>
      <c r="G17" s="29">
        <v>0.0</v>
      </c>
      <c r="H17" s="29">
        <v>0.0</v>
      </c>
      <c r="I17" s="29">
        <v>0.0</v>
      </c>
      <c r="J17" s="29">
        <v>0.0</v>
      </c>
      <c r="K17" s="29">
        <v>0.0</v>
      </c>
      <c r="L17" s="26">
        <f>1576</f>
        <v>1576</v>
      </c>
      <c r="M17" s="28">
        <v>4239.0</v>
      </c>
      <c r="N17" s="15">
        <f t="shared" si="7"/>
        <v>5815</v>
      </c>
      <c r="O17" s="27">
        <f t="shared" si="8"/>
        <v>0.0007511913873</v>
      </c>
    </row>
    <row r="18">
      <c r="A18" s="19" t="s">
        <v>24</v>
      </c>
      <c r="B18" s="26">
        <f>52881+59162</f>
        <v>112043</v>
      </c>
      <c r="C18" s="26">
        <f>66959+63301</f>
        <v>130260</v>
      </c>
      <c r="D18" s="26">
        <f>55823+61683</f>
        <v>117506</v>
      </c>
      <c r="E18" s="26">
        <f>63424+73282</f>
        <v>136706</v>
      </c>
      <c r="F18" s="26">
        <f>58968+58907</f>
        <v>117875</v>
      </c>
      <c r="G18" s="26">
        <f>59568+59568</f>
        <v>119136</v>
      </c>
      <c r="H18" s="26">
        <f>61286+47687</f>
        <v>108973</v>
      </c>
      <c r="I18" s="26">
        <f>56198+54890</f>
        <v>111088</v>
      </c>
      <c r="J18" s="26">
        <f>56816+73217</f>
        <v>130033</v>
      </c>
      <c r="K18" s="26">
        <f>56764+53917</f>
        <v>110681</v>
      </c>
      <c r="L18" s="26">
        <f>35778+26235</f>
        <v>62013</v>
      </c>
      <c r="M18" s="28">
        <f>44114+67649</f>
        <v>111763</v>
      </c>
      <c r="N18" s="15">
        <f t="shared" si="7"/>
        <v>1368077</v>
      </c>
      <c r="O18" s="27">
        <f t="shared" si="8"/>
        <v>0.176730466</v>
      </c>
    </row>
    <row r="19">
      <c r="A19" s="19" t="s">
        <v>25</v>
      </c>
      <c r="B19" s="26">
        <v>3343.0</v>
      </c>
      <c r="C19" s="26">
        <v>3343.0</v>
      </c>
      <c r="D19" s="26">
        <v>3343.0</v>
      </c>
      <c r="E19" s="26">
        <v>3343.0</v>
      </c>
      <c r="F19" s="26">
        <v>3343.0</v>
      </c>
      <c r="G19" s="26">
        <v>3343.0</v>
      </c>
      <c r="H19" s="26">
        <v>3343.0</v>
      </c>
      <c r="I19" s="26">
        <v>3343.0</v>
      </c>
      <c r="J19" s="26">
        <v>3343.0</v>
      </c>
      <c r="K19" s="26">
        <f t="shared" ref="K19:M19" si="10">34000*1.18/12</f>
        <v>3343.333333</v>
      </c>
      <c r="L19" s="26">
        <f t="shared" si="10"/>
        <v>3343.333333</v>
      </c>
      <c r="M19" s="26">
        <f t="shared" si="10"/>
        <v>3343.333333</v>
      </c>
      <c r="N19" s="15">
        <f t="shared" si="7"/>
        <v>40117</v>
      </c>
      <c r="O19" s="27">
        <f t="shared" si="8"/>
        <v>0.005182380891</v>
      </c>
    </row>
    <row r="20">
      <c r="A20" s="20" t="s">
        <v>26</v>
      </c>
      <c r="B20" s="26">
        <f>79451+37286/12</f>
        <v>82558.16667</v>
      </c>
      <c r="C20" s="26">
        <f>76271+37286/12</f>
        <v>79378.16667</v>
      </c>
      <c r="D20" s="26">
        <f>66367+26325+1808.59+37286/12</f>
        <v>97607.75667</v>
      </c>
      <c r="E20" s="26">
        <f>97964+37286/12</f>
        <v>101071.1667</v>
      </c>
      <c r="F20" s="28">
        <f t="shared" ref="F20:G20" si="11">96964+37286/12</f>
        <v>100071.1667</v>
      </c>
      <c r="G20" s="28">
        <f t="shared" si="11"/>
        <v>100071.1667</v>
      </c>
      <c r="H20" s="26">
        <f>37286/12+96964</f>
        <v>100071.1667</v>
      </c>
      <c r="I20" s="26">
        <f>37286/12+100214</f>
        <v>103321.1667</v>
      </c>
      <c r="J20" s="26">
        <f>37286/12+94408</f>
        <v>97515.16667</v>
      </c>
      <c r="K20" s="26">
        <f>37286/12+103931</f>
        <v>107038.1667</v>
      </c>
      <c r="L20" s="26">
        <f>37286/12+102093</f>
        <v>105200.1667</v>
      </c>
      <c r="M20" s="26">
        <f>37286/12+92182</f>
        <v>95289.16667</v>
      </c>
      <c r="N20" s="15">
        <f t="shared" si="7"/>
        <v>1169192.59</v>
      </c>
      <c r="O20" s="27">
        <f t="shared" si="8"/>
        <v>0.1510382465</v>
      </c>
    </row>
    <row r="21">
      <c r="A21" s="11" t="s">
        <v>27</v>
      </c>
      <c r="B21" s="26">
        <f>2478+2478+3457+14455/12</f>
        <v>9617.583333</v>
      </c>
      <c r="C21" s="26">
        <f t="shared" ref="C21:F21" si="12">2478+3457+14455/12</f>
        <v>7139.583333</v>
      </c>
      <c r="D21" s="26">
        <f t="shared" si="12"/>
        <v>7139.583333</v>
      </c>
      <c r="E21" s="26">
        <f t="shared" si="12"/>
        <v>7139.583333</v>
      </c>
      <c r="F21" s="28">
        <f t="shared" si="12"/>
        <v>7139.583333</v>
      </c>
      <c r="G21" s="28">
        <f t="shared" ref="G21:I21" si="13">14455/12+3457+2478</f>
        <v>7139.583333</v>
      </c>
      <c r="H21" s="26">
        <f t="shared" si="13"/>
        <v>7139.583333</v>
      </c>
      <c r="I21" s="26">
        <f t="shared" si="13"/>
        <v>7139.583333</v>
      </c>
      <c r="J21" s="26">
        <f>14455/12+2478+3457</f>
        <v>7139.583333</v>
      </c>
      <c r="K21" s="26">
        <f>14455/12+3457+2478</f>
        <v>7139.583333</v>
      </c>
      <c r="L21" s="26">
        <f>14455/12+2478+3457+6250</f>
        <v>13389.58333</v>
      </c>
      <c r="M21" s="26">
        <f>14455/12+2457+2478</f>
        <v>6139.583333</v>
      </c>
      <c r="N21" s="15">
        <f t="shared" si="7"/>
        <v>93403</v>
      </c>
      <c r="O21" s="27">
        <f t="shared" si="8"/>
        <v>0.01206595514</v>
      </c>
    </row>
    <row r="22">
      <c r="A22" s="32" t="s">
        <v>28</v>
      </c>
      <c r="B22" s="26">
        <f t="shared" ref="B22:D22" si="14">2124/3+9813/12+6372/12</f>
        <v>2056.75</v>
      </c>
      <c r="C22" s="26">
        <f t="shared" si="14"/>
        <v>2056.75</v>
      </c>
      <c r="D22" s="26">
        <f t="shared" si="14"/>
        <v>2056.75</v>
      </c>
      <c r="E22" s="26">
        <f t="shared" ref="E22:J22" si="15">9813/12+6372/12+2124/3</f>
        <v>2056.75</v>
      </c>
      <c r="F22" s="26">
        <f t="shared" si="15"/>
        <v>2056.75</v>
      </c>
      <c r="G22" s="26">
        <f t="shared" si="15"/>
        <v>2056.75</v>
      </c>
      <c r="H22" s="26">
        <f t="shared" si="15"/>
        <v>2056.75</v>
      </c>
      <c r="I22" s="26">
        <f t="shared" si="15"/>
        <v>2056.75</v>
      </c>
      <c r="J22" s="26">
        <f t="shared" si="15"/>
        <v>2056.75</v>
      </c>
      <c r="K22" s="26">
        <f t="shared" ref="K22:M22" si="16">9813/12+6372/12+3271.32/3</f>
        <v>2439.19</v>
      </c>
      <c r="L22" s="26">
        <f t="shared" si="16"/>
        <v>2439.19</v>
      </c>
      <c r="M22" s="26">
        <f t="shared" si="16"/>
        <v>2439.19</v>
      </c>
      <c r="N22" s="15">
        <f t="shared" si="7"/>
        <v>25828.32</v>
      </c>
      <c r="O22" s="27">
        <f t="shared" si="8"/>
        <v>0.003336545405</v>
      </c>
    </row>
    <row r="23">
      <c r="A23" s="20" t="s">
        <v>29</v>
      </c>
      <c r="B23" s="26">
        <v>0.0</v>
      </c>
      <c r="C23" s="26">
        <v>805.42</v>
      </c>
      <c r="D23" s="26">
        <v>805.42</v>
      </c>
      <c r="E23" s="26">
        <v>805.42</v>
      </c>
      <c r="F23" s="26">
        <v>805.42</v>
      </c>
      <c r="G23" s="26">
        <v>805.42</v>
      </c>
      <c r="H23" s="26">
        <v>805.42</v>
      </c>
      <c r="I23" s="26">
        <v>805.42</v>
      </c>
      <c r="J23" s="26">
        <v>805.42</v>
      </c>
      <c r="K23" s="26">
        <v>805.42</v>
      </c>
      <c r="L23" s="26">
        <v>805.42</v>
      </c>
      <c r="M23" s="26">
        <v>805.42</v>
      </c>
      <c r="N23" s="15">
        <f t="shared" si="7"/>
        <v>8859.62</v>
      </c>
      <c r="O23" s="27">
        <f t="shared" si="8"/>
        <v>0.001144500471</v>
      </c>
    </row>
    <row r="24">
      <c r="A24" s="19" t="s">
        <v>30</v>
      </c>
      <c r="B24" s="26">
        <v>0.0</v>
      </c>
      <c r="C24" s="26">
        <v>0.0</v>
      </c>
      <c r="D24" s="26">
        <f>7392</f>
        <v>7392</v>
      </c>
      <c r="E24" s="28">
        <v>0.0</v>
      </c>
      <c r="F24" s="26">
        <f>7900</f>
        <v>7900</v>
      </c>
      <c r="G24" s="28">
        <v>0.0</v>
      </c>
      <c r="H24" s="28">
        <v>2155.0</v>
      </c>
      <c r="I24" s="28">
        <v>0.0</v>
      </c>
      <c r="J24" s="28">
        <v>2000.0</v>
      </c>
      <c r="K24" s="28">
        <v>2506.82</v>
      </c>
      <c r="L24" s="26">
        <f>7978</f>
        <v>7978</v>
      </c>
      <c r="M24" s="28">
        <v>1000.0</v>
      </c>
      <c r="N24" s="15">
        <f t="shared" si="7"/>
        <v>30931.82</v>
      </c>
      <c r="O24" s="27">
        <f t="shared" si="8"/>
        <v>0.003995824037</v>
      </c>
    </row>
    <row r="25">
      <c r="A25" s="19" t="s">
        <v>31</v>
      </c>
      <c r="B25" s="26">
        <v>2420.0</v>
      </c>
      <c r="C25" s="26">
        <v>280.0</v>
      </c>
      <c r="D25" s="26">
        <f>1040</f>
        <v>1040</v>
      </c>
      <c r="E25" s="28">
        <v>2545.0</v>
      </c>
      <c r="F25" s="26">
        <f>11311</f>
        <v>11311</v>
      </c>
      <c r="G25" s="28">
        <v>2312.0</v>
      </c>
      <c r="H25" s="28">
        <v>21147.0</v>
      </c>
      <c r="I25" s="28">
        <v>1255.0</v>
      </c>
      <c r="J25" s="28">
        <v>0.0</v>
      </c>
      <c r="K25" s="28">
        <v>0.0</v>
      </c>
      <c r="L25" s="28">
        <v>1933.0</v>
      </c>
      <c r="M25" s="28">
        <v>11480.0</v>
      </c>
      <c r="N25" s="15">
        <f t="shared" si="7"/>
        <v>55723</v>
      </c>
      <c r="O25" s="27">
        <f t="shared" si="8"/>
        <v>0.00719838997</v>
      </c>
    </row>
    <row r="26">
      <c r="A26" s="19" t="s">
        <v>32</v>
      </c>
      <c r="B26" s="26">
        <f t="shared" ref="B26:K26" si="17">54280</f>
        <v>54280</v>
      </c>
      <c r="C26" s="26">
        <f t="shared" si="17"/>
        <v>54280</v>
      </c>
      <c r="D26" s="26">
        <f t="shared" si="17"/>
        <v>54280</v>
      </c>
      <c r="E26" s="26">
        <f t="shared" si="17"/>
        <v>54280</v>
      </c>
      <c r="F26" s="26">
        <f t="shared" si="17"/>
        <v>54280</v>
      </c>
      <c r="G26" s="26">
        <f t="shared" si="17"/>
        <v>54280</v>
      </c>
      <c r="H26" s="26">
        <f t="shared" si="17"/>
        <v>54280</v>
      </c>
      <c r="I26" s="26">
        <f t="shared" si="17"/>
        <v>54280</v>
      </c>
      <c r="J26" s="26">
        <f t="shared" si="17"/>
        <v>54280</v>
      </c>
      <c r="K26" s="26">
        <f t="shared" si="17"/>
        <v>54280</v>
      </c>
      <c r="L26" s="28">
        <v>54280.0</v>
      </c>
      <c r="M26" s="28">
        <v>54280.0</v>
      </c>
      <c r="N26" s="15">
        <f t="shared" si="7"/>
        <v>651360</v>
      </c>
      <c r="O26" s="27">
        <f t="shared" si="8"/>
        <v>0.08414376991</v>
      </c>
    </row>
    <row r="27">
      <c r="A27" s="19" t="s">
        <v>33</v>
      </c>
      <c r="B27" s="26">
        <f>HO!D27</f>
        <v>128237.042</v>
      </c>
      <c r="C27" s="26">
        <f>HO!H27</f>
        <v>147379.3697</v>
      </c>
      <c r="D27" s="26">
        <f>HO!L27</f>
        <v>131440.7837</v>
      </c>
      <c r="E27" s="26">
        <f>HO!P27</f>
        <v>165134.787</v>
      </c>
      <c r="F27" s="26">
        <f>HO!D46</f>
        <v>130637.2773</v>
      </c>
      <c r="G27" s="26">
        <f>HO!H46</f>
        <v>147682.0291</v>
      </c>
      <c r="H27" s="26">
        <f>HO!L46</f>
        <v>119541.6954</v>
      </c>
      <c r="I27" s="26">
        <f>HO!P46</f>
        <v>135399.4562</v>
      </c>
      <c r="J27" s="26">
        <f>HO!D65</f>
        <v>138345.2762</v>
      </c>
      <c r="K27" s="26">
        <f>HO!H65</f>
        <v>121860.4467</v>
      </c>
      <c r="L27" s="26">
        <f>HO!L65</f>
        <v>73299.35372</v>
      </c>
      <c r="M27" s="26">
        <f>HO!P65</f>
        <v>116338.6948</v>
      </c>
      <c r="N27" s="15">
        <f t="shared" si="7"/>
        <v>1555296.212</v>
      </c>
      <c r="O27" s="27">
        <f t="shared" si="8"/>
        <v>0.2009157556</v>
      </c>
    </row>
    <row r="28">
      <c r="A28" s="35" t="s">
        <v>34</v>
      </c>
      <c r="B28" s="36">
        <f t="shared" ref="B28:M28" si="18">+SUM(B14:B27)</f>
        <v>582285.542</v>
      </c>
      <c r="C28" s="36">
        <f t="shared" si="18"/>
        <v>628965.5997</v>
      </c>
      <c r="D28" s="36">
        <f t="shared" si="18"/>
        <v>603606.3937</v>
      </c>
      <c r="E28" s="36">
        <f t="shared" si="18"/>
        <v>672762.897</v>
      </c>
      <c r="F28" s="37">
        <f t="shared" si="18"/>
        <v>620847.8873</v>
      </c>
      <c r="G28" s="36">
        <f t="shared" si="18"/>
        <v>616976.6991</v>
      </c>
      <c r="H28" s="36">
        <f t="shared" si="18"/>
        <v>595465.8254</v>
      </c>
      <c r="I28" s="36">
        <f t="shared" si="18"/>
        <v>585395.6762</v>
      </c>
      <c r="J28" s="36">
        <f t="shared" si="18"/>
        <v>629007.4262</v>
      </c>
      <c r="K28" s="36">
        <f t="shared" si="18"/>
        <v>587664.8</v>
      </c>
      <c r="L28" s="36">
        <f t="shared" si="18"/>
        <v>478055.3971</v>
      </c>
      <c r="M28" s="36">
        <f t="shared" si="18"/>
        <v>590905.8582</v>
      </c>
      <c r="N28" s="36">
        <f t="shared" si="7"/>
        <v>7191940.002</v>
      </c>
      <c r="O28" s="38">
        <f t="shared" si="8"/>
        <v>0.9290667906</v>
      </c>
    </row>
    <row r="29">
      <c r="A29" s="39" t="s">
        <v>35</v>
      </c>
      <c r="B29" s="40">
        <f t="shared" ref="B29:M29" si="19">B13-B28</f>
        <v>49959.87798</v>
      </c>
      <c r="C29" s="40">
        <f t="shared" si="19"/>
        <v>104450.2903</v>
      </c>
      <c r="D29" s="40">
        <f t="shared" si="19"/>
        <v>57243.03626</v>
      </c>
      <c r="E29" s="40">
        <f t="shared" si="19"/>
        <v>99273.60304</v>
      </c>
      <c r="F29" s="40">
        <f t="shared" si="19"/>
        <v>45106.9827</v>
      </c>
      <c r="G29" s="40">
        <f t="shared" si="19"/>
        <v>69673.37087</v>
      </c>
      <c r="H29" s="40">
        <f t="shared" si="19"/>
        <v>24852.74464</v>
      </c>
      <c r="I29" s="40">
        <f t="shared" si="19"/>
        <v>42190.24383</v>
      </c>
      <c r="J29" s="40">
        <f t="shared" si="19"/>
        <v>105690.2638</v>
      </c>
      <c r="K29" s="40">
        <f t="shared" si="19"/>
        <v>37575.19996</v>
      </c>
      <c r="L29" s="40">
        <f t="shared" si="19"/>
        <v>-127705.9271</v>
      </c>
      <c r="M29" s="40">
        <f t="shared" si="19"/>
        <v>40786.88184</v>
      </c>
      <c r="N29" s="40">
        <f t="shared" si="7"/>
        <v>549096.5681</v>
      </c>
      <c r="O29" s="41">
        <f t="shared" si="8"/>
        <v>0.07093320942</v>
      </c>
    </row>
    <row r="30">
      <c r="A30" s="42" t="s">
        <v>36</v>
      </c>
      <c r="B30" s="43">
        <f t="shared" ref="B30:M30" si="20">(B14/B13)</f>
        <v>0.215367602</v>
      </c>
      <c r="C30" s="43">
        <f t="shared" si="20"/>
        <v>0.2064865134</v>
      </c>
      <c r="D30" s="43">
        <f t="shared" si="20"/>
        <v>0.2029528572</v>
      </c>
      <c r="E30" s="43">
        <f t="shared" si="20"/>
        <v>0.1924538153</v>
      </c>
      <c r="F30" s="44">
        <f t="shared" si="20"/>
        <v>0.2062465134</v>
      </c>
      <c r="G30" s="43">
        <f t="shared" si="20"/>
        <v>0.1928215488</v>
      </c>
      <c r="H30" s="43">
        <f t="shared" si="20"/>
        <v>0.2037136983</v>
      </c>
      <c r="I30" s="43">
        <f t="shared" si="20"/>
        <v>0.1925289847</v>
      </c>
      <c r="J30" s="43">
        <f t="shared" si="20"/>
        <v>0.1968883419</v>
      </c>
      <c r="K30" s="43">
        <f t="shared" si="20"/>
        <v>0.2066166912</v>
      </c>
      <c r="L30" s="43">
        <f t="shared" si="20"/>
        <v>0.3229998607</v>
      </c>
      <c r="M30" s="43">
        <f t="shared" si="20"/>
        <v>0.2175344773</v>
      </c>
      <c r="N30" s="45"/>
      <c r="O30" s="45"/>
    </row>
    <row r="32">
      <c r="B32" s="46">
        <f t="shared" ref="B32:M32" si="21">B29+B27</f>
        <v>178196.92</v>
      </c>
      <c r="C32" s="46">
        <f t="shared" si="21"/>
        <v>251829.66</v>
      </c>
      <c r="D32" s="46">
        <f t="shared" si="21"/>
        <v>188683.82</v>
      </c>
      <c r="E32" s="46">
        <f t="shared" si="21"/>
        <v>264408.39</v>
      </c>
      <c r="F32" s="46">
        <f t="shared" si="21"/>
        <v>175744.26</v>
      </c>
      <c r="G32" s="46">
        <f t="shared" si="21"/>
        <v>217355.4</v>
      </c>
      <c r="H32" s="46">
        <f t="shared" si="21"/>
        <v>144394.44</v>
      </c>
      <c r="I32" s="46">
        <f t="shared" si="21"/>
        <v>177589.7</v>
      </c>
      <c r="J32" s="46">
        <f t="shared" si="21"/>
        <v>244035.54</v>
      </c>
      <c r="K32" s="46">
        <f t="shared" si="21"/>
        <v>159435.6467</v>
      </c>
      <c r="L32" s="46">
        <f t="shared" si="21"/>
        <v>-54406.57333</v>
      </c>
      <c r="M32" s="46">
        <f t="shared" si="21"/>
        <v>157125.5767</v>
      </c>
    </row>
    <row r="33">
      <c r="A33" s="47"/>
      <c r="B33" s="48">
        <f t="shared" ref="B33:M33" si="22">B32/B13</f>
        <v>0.281847704</v>
      </c>
      <c r="C33" s="48">
        <f t="shared" si="22"/>
        <v>0.3433654267</v>
      </c>
      <c r="D33" s="48">
        <f t="shared" si="22"/>
        <v>0.2855171109</v>
      </c>
      <c r="E33" s="48">
        <f t="shared" si="22"/>
        <v>0.342481722</v>
      </c>
      <c r="F33" s="48">
        <f t="shared" si="22"/>
        <v>0.2638981527</v>
      </c>
      <c r="G33" s="48">
        <f t="shared" si="22"/>
        <v>0.3165446411</v>
      </c>
      <c r="H33" s="48">
        <f t="shared" si="22"/>
        <v>0.2327746532</v>
      </c>
      <c r="I33" s="48">
        <f t="shared" si="22"/>
        <v>0.2829727283</v>
      </c>
      <c r="J33" s="48">
        <f t="shared" si="22"/>
        <v>0.3321577614</v>
      </c>
      <c r="K33" s="48">
        <f t="shared" si="22"/>
        <v>0.254999115</v>
      </c>
      <c r="L33" s="48">
        <f t="shared" si="22"/>
        <v>-0.1552922952</v>
      </c>
      <c r="M33" s="48">
        <f t="shared" si="22"/>
        <v>0.2487373476</v>
      </c>
    </row>
    <row r="34">
      <c r="A34" s="47"/>
      <c r="B34" s="48"/>
      <c r="C34" s="48"/>
      <c r="D34" s="48"/>
      <c r="E34" s="48"/>
    </row>
    <row r="35">
      <c r="A35" s="9"/>
      <c r="B35" s="48"/>
      <c r="C35" s="48"/>
      <c r="D35" s="48"/>
      <c r="E35" s="48"/>
    </row>
    <row r="36">
      <c r="A36" s="47"/>
      <c r="B36" s="48"/>
      <c r="C36" s="48"/>
      <c r="D36" s="48"/>
      <c r="E36" s="48"/>
    </row>
  </sheetData>
  <mergeCells count="1">
    <mergeCell ref="N1:O1"/>
  </mergeCell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38"/>
    <col customWidth="1" min="15" max="15" width="9.0"/>
  </cols>
  <sheetData>
    <row r="1">
      <c r="A1" s="1" t="s">
        <v>37</v>
      </c>
      <c r="B1" s="2">
        <v>45748.0</v>
      </c>
      <c r="C1" s="2">
        <v>45778.0</v>
      </c>
      <c r="D1" s="2">
        <v>45809.0</v>
      </c>
      <c r="E1" s="2">
        <v>45839.0</v>
      </c>
      <c r="F1" s="4">
        <v>45870.0</v>
      </c>
      <c r="G1" s="2">
        <v>45901.0</v>
      </c>
      <c r="H1" s="2">
        <v>45931.0</v>
      </c>
      <c r="I1" s="2">
        <v>45962.0</v>
      </c>
      <c r="J1" s="2">
        <v>45992.0</v>
      </c>
      <c r="K1" s="2">
        <v>46023.0</v>
      </c>
      <c r="L1" s="2">
        <v>46054.0</v>
      </c>
      <c r="M1" s="2">
        <v>46082.0</v>
      </c>
      <c r="N1" s="5" t="s">
        <v>5</v>
      </c>
      <c r="O1" s="6"/>
    </row>
    <row r="2">
      <c r="A2" s="7" t="s">
        <v>6</v>
      </c>
      <c r="B2" s="8"/>
      <c r="C2" s="8"/>
      <c r="D2" s="8"/>
      <c r="E2" s="8"/>
      <c r="F2" s="10"/>
      <c r="G2" s="8"/>
      <c r="H2" s="8"/>
      <c r="I2" s="8"/>
      <c r="J2" s="8"/>
      <c r="K2" s="8"/>
      <c r="L2" s="8"/>
      <c r="M2" s="8"/>
      <c r="N2" s="8"/>
      <c r="O2" s="8"/>
    </row>
    <row r="3">
      <c r="A3" s="11" t="s">
        <v>7</v>
      </c>
      <c r="B3" s="12">
        <v>14541.53</v>
      </c>
      <c r="C3" s="14">
        <f t="shared" ref="C3:M3" si="1">B7</f>
        <v>20148</v>
      </c>
      <c r="D3" s="14">
        <f t="shared" si="1"/>
        <v>21129.86</v>
      </c>
      <c r="E3" s="14">
        <f t="shared" si="1"/>
        <v>21048</v>
      </c>
      <c r="F3" s="14">
        <f t="shared" si="1"/>
        <v>19868.5</v>
      </c>
      <c r="G3" s="14">
        <f t="shared" si="1"/>
        <v>18431</v>
      </c>
      <c r="H3" s="14">
        <f t="shared" si="1"/>
        <v>32940.33</v>
      </c>
      <c r="I3" s="14">
        <f t="shared" si="1"/>
        <v>19943</v>
      </c>
      <c r="J3" s="14">
        <f t="shared" si="1"/>
        <v>19476.86</v>
      </c>
      <c r="K3" s="14">
        <f t="shared" si="1"/>
        <v>22461</v>
      </c>
      <c r="L3" s="14">
        <f t="shared" si="1"/>
        <v>20044.5</v>
      </c>
      <c r="M3" s="14">
        <f t="shared" si="1"/>
        <v>18292.91</v>
      </c>
      <c r="N3" s="15">
        <f>+SUM(J3:L3)</f>
        <v>61982.36</v>
      </c>
      <c r="O3" s="18"/>
    </row>
    <row r="4">
      <c r="A4" s="11" t="s">
        <v>9</v>
      </c>
      <c r="B4" s="17">
        <v>183554.03</v>
      </c>
      <c r="C4" s="17">
        <v>196478.17</v>
      </c>
      <c r="D4" s="17">
        <v>198378.76</v>
      </c>
      <c r="E4" s="17">
        <v>196653.19</v>
      </c>
      <c r="F4" s="17">
        <v>220579.13</v>
      </c>
      <c r="G4" s="17">
        <v>211797.97</v>
      </c>
      <c r="H4" s="17">
        <v>199039.54</v>
      </c>
      <c r="I4" s="14">
        <f>200241.02</f>
        <v>200241.02</v>
      </c>
      <c r="J4" s="17">
        <v>239529.0</v>
      </c>
      <c r="K4" s="17">
        <v>224268.94</v>
      </c>
      <c r="L4" s="17">
        <v>209295.0</v>
      </c>
      <c r="M4" s="17">
        <v>254180.0</v>
      </c>
      <c r="N4" s="15">
        <f>sum(B4:M4)</f>
        <v>2533994.75</v>
      </c>
      <c r="O4" s="18"/>
    </row>
    <row r="5">
      <c r="A5" s="11" t="s">
        <v>10</v>
      </c>
      <c r="B5" s="17">
        <v>891.0</v>
      </c>
      <c r="C5" s="17">
        <v>236.6</v>
      </c>
      <c r="D5" s="17">
        <v>187.5</v>
      </c>
      <c r="E5" s="17">
        <v>220.77</v>
      </c>
      <c r="F5" s="17">
        <v>143.59</v>
      </c>
      <c r="G5" s="17">
        <v>114.86</v>
      </c>
      <c r="H5" s="17">
        <v>58.0</v>
      </c>
      <c r="I5" s="17">
        <v>77.5</v>
      </c>
      <c r="J5" s="17">
        <v>0.0</v>
      </c>
      <c r="K5" s="17">
        <v>0.0</v>
      </c>
      <c r="L5" s="17">
        <v>0.0</v>
      </c>
      <c r="M5" s="17">
        <v>38.0</v>
      </c>
      <c r="N5" s="15">
        <f t="shared" ref="N5:N6" si="2">+SUM(J5:L5)</f>
        <v>0</v>
      </c>
      <c r="O5" s="18"/>
    </row>
    <row r="6">
      <c r="A6" s="11" t="s">
        <v>11</v>
      </c>
      <c r="B6" s="17">
        <v>5864.0</v>
      </c>
      <c r="C6" s="17">
        <v>6074.97</v>
      </c>
      <c r="D6" s="17">
        <v>4986.0</v>
      </c>
      <c r="E6" s="17">
        <v>5539.73</v>
      </c>
      <c r="F6" s="17">
        <v>4481.36</v>
      </c>
      <c r="G6" s="17">
        <v>4310.0</v>
      </c>
      <c r="H6" s="17">
        <v>4810.0</v>
      </c>
      <c r="I6" s="17">
        <v>9135.96</v>
      </c>
      <c r="J6" s="17">
        <v>8819.0</v>
      </c>
      <c r="K6" s="17">
        <v>8047.3</v>
      </c>
      <c r="L6" s="17">
        <v>8163.52</v>
      </c>
      <c r="M6" s="17">
        <v>11178.24</v>
      </c>
      <c r="N6" s="15">
        <f t="shared" si="2"/>
        <v>25029.82</v>
      </c>
      <c r="O6" s="18"/>
    </row>
    <row r="7">
      <c r="A7" s="11" t="s">
        <v>12</v>
      </c>
      <c r="B7" s="17">
        <v>20148.0</v>
      </c>
      <c r="C7" s="17">
        <v>21129.86</v>
      </c>
      <c r="D7" s="17">
        <v>21048.0</v>
      </c>
      <c r="E7" s="17">
        <v>19868.5</v>
      </c>
      <c r="F7" s="17">
        <v>18431.0</v>
      </c>
      <c r="G7" s="17">
        <v>32940.33</v>
      </c>
      <c r="H7" s="17">
        <v>19943.0</v>
      </c>
      <c r="I7" s="17">
        <v>19476.86</v>
      </c>
      <c r="J7" s="17">
        <v>22461.0</v>
      </c>
      <c r="K7" s="17">
        <v>20044.5</v>
      </c>
      <c r="L7" s="17">
        <v>18292.91</v>
      </c>
      <c r="M7" s="17">
        <v>18285.0</v>
      </c>
      <c r="N7" s="15">
        <f>sum(B7:M7)</f>
        <v>252068.96</v>
      </c>
      <c r="O7" s="18"/>
    </row>
    <row r="8">
      <c r="A8" s="8"/>
      <c r="B8" s="8"/>
      <c r="C8" s="8"/>
      <c r="D8" s="8"/>
      <c r="E8" s="8"/>
      <c r="F8" s="10"/>
      <c r="G8" s="8"/>
      <c r="H8" s="8"/>
      <c r="I8" s="8"/>
      <c r="J8" s="8"/>
      <c r="K8" s="8"/>
      <c r="L8" s="8"/>
      <c r="M8" s="8"/>
      <c r="N8" s="8"/>
      <c r="O8" s="8"/>
    </row>
    <row r="9">
      <c r="A9" s="19" t="s">
        <v>13</v>
      </c>
      <c r="B9" s="26">
        <f>935573.97*1.05+4557.36*1.05</f>
        <v>987137.8965</v>
      </c>
      <c r="C9" s="26">
        <f>1053137*1.05+5057.08*1.05</f>
        <v>1111103.784</v>
      </c>
      <c r="D9" s="26">
        <f>1054582.18*1.05+420.06*1.05+5446.7*1.05</f>
        <v>1113471.387</v>
      </c>
      <c r="E9" s="26">
        <f>1106268.72*1.05+4612.67*1.05</f>
        <v>1166425.46</v>
      </c>
      <c r="F9" s="26">
        <f>1200880.04*1.05+5693.81*1.05</f>
        <v>1266902.543</v>
      </c>
      <c r="G9" s="26">
        <f>1194807.26*1.05</f>
        <v>1254547.623</v>
      </c>
      <c r="H9" s="26">
        <f>993949.88*1.05+5982.88*1.05</f>
        <v>1049929.398</v>
      </c>
      <c r="I9" s="26">
        <f>977605.67*1.05+4674.62*1.05</f>
        <v>1031394.305</v>
      </c>
      <c r="J9" s="26">
        <f>1167402.33*1.05+4424.77*1.05</f>
        <v>1230418.455</v>
      </c>
      <c r="K9" s="13">
        <f>1132008*1.05+4651.04*1.05</f>
        <v>1193491.992</v>
      </c>
      <c r="L9" s="13">
        <f>924356.35*1.05+4589.99*1.05</f>
        <v>975393.657</v>
      </c>
      <c r="M9" s="14">
        <f>1224267.01*1.05+5672.85*1.05</f>
        <v>1291436.853</v>
      </c>
      <c r="N9" s="15">
        <f t="shared" ref="N9:N12" si="3">+SUM(B9:M9)</f>
        <v>13671653.35</v>
      </c>
      <c r="O9" s="18"/>
    </row>
    <row r="10">
      <c r="A10" s="19" t="s">
        <v>14</v>
      </c>
      <c r="B10" s="26">
        <v>0.0</v>
      </c>
      <c r="C10" s="26">
        <v>0.0</v>
      </c>
      <c r="D10" s="26">
        <v>0.0</v>
      </c>
      <c r="E10" s="26">
        <v>0.0</v>
      </c>
      <c r="F10" s="26">
        <v>0.0</v>
      </c>
      <c r="G10" s="26">
        <v>0.0</v>
      </c>
      <c r="H10" s="26"/>
      <c r="I10" s="26"/>
      <c r="J10" s="26"/>
      <c r="K10" s="14"/>
      <c r="L10" s="14"/>
      <c r="M10" s="14"/>
      <c r="N10" s="15">
        <f t="shared" si="3"/>
        <v>0</v>
      </c>
      <c r="O10" s="18"/>
    </row>
    <row r="11">
      <c r="A11" s="19" t="s">
        <v>15</v>
      </c>
      <c r="B11" s="26">
        <f t="shared" ref="B11:M11" si="4">(B9+B10)/1.05*0.05</f>
        <v>47006.5665</v>
      </c>
      <c r="C11" s="26">
        <f t="shared" si="4"/>
        <v>52909.704</v>
      </c>
      <c r="D11" s="26">
        <f t="shared" si="4"/>
        <v>53022.447</v>
      </c>
      <c r="E11" s="26">
        <f t="shared" si="4"/>
        <v>55544.0695</v>
      </c>
      <c r="F11" s="26">
        <f t="shared" si="4"/>
        <v>60328.6925</v>
      </c>
      <c r="G11" s="26">
        <f t="shared" si="4"/>
        <v>59740.363</v>
      </c>
      <c r="H11" s="26">
        <f t="shared" si="4"/>
        <v>49996.638</v>
      </c>
      <c r="I11" s="26">
        <f t="shared" si="4"/>
        <v>49114.0145</v>
      </c>
      <c r="J11" s="26">
        <f t="shared" si="4"/>
        <v>58591.355</v>
      </c>
      <c r="K11" s="26">
        <f t="shared" si="4"/>
        <v>56832.952</v>
      </c>
      <c r="L11" s="26">
        <f t="shared" si="4"/>
        <v>46447.317</v>
      </c>
      <c r="M11" s="26">
        <f t="shared" si="4"/>
        <v>61496.993</v>
      </c>
      <c r="N11" s="15">
        <f t="shared" si="3"/>
        <v>651031.112</v>
      </c>
      <c r="O11" s="18"/>
    </row>
    <row r="12">
      <c r="A12" s="19" t="s">
        <v>17</v>
      </c>
      <c r="B12" s="26">
        <f>10527.27+1894.9+13015.25+2342.74+1343</f>
        <v>29123.16</v>
      </c>
      <c r="C12" s="26">
        <f>2096.64+11648+14259.32+2566.69+4038+726.89</f>
        <v>35335.54</v>
      </c>
      <c r="D12" s="26">
        <f>12503.02+2250.54+11654.87+2097.87+7333.56+1320.04</f>
        <v>37159.9</v>
      </c>
      <c r="E12" s="26">
        <f>10604.04+1908.73+16792.91+3022.73+3416+614</f>
        <v>36358.41</v>
      </c>
      <c r="F12" s="26">
        <f>12716.82+2289.03+13092.13+2356.58+5020.36+903.74</f>
        <v>36378.66</v>
      </c>
      <c r="G12" s="26">
        <f>13851.2*1.18+12173.86*1.18</f>
        <v>30709.5708</v>
      </c>
      <c r="H12" s="26">
        <f>13820.16*1.18+11267.58*1.18+1317.34*1.18</f>
        <v>31157.9944</v>
      </c>
      <c r="I12" s="26">
        <f>10788.11*1.18+7750.47*1.18</f>
        <v>21875.5244</v>
      </c>
      <c r="J12" s="26">
        <f>10221.16*1.18+9237.56*1.18</f>
        <v>22961.2896</v>
      </c>
      <c r="K12" s="13">
        <f>10639.73*1.18+8683*1.18</f>
        <v>22800.8214</v>
      </c>
      <c r="L12" s="13">
        <f>12269.53+5281.09+5615.92+950.6</f>
        <v>24117.14</v>
      </c>
      <c r="M12" s="14">
        <f>12551.36*1.18+8240.21*1.18+4717.04*1.18</f>
        <v>30100.1598</v>
      </c>
      <c r="N12" s="15">
        <f t="shared" si="3"/>
        <v>358078.1704</v>
      </c>
      <c r="O12" s="18"/>
    </row>
    <row r="13">
      <c r="A13" s="21" t="s">
        <v>19</v>
      </c>
      <c r="B13" s="22">
        <f t="shared" ref="B13:M13" si="5">B9+B10-B11-B12</f>
        <v>911008.17</v>
      </c>
      <c r="C13" s="22">
        <f t="shared" si="5"/>
        <v>1022858.54</v>
      </c>
      <c r="D13" s="22">
        <f t="shared" si="5"/>
        <v>1023289.04</v>
      </c>
      <c r="E13" s="22">
        <f t="shared" si="5"/>
        <v>1074522.98</v>
      </c>
      <c r="F13" s="23">
        <f t="shared" si="5"/>
        <v>1170195.19</v>
      </c>
      <c r="G13" s="23">
        <f t="shared" si="5"/>
        <v>1164097.689</v>
      </c>
      <c r="H13" s="22">
        <f t="shared" si="5"/>
        <v>968774.7656</v>
      </c>
      <c r="I13" s="22">
        <f t="shared" si="5"/>
        <v>960404.7656</v>
      </c>
      <c r="J13" s="22">
        <f t="shared" si="5"/>
        <v>1148865.81</v>
      </c>
      <c r="K13" s="22">
        <f t="shared" si="5"/>
        <v>1113858.219</v>
      </c>
      <c r="L13" s="22">
        <f t="shared" si="5"/>
        <v>904829.2</v>
      </c>
      <c r="M13" s="22">
        <f t="shared" si="5"/>
        <v>1199839.7</v>
      </c>
      <c r="N13" s="22">
        <f t="shared" ref="N13:N29" si="7">sum(B13:M13)</f>
        <v>12662544.07</v>
      </c>
      <c r="O13" s="24"/>
    </row>
    <row r="14">
      <c r="A14" s="19" t="s">
        <v>20</v>
      </c>
      <c r="B14" s="26">
        <f t="shared" ref="B14:M14" si="6">+B3+B4-B5-B7</f>
        <v>177056.56</v>
      </c>
      <c r="C14" s="26">
        <f t="shared" si="6"/>
        <v>195259.71</v>
      </c>
      <c r="D14" s="26">
        <f t="shared" si="6"/>
        <v>198273.12</v>
      </c>
      <c r="E14" s="26">
        <f t="shared" si="6"/>
        <v>197611.92</v>
      </c>
      <c r="F14" s="26">
        <f t="shared" si="6"/>
        <v>221873.04</v>
      </c>
      <c r="G14" s="26">
        <f t="shared" si="6"/>
        <v>197173.78</v>
      </c>
      <c r="H14" s="26">
        <f t="shared" si="6"/>
        <v>211978.87</v>
      </c>
      <c r="I14" s="26">
        <f t="shared" si="6"/>
        <v>200629.66</v>
      </c>
      <c r="J14" s="26">
        <f t="shared" si="6"/>
        <v>236544.86</v>
      </c>
      <c r="K14" s="26">
        <f t="shared" si="6"/>
        <v>226685.44</v>
      </c>
      <c r="L14" s="26">
        <f t="shared" si="6"/>
        <v>211046.59</v>
      </c>
      <c r="M14" s="26">
        <f t="shared" si="6"/>
        <v>254149.91</v>
      </c>
      <c r="N14" s="15">
        <f t="shared" si="7"/>
        <v>2528283.46</v>
      </c>
      <c r="O14" s="27">
        <f t="shared" ref="O14:O29" si="8">N14/$N$13</f>
        <v>0.1996663108</v>
      </c>
    </row>
    <row r="15">
      <c r="A15" s="19" t="s">
        <v>21</v>
      </c>
      <c r="B15" s="26">
        <v>14000.0</v>
      </c>
      <c r="C15" s="26">
        <v>15000.0</v>
      </c>
      <c r="D15" s="26">
        <v>15000.0</v>
      </c>
      <c r="E15" s="26">
        <v>15000.0</v>
      </c>
      <c r="F15" s="28">
        <v>15000.0</v>
      </c>
      <c r="G15" s="28">
        <f>10000+1000</f>
        <v>11000</v>
      </c>
      <c r="H15" s="28">
        <v>15000.0</v>
      </c>
      <c r="I15" s="28">
        <v>15000.0</v>
      </c>
      <c r="J15" s="28">
        <v>15000.0</v>
      </c>
      <c r="K15" s="28">
        <v>15000.0</v>
      </c>
      <c r="L15" s="28">
        <f>10000+5000+500+500</f>
        <v>16000</v>
      </c>
      <c r="M15" s="26">
        <f>868+15000</f>
        <v>15868</v>
      </c>
      <c r="N15" s="15">
        <f t="shared" si="7"/>
        <v>176868</v>
      </c>
      <c r="O15" s="27">
        <f t="shared" si="8"/>
        <v>0.01396780924</v>
      </c>
    </row>
    <row r="16">
      <c r="A16" s="19" t="s">
        <v>22</v>
      </c>
      <c r="B16" s="26">
        <f t="shared" ref="B16:F16" si="9">942.82+352.82</f>
        <v>1295.64</v>
      </c>
      <c r="C16" s="26">
        <f t="shared" si="9"/>
        <v>1295.64</v>
      </c>
      <c r="D16" s="26">
        <f t="shared" si="9"/>
        <v>1295.64</v>
      </c>
      <c r="E16" s="26">
        <f t="shared" si="9"/>
        <v>1295.64</v>
      </c>
      <c r="F16" s="26">
        <f t="shared" si="9"/>
        <v>1295.64</v>
      </c>
      <c r="G16" s="28">
        <v>352.82</v>
      </c>
      <c r="H16" s="28">
        <v>352.82</v>
      </c>
      <c r="I16" s="28">
        <v>352.82</v>
      </c>
      <c r="J16" s="28">
        <v>352.82</v>
      </c>
      <c r="K16" s="28">
        <v>352.82</v>
      </c>
      <c r="L16" s="28">
        <v>352.82</v>
      </c>
      <c r="M16" s="26">
        <f>352.82</f>
        <v>352.82</v>
      </c>
      <c r="N16" s="15">
        <f t="shared" si="7"/>
        <v>8947.94</v>
      </c>
      <c r="O16" s="27">
        <f t="shared" si="8"/>
        <v>0.0007066463067</v>
      </c>
    </row>
    <row r="17">
      <c r="A17" s="19" t="s">
        <v>23</v>
      </c>
      <c r="B17" s="26">
        <v>11766.64</v>
      </c>
      <c r="C17" s="26">
        <v>10376.4</v>
      </c>
      <c r="D17" s="26">
        <v>7400.0</v>
      </c>
      <c r="E17" s="28">
        <v>8168.0</v>
      </c>
      <c r="F17" s="28">
        <v>10346.0</v>
      </c>
      <c r="G17" s="28">
        <v>9726.0</v>
      </c>
      <c r="H17" s="28">
        <v>11576.0</v>
      </c>
      <c r="I17" s="26">
        <f>9078</f>
        <v>9078</v>
      </c>
      <c r="J17" s="28">
        <v>12163.0</v>
      </c>
      <c r="K17" s="28">
        <v>14521.0</v>
      </c>
      <c r="L17" s="26">
        <f>18215</f>
        <v>18215</v>
      </c>
      <c r="M17" s="56">
        <v>25000.0</v>
      </c>
      <c r="N17" s="15">
        <f t="shared" si="7"/>
        <v>148336.04</v>
      </c>
      <c r="O17" s="27">
        <f t="shared" si="8"/>
        <v>0.01171455271</v>
      </c>
    </row>
    <row r="18">
      <c r="A18" s="19" t="s">
        <v>24</v>
      </c>
      <c r="B18" s="26">
        <v>152611.0</v>
      </c>
      <c r="C18" s="26">
        <v>162045.0</v>
      </c>
      <c r="D18" s="26">
        <v>160955.0</v>
      </c>
      <c r="E18" s="26">
        <v>170530.0</v>
      </c>
      <c r="F18" s="26">
        <f>187638</f>
        <v>187638</v>
      </c>
      <c r="G18" s="28">
        <v>189620.0</v>
      </c>
      <c r="H18" s="28">
        <v>154769.0</v>
      </c>
      <c r="I18" s="28">
        <v>158086.0</v>
      </c>
      <c r="J18" s="26">
        <f>191186</f>
        <v>191186</v>
      </c>
      <c r="K18" s="28">
        <v>184826.0</v>
      </c>
      <c r="L18" s="28">
        <v>148550.0</v>
      </c>
      <c r="M18" s="26">
        <f>195155</f>
        <v>195155</v>
      </c>
      <c r="N18" s="15">
        <f t="shared" si="7"/>
        <v>2055971</v>
      </c>
      <c r="O18" s="27">
        <f t="shared" si="8"/>
        <v>0.1623663451</v>
      </c>
    </row>
    <row r="19">
      <c r="A19" s="19" t="s">
        <v>25</v>
      </c>
      <c r="B19" s="26">
        <v>3761.0</v>
      </c>
      <c r="C19" s="26">
        <v>3761.0</v>
      </c>
      <c r="D19" s="26">
        <v>3761.0</v>
      </c>
      <c r="E19" s="26">
        <v>3761.0</v>
      </c>
      <c r="F19" s="26">
        <v>3761.0</v>
      </c>
      <c r="G19" s="26">
        <v>3761.0</v>
      </c>
      <c r="H19" s="28">
        <v>3761.0</v>
      </c>
      <c r="I19" s="28">
        <f t="shared" ref="I19:J19" si="10">3761+5015/12</f>
        <v>4178.916667</v>
      </c>
      <c r="J19" s="28">
        <f t="shared" si="10"/>
        <v>4178.916667</v>
      </c>
      <c r="K19" s="28">
        <f t="shared" ref="K19:M19" si="11">34000*1.18/12</f>
        <v>3343.333333</v>
      </c>
      <c r="L19" s="28">
        <f t="shared" si="11"/>
        <v>3343.333333</v>
      </c>
      <c r="M19" s="28">
        <f t="shared" si="11"/>
        <v>3343.333333</v>
      </c>
      <c r="N19" s="15">
        <f t="shared" si="7"/>
        <v>44714.83333</v>
      </c>
      <c r="O19" s="27">
        <f t="shared" si="8"/>
        <v>0.003531267736</v>
      </c>
    </row>
    <row r="20">
      <c r="A20" s="20" t="s">
        <v>26</v>
      </c>
      <c r="B20" s="26">
        <f>96151+37331/12</f>
        <v>99261.91667</v>
      </c>
      <c r="C20" s="26">
        <f>105528.42+37331/12</f>
        <v>108639.3367</v>
      </c>
      <c r="D20" s="26">
        <f>72908+27404+1977+13429+37331/12</f>
        <v>118828.9167</v>
      </c>
      <c r="E20" s="26">
        <f>99574+37331/12</f>
        <v>102684.9167</v>
      </c>
      <c r="F20" s="26">
        <f>114775.29+37331/12</f>
        <v>117886.2067</v>
      </c>
      <c r="G20" s="28">
        <f>95868+37331/12</f>
        <v>98978.91667</v>
      </c>
      <c r="H20" s="26">
        <f>37331/12+98013</f>
        <v>101123.9167</v>
      </c>
      <c r="I20" s="26">
        <f>37331/12+103549</f>
        <v>106659.9167</v>
      </c>
      <c r="J20" s="26">
        <f>37331/12+111458</f>
        <v>114568.9167</v>
      </c>
      <c r="K20" s="26">
        <f>37331/12+134434</f>
        <v>137544.9167</v>
      </c>
      <c r="L20" s="26">
        <f>37331/12+134512</f>
        <v>137622.9167</v>
      </c>
      <c r="M20" s="26">
        <f>37331/12+130267</f>
        <v>133377.9167</v>
      </c>
      <c r="N20" s="15">
        <f t="shared" si="7"/>
        <v>1377178.71</v>
      </c>
      <c r="O20" s="27">
        <f t="shared" si="8"/>
        <v>0.1087600329</v>
      </c>
    </row>
    <row r="21">
      <c r="A21" s="11" t="s">
        <v>27</v>
      </c>
      <c r="B21" s="26">
        <f t="shared" ref="B21:C21" si="12">2478+8555/12</f>
        <v>3190.916667</v>
      </c>
      <c r="C21" s="26">
        <f t="shared" si="12"/>
        <v>3190.916667</v>
      </c>
      <c r="D21" s="26">
        <f>2478+1200+8555/12</f>
        <v>4390.916667</v>
      </c>
      <c r="E21" s="26">
        <f>2170+1200+2478+8555/12</f>
        <v>6560.916667</v>
      </c>
      <c r="F21" s="26">
        <f>2478+8555/12</f>
        <v>3190.916667</v>
      </c>
      <c r="G21" s="26">
        <f t="shared" ref="G21:I21" si="13">8555/12+2478</f>
        <v>3190.916667</v>
      </c>
      <c r="H21" s="26">
        <f t="shared" si="13"/>
        <v>3190.916667</v>
      </c>
      <c r="I21" s="26">
        <f t="shared" si="13"/>
        <v>3190.916667</v>
      </c>
      <c r="J21" s="26">
        <f t="shared" ref="J21:K21" si="14">8555/12+1200+2478</f>
        <v>4390.916667</v>
      </c>
      <c r="K21" s="26">
        <f t="shared" si="14"/>
        <v>4390.916667</v>
      </c>
      <c r="L21" s="26">
        <f>8555/12+2478+1930</f>
        <v>5120.916667</v>
      </c>
      <c r="M21" s="26">
        <f>8555/12+2478</f>
        <v>3190.916667</v>
      </c>
      <c r="N21" s="15">
        <f t="shared" si="7"/>
        <v>47191</v>
      </c>
      <c r="O21" s="27">
        <f t="shared" si="8"/>
        <v>0.003726818224</v>
      </c>
    </row>
    <row r="22">
      <c r="A22" s="32" t="s">
        <v>28</v>
      </c>
      <c r="B22" s="26">
        <f t="shared" ref="B22:D22" si="15">2124/3+9813/12+6372/12</f>
        <v>2056.75</v>
      </c>
      <c r="C22" s="26">
        <f t="shared" si="15"/>
        <v>2056.75</v>
      </c>
      <c r="D22" s="26">
        <f t="shared" si="15"/>
        <v>2056.75</v>
      </c>
      <c r="E22" s="26">
        <f t="shared" ref="E22:J22" si="16">9813/12+6372/12+2124/3</f>
        <v>2056.75</v>
      </c>
      <c r="F22" s="26">
        <f t="shared" si="16"/>
        <v>2056.75</v>
      </c>
      <c r="G22" s="26">
        <f t="shared" si="16"/>
        <v>2056.75</v>
      </c>
      <c r="H22" s="26">
        <f t="shared" si="16"/>
        <v>2056.75</v>
      </c>
      <c r="I22" s="26">
        <f t="shared" si="16"/>
        <v>2056.75</v>
      </c>
      <c r="J22" s="26">
        <f t="shared" si="16"/>
        <v>2056.75</v>
      </c>
      <c r="K22" s="26">
        <f t="shared" ref="K22:M22" si="17">9813/12+6372/12+3271.32/3</f>
        <v>2439.19</v>
      </c>
      <c r="L22" s="26">
        <f t="shared" si="17"/>
        <v>2439.19</v>
      </c>
      <c r="M22" s="26">
        <f t="shared" si="17"/>
        <v>2439.19</v>
      </c>
      <c r="N22" s="15">
        <f t="shared" si="7"/>
        <v>25828.32</v>
      </c>
      <c r="O22" s="27">
        <f t="shared" si="8"/>
        <v>0.002039741766</v>
      </c>
    </row>
    <row r="23">
      <c r="A23" s="20" t="s">
        <v>29</v>
      </c>
      <c r="B23" s="26">
        <v>0.0</v>
      </c>
      <c r="C23" s="26">
        <v>526.68</v>
      </c>
      <c r="D23" s="26">
        <v>526.68</v>
      </c>
      <c r="E23" s="26">
        <v>526.68</v>
      </c>
      <c r="F23" s="26">
        <v>526.68</v>
      </c>
      <c r="G23" s="26">
        <v>526.68</v>
      </c>
      <c r="H23" s="26">
        <v>526.68</v>
      </c>
      <c r="I23" s="26">
        <v>526.68</v>
      </c>
      <c r="J23" s="26">
        <v>526.68</v>
      </c>
      <c r="K23" s="26">
        <v>526.68</v>
      </c>
      <c r="L23" s="26">
        <v>526.68</v>
      </c>
      <c r="M23" s="26">
        <v>526.68</v>
      </c>
      <c r="N23" s="15">
        <f t="shared" si="7"/>
        <v>5793.48</v>
      </c>
      <c r="O23" s="27">
        <f t="shared" si="8"/>
        <v>0.0004575289111</v>
      </c>
    </row>
    <row r="24">
      <c r="A24" s="19" t="s">
        <v>30</v>
      </c>
      <c r="B24" s="26">
        <v>0.0</v>
      </c>
      <c r="C24" s="26">
        <v>3600.0</v>
      </c>
      <c r="D24" s="26">
        <v>2284.0</v>
      </c>
      <c r="E24" s="28">
        <v>0.0</v>
      </c>
      <c r="F24" s="28">
        <v>540.0</v>
      </c>
      <c r="G24" s="28">
        <v>5900.0</v>
      </c>
      <c r="H24" s="28">
        <v>0.0</v>
      </c>
      <c r="I24" s="28">
        <v>0.0</v>
      </c>
      <c r="J24" s="28">
        <v>4130.0</v>
      </c>
      <c r="K24" s="28">
        <v>240.0</v>
      </c>
      <c r="L24" s="28">
        <v>4194.0</v>
      </c>
      <c r="M24" s="28">
        <v>40.0</v>
      </c>
      <c r="N24" s="15">
        <f t="shared" si="7"/>
        <v>20928</v>
      </c>
      <c r="O24" s="27">
        <f t="shared" si="8"/>
        <v>0.001652748443</v>
      </c>
    </row>
    <row r="25">
      <c r="A25" s="19" t="s">
        <v>31</v>
      </c>
      <c r="B25" s="26">
        <f>3480</f>
        <v>3480</v>
      </c>
      <c r="C25" s="26">
        <v>1840.67</v>
      </c>
      <c r="D25" s="26">
        <f>2176.81</f>
        <v>2176.81</v>
      </c>
      <c r="E25" s="28">
        <v>5292.0</v>
      </c>
      <c r="F25" s="28">
        <v>5901.0</v>
      </c>
      <c r="G25" s="28">
        <v>22698.0</v>
      </c>
      <c r="H25" s="28">
        <v>710.0</v>
      </c>
      <c r="I25" s="28">
        <v>794.56</v>
      </c>
      <c r="J25" s="28">
        <v>430.0</v>
      </c>
      <c r="K25" s="28">
        <v>2765.0</v>
      </c>
      <c r="L25" s="28">
        <v>5152.0</v>
      </c>
      <c r="M25" s="28">
        <v>9817.0</v>
      </c>
      <c r="N25" s="15">
        <f t="shared" si="7"/>
        <v>61057.04</v>
      </c>
      <c r="O25" s="27">
        <f t="shared" si="8"/>
        <v>0.004821861994</v>
      </c>
    </row>
    <row r="26">
      <c r="A26" s="19" t="s">
        <v>32</v>
      </c>
      <c r="B26" s="26">
        <f t="shared" ref="B26:D26" si="18">38161</f>
        <v>38161</v>
      </c>
      <c r="C26" s="26">
        <f t="shared" si="18"/>
        <v>38161</v>
      </c>
      <c r="D26" s="26">
        <f t="shared" si="18"/>
        <v>38161</v>
      </c>
      <c r="E26" s="26">
        <v>38884.0</v>
      </c>
      <c r="F26" s="26">
        <v>38884.0</v>
      </c>
      <c r="G26" s="26">
        <v>38884.0</v>
      </c>
      <c r="H26" s="26">
        <v>38884.0</v>
      </c>
      <c r="I26" s="26">
        <v>38884.0</v>
      </c>
      <c r="J26" s="26">
        <v>38884.0</v>
      </c>
      <c r="K26" s="26">
        <v>38884.0</v>
      </c>
      <c r="L26" s="26">
        <v>38884.0</v>
      </c>
      <c r="M26" s="26">
        <v>38884.0</v>
      </c>
      <c r="N26" s="15">
        <f t="shared" si="7"/>
        <v>464439</v>
      </c>
      <c r="O26" s="27">
        <f t="shared" si="8"/>
        <v>0.03667817442</v>
      </c>
    </row>
    <row r="27">
      <c r="A27" s="19" t="s">
        <v>33</v>
      </c>
      <c r="B27" s="26">
        <f>HO!D31</f>
        <v>184777.9189</v>
      </c>
      <c r="C27" s="26">
        <f>HO!H31</f>
        <v>205542.6519</v>
      </c>
      <c r="D27" s="26">
        <f>HO!L31</f>
        <v>203528.8332</v>
      </c>
      <c r="E27" s="26">
        <f>HO!P31</f>
        <v>229835.1482</v>
      </c>
      <c r="F27" s="26">
        <f>HO!D50</f>
        <v>229551.7616</v>
      </c>
      <c r="G27" s="26">
        <f>HO!H50</f>
        <v>250369.608</v>
      </c>
      <c r="H27" s="26">
        <f>HO!L50</f>
        <v>186692.7471</v>
      </c>
      <c r="I27" s="26">
        <f>HO!P50</f>
        <v>207203.9522</v>
      </c>
      <c r="J27" s="26">
        <f>HO!D69</f>
        <v>216334.0923</v>
      </c>
      <c r="K27" s="26">
        <f>HO!H69</f>
        <v>217093.0524</v>
      </c>
      <c r="L27" s="26">
        <f>HO!L69</f>
        <v>189306.3962</v>
      </c>
      <c r="M27" s="26">
        <f>HO!P69</f>
        <v>220974.1792</v>
      </c>
      <c r="N27" s="15">
        <f t="shared" si="7"/>
        <v>2541210.341</v>
      </c>
      <c r="O27" s="27">
        <f t="shared" si="8"/>
        <v>0.2006871863</v>
      </c>
    </row>
    <row r="28">
      <c r="A28" s="35" t="s">
        <v>34</v>
      </c>
      <c r="B28" s="36">
        <f t="shared" ref="B28:M28" si="19">+SUM(B14:B27)</f>
        <v>691419.3423</v>
      </c>
      <c r="C28" s="36">
        <f t="shared" si="19"/>
        <v>751295.7552</v>
      </c>
      <c r="D28" s="36">
        <f t="shared" si="19"/>
        <v>758638.6665</v>
      </c>
      <c r="E28" s="36">
        <f t="shared" si="19"/>
        <v>782206.9715</v>
      </c>
      <c r="F28" s="37">
        <f t="shared" si="19"/>
        <v>838450.9949</v>
      </c>
      <c r="G28" s="36">
        <f t="shared" si="19"/>
        <v>834238.4713</v>
      </c>
      <c r="H28" s="36">
        <f t="shared" si="19"/>
        <v>730622.7004</v>
      </c>
      <c r="I28" s="36">
        <f t="shared" si="19"/>
        <v>746642.1722</v>
      </c>
      <c r="J28" s="36">
        <f t="shared" si="19"/>
        <v>840746.9523</v>
      </c>
      <c r="K28" s="36">
        <f t="shared" si="19"/>
        <v>848612.3491</v>
      </c>
      <c r="L28" s="36">
        <f t="shared" si="19"/>
        <v>780753.8429</v>
      </c>
      <c r="M28" s="36">
        <f t="shared" si="19"/>
        <v>903118.9459</v>
      </c>
      <c r="N28" s="36">
        <f t="shared" si="7"/>
        <v>9506747.164</v>
      </c>
      <c r="O28" s="38">
        <f t="shared" si="8"/>
        <v>0.7507770249</v>
      </c>
    </row>
    <row r="29">
      <c r="A29" s="39" t="s">
        <v>35</v>
      </c>
      <c r="B29" s="40">
        <f t="shared" ref="B29:M29" si="20">B13-B28</f>
        <v>219588.8277</v>
      </c>
      <c r="C29" s="40">
        <f t="shared" si="20"/>
        <v>271562.7848</v>
      </c>
      <c r="D29" s="40">
        <f t="shared" si="20"/>
        <v>264650.3735</v>
      </c>
      <c r="E29" s="40">
        <f t="shared" si="20"/>
        <v>292316.0085</v>
      </c>
      <c r="F29" s="40">
        <f t="shared" si="20"/>
        <v>331744.1951</v>
      </c>
      <c r="G29" s="40">
        <f t="shared" si="20"/>
        <v>329859.2179</v>
      </c>
      <c r="H29" s="40">
        <f t="shared" si="20"/>
        <v>238152.0652</v>
      </c>
      <c r="I29" s="40">
        <f t="shared" si="20"/>
        <v>213762.5934</v>
      </c>
      <c r="J29" s="40">
        <f t="shared" si="20"/>
        <v>308118.8581</v>
      </c>
      <c r="K29" s="40">
        <f t="shared" si="20"/>
        <v>265245.8695</v>
      </c>
      <c r="L29" s="40">
        <f t="shared" si="20"/>
        <v>124075.3571</v>
      </c>
      <c r="M29" s="40">
        <f t="shared" si="20"/>
        <v>296720.7543</v>
      </c>
      <c r="N29" s="40">
        <f t="shared" si="7"/>
        <v>3155796.905</v>
      </c>
      <c r="O29" s="41">
        <f t="shared" si="8"/>
        <v>0.2492229751</v>
      </c>
    </row>
    <row r="30">
      <c r="A30" s="42" t="s">
        <v>36</v>
      </c>
      <c r="B30" s="43">
        <f t="shared" ref="B30:M30" si="21">(B14/B13)</f>
        <v>0.1943523295</v>
      </c>
      <c r="C30" s="43">
        <f t="shared" si="21"/>
        <v>0.1908961038</v>
      </c>
      <c r="D30" s="43">
        <f t="shared" si="21"/>
        <v>0.1937606211</v>
      </c>
      <c r="E30" s="43">
        <f t="shared" si="21"/>
        <v>0.1839066485</v>
      </c>
      <c r="F30" s="44">
        <f t="shared" si="21"/>
        <v>0.1896034456</v>
      </c>
      <c r="G30" s="43">
        <f t="shared" si="21"/>
        <v>0.1693790666</v>
      </c>
      <c r="H30" s="43">
        <f t="shared" si="21"/>
        <v>0.2188113043</v>
      </c>
      <c r="I30" s="43">
        <f t="shared" si="21"/>
        <v>0.20890115</v>
      </c>
      <c r="J30" s="43">
        <f t="shared" si="21"/>
        <v>0.2058942462</v>
      </c>
      <c r="K30" s="43">
        <f t="shared" si="21"/>
        <v>0.2035137293</v>
      </c>
      <c r="L30" s="43">
        <f t="shared" si="21"/>
        <v>0.233244672</v>
      </c>
      <c r="M30" s="43">
        <f t="shared" si="21"/>
        <v>0.2118198872</v>
      </c>
      <c r="N30" s="45"/>
      <c r="O30" s="45"/>
    </row>
    <row r="32">
      <c r="B32" s="46">
        <f t="shared" ref="B32:M32" si="22">B29+B27</f>
        <v>404366.7467</v>
      </c>
      <c r="C32" s="46">
        <f t="shared" si="22"/>
        <v>477105.4367</v>
      </c>
      <c r="D32" s="46">
        <f t="shared" si="22"/>
        <v>468179.2067</v>
      </c>
      <c r="E32" s="46">
        <f t="shared" si="22"/>
        <v>522151.1567</v>
      </c>
      <c r="F32" s="46">
        <f t="shared" si="22"/>
        <v>561295.9567</v>
      </c>
      <c r="G32" s="46">
        <f t="shared" si="22"/>
        <v>580228.8259</v>
      </c>
      <c r="H32" s="46">
        <f t="shared" si="22"/>
        <v>424844.8123</v>
      </c>
      <c r="I32" s="46">
        <f t="shared" si="22"/>
        <v>420966.5456</v>
      </c>
      <c r="J32" s="46">
        <f t="shared" si="22"/>
        <v>524452.9504</v>
      </c>
      <c r="K32" s="46">
        <f t="shared" si="22"/>
        <v>482338.9219</v>
      </c>
      <c r="L32" s="46">
        <f t="shared" si="22"/>
        <v>313381.7533</v>
      </c>
      <c r="M32" s="46">
        <f t="shared" si="22"/>
        <v>517694.9335</v>
      </c>
      <c r="N32" s="46"/>
    </row>
    <row r="33">
      <c r="A33" s="47"/>
      <c r="B33" s="48">
        <f t="shared" ref="B33:M33" si="23">B32/B13</f>
        <v>0.4438673109</v>
      </c>
      <c r="C33" s="48">
        <f t="shared" si="23"/>
        <v>0.4664432255</v>
      </c>
      <c r="D33" s="48">
        <f t="shared" si="23"/>
        <v>0.4575239139</v>
      </c>
      <c r="E33" s="48">
        <f t="shared" si="23"/>
        <v>0.4859376359</v>
      </c>
      <c r="F33" s="48">
        <f t="shared" si="23"/>
        <v>0.4796601127</v>
      </c>
      <c r="G33" s="48">
        <f t="shared" si="23"/>
        <v>0.4984365412</v>
      </c>
      <c r="H33" s="48">
        <f t="shared" si="23"/>
        <v>0.4385382726</v>
      </c>
      <c r="I33" s="48">
        <f t="shared" si="23"/>
        <v>0.4383220083</v>
      </c>
      <c r="J33" s="48">
        <f t="shared" si="23"/>
        <v>0.4564962641</v>
      </c>
      <c r="K33" s="48">
        <f t="shared" si="23"/>
        <v>0.4330343969</v>
      </c>
      <c r="L33" s="48">
        <f t="shared" si="23"/>
        <v>0.3463435456</v>
      </c>
      <c r="M33" s="48">
        <f t="shared" si="23"/>
        <v>0.4314700818</v>
      </c>
      <c r="N33" s="48"/>
    </row>
    <row r="34">
      <c r="A34" s="47"/>
      <c r="B34" s="48"/>
      <c r="C34" s="48"/>
      <c r="D34" s="48"/>
      <c r="E34" s="48"/>
    </row>
    <row r="35">
      <c r="A35" s="9"/>
      <c r="B35" s="48"/>
      <c r="C35" s="48"/>
      <c r="D35" s="48"/>
      <c r="E35" s="48"/>
    </row>
    <row r="36">
      <c r="A36" s="47"/>
      <c r="B36" s="48"/>
      <c r="C36" s="48"/>
      <c r="D36" s="48"/>
      <c r="E36" s="48"/>
    </row>
  </sheetData>
  <mergeCells count="1">
    <mergeCell ref="N1:O1"/>
  </mergeCells>
  <drawing r:id="rId4"/>
  <legacy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38"/>
  </cols>
  <sheetData>
    <row r="1">
      <c r="A1" s="1" t="s">
        <v>39</v>
      </c>
      <c r="B1" s="2">
        <v>45748.0</v>
      </c>
      <c r="C1" s="2">
        <v>45778.0</v>
      </c>
      <c r="D1" s="2">
        <v>45809.0</v>
      </c>
      <c r="E1" s="2">
        <v>45839.0</v>
      </c>
      <c r="F1" s="4">
        <v>45870.0</v>
      </c>
      <c r="G1" s="2">
        <v>45901.0</v>
      </c>
      <c r="H1" s="2">
        <v>45931.0</v>
      </c>
      <c r="I1" s="2">
        <v>45962.0</v>
      </c>
      <c r="J1" s="2">
        <v>45992.0</v>
      </c>
      <c r="K1" s="2">
        <v>46023.0</v>
      </c>
      <c r="L1" s="2">
        <v>46054.0</v>
      </c>
      <c r="M1" s="2">
        <v>46082.0</v>
      </c>
      <c r="N1" s="5" t="s">
        <v>5</v>
      </c>
      <c r="O1" s="6"/>
    </row>
    <row r="2">
      <c r="A2" s="7" t="s">
        <v>6</v>
      </c>
      <c r="B2" s="8"/>
      <c r="C2" s="8"/>
      <c r="D2" s="8"/>
      <c r="E2" s="8"/>
      <c r="F2" s="10"/>
      <c r="G2" s="8"/>
      <c r="H2" s="8"/>
      <c r="I2" s="8"/>
      <c r="J2" s="8"/>
      <c r="K2" s="8"/>
      <c r="L2" s="8"/>
      <c r="M2" s="8"/>
      <c r="N2" s="8"/>
      <c r="O2" s="8"/>
    </row>
    <row r="3">
      <c r="A3" s="11" t="s">
        <v>7</v>
      </c>
      <c r="B3" s="12">
        <v>38819.35</v>
      </c>
      <c r="C3" s="14">
        <f t="shared" ref="C3:M3" si="1">B7</f>
        <v>25881</v>
      </c>
      <c r="D3" s="14">
        <f t="shared" si="1"/>
        <v>31727.17</v>
      </c>
      <c r="E3" s="14">
        <f t="shared" si="1"/>
        <v>28718</v>
      </c>
      <c r="F3" s="14">
        <f t="shared" si="1"/>
        <v>34065.77</v>
      </c>
      <c r="G3" s="14">
        <f t="shared" si="1"/>
        <v>33590</v>
      </c>
      <c r="H3" s="14">
        <f t="shared" si="1"/>
        <v>36469.93</v>
      </c>
      <c r="I3" s="14">
        <f t="shared" si="1"/>
        <v>25880.53</v>
      </c>
      <c r="J3" s="14">
        <f t="shared" si="1"/>
        <v>32224.05</v>
      </c>
      <c r="K3" s="14">
        <f t="shared" si="1"/>
        <v>42889</v>
      </c>
      <c r="L3" s="14">
        <f t="shared" si="1"/>
        <v>27513</v>
      </c>
      <c r="M3" s="14">
        <f t="shared" si="1"/>
        <v>24432.3</v>
      </c>
      <c r="N3" s="15">
        <f>+SUM(J3:L3)</f>
        <v>102626.05</v>
      </c>
      <c r="O3" s="18"/>
    </row>
    <row r="4">
      <c r="A4" s="11" t="s">
        <v>9</v>
      </c>
      <c r="B4" s="17">
        <v>212521.04</v>
      </c>
      <c r="C4" s="17">
        <v>244166.7</v>
      </c>
      <c r="D4" s="17">
        <v>223375.53</v>
      </c>
      <c r="E4" s="17">
        <v>264442.95</v>
      </c>
      <c r="F4" s="17">
        <v>270401.81</v>
      </c>
      <c r="G4" s="17">
        <v>272673.67</v>
      </c>
      <c r="H4" s="17">
        <v>272620.42</v>
      </c>
      <c r="I4" s="17">
        <v>255616.3</v>
      </c>
      <c r="J4" s="17">
        <v>239051.0</v>
      </c>
      <c r="K4" s="17">
        <v>279528.57</v>
      </c>
      <c r="L4" s="17">
        <v>262212.0</v>
      </c>
      <c r="M4" s="17">
        <v>335291.85</v>
      </c>
      <c r="N4" s="15">
        <f>sum(B4:M4)</f>
        <v>3131901.84</v>
      </c>
      <c r="O4" s="18"/>
    </row>
    <row r="5">
      <c r="A5" s="11" t="s">
        <v>10</v>
      </c>
      <c r="B5" s="17">
        <v>306.04</v>
      </c>
      <c r="C5" s="17">
        <v>444.62</v>
      </c>
      <c r="D5" s="17">
        <v>176.93</v>
      </c>
      <c r="E5" s="17">
        <v>385.3</v>
      </c>
      <c r="F5" s="17">
        <v>0.0</v>
      </c>
      <c r="G5" s="17">
        <v>397.28</v>
      </c>
      <c r="H5" s="17">
        <v>877.0</v>
      </c>
      <c r="I5" s="17">
        <v>506.78</v>
      </c>
      <c r="J5" s="17">
        <v>285.0</v>
      </c>
      <c r="K5" s="17">
        <v>539.27</v>
      </c>
      <c r="L5" s="17">
        <v>85.76</v>
      </c>
      <c r="M5" s="17">
        <v>926.45</v>
      </c>
      <c r="N5" s="15">
        <f t="shared" ref="N5:N6" si="2">+SUM(J5:L5)</f>
        <v>910.03</v>
      </c>
      <c r="O5" s="18"/>
    </row>
    <row r="6">
      <c r="A6" s="11" t="s">
        <v>11</v>
      </c>
      <c r="B6" s="17">
        <v>5521.73</v>
      </c>
      <c r="C6" s="17">
        <v>5677.35</v>
      </c>
      <c r="D6" s="17">
        <v>6363.0</v>
      </c>
      <c r="E6" s="17">
        <v>9065.29</v>
      </c>
      <c r="F6" s="17">
        <v>8750.0</v>
      </c>
      <c r="G6" s="17">
        <v>7370.63</v>
      </c>
      <c r="H6" s="17">
        <v>8506.0</v>
      </c>
      <c r="I6" s="17">
        <v>7949.81</v>
      </c>
      <c r="J6" s="17">
        <v>7606.0</v>
      </c>
      <c r="K6" s="17">
        <v>7430.61</v>
      </c>
      <c r="L6" s="17">
        <v>7167.83</v>
      </c>
      <c r="M6" s="17">
        <v>9082.81</v>
      </c>
      <c r="N6" s="15">
        <f t="shared" si="2"/>
        <v>22204.44</v>
      </c>
      <c r="O6" s="18"/>
    </row>
    <row r="7">
      <c r="A7" s="11" t="s">
        <v>12</v>
      </c>
      <c r="B7" s="17">
        <v>25881.0</v>
      </c>
      <c r="C7" s="17">
        <v>31727.17</v>
      </c>
      <c r="D7" s="17">
        <v>28718.0</v>
      </c>
      <c r="E7" s="17">
        <v>34065.77</v>
      </c>
      <c r="F7" s="17">
        <v>33590.0</v>
      </c>
      <c r="G7" s="17">
        <v>36469.93</v>
      </c>
      <c r="H7" s="17">
        <v>25880.53</v>
      </c>
      <c r="I7" s="17">
        <v>32224.05</v>
      </c>
      <c r="J7" s="17">
        <v>42889.0</v>
      </c>
      <c r="K7" s="17">
        <v>27513.0</v>
      </c>
      <c r="L7" s="17">
        <v>24432.3</v>
      </c>
      <c r="M7" s="17">
        <v>26042.56</v>
      </c>
      <c r="N7" s="15">
        <f>sum(B7:M7)</f>
        <v>369433.31</v>
      </c>
      <c r="O7" s="18"/>
    </row>
    <row r="8">
      <c r="A8" s="8"/>
      <c r="B8" s="8"/>
      <c r="C8" s="8"/>
      <c r="D8" s="8"/>
      <c r="E8" s="8"/>
      <c r="F8" s="10"/>
      <c r="G8" s="8"/>
      <c r="H8" s="8"/>
      <c r="I8" s="8"/>
      <c r="J8" s="8"/>
      <c r="K8" s="8"/>
      <c r="L8" s="8"/>
      <c r="M8" s="8"/>
      <c r="N8" s="8"/>
      <c r="O8" s="8"/>
    </row>
    <row r="9">
      <c r="A9" s="19" t="s">
        <v>13</v>
      </c>
      <c r="B9" s="14">
        <f>926387.29*1.05+278*1.05+20193.12*1.05</f>
        <v>994201.3305</v>
      </c>
      <c r="C9" s="14">
        <f>988606.08*1.05+22790.38*1.05</f>
        <v>1061966.283</v>
      </c>
      <c r="D9" s="14">
        <f>985391.49*1.05+24865.58*1.05</f>
        <v>1060769.924</v>
      </c>
      <c r="E9" s="14">
        <f>1048238.36*1.05+25443.63*1.05</f>
        <v>1127366.09</v>
      </c>
      <c r="F9" s="14">
        <f>1064391.36*1.05+25722.67*1.05</f>
        <v>1144619.732</v>
      </c>
      <c r="G9" s="14">
        <f>1128167.28*1.05</f>
        <v>1184575.644</v>
      </c>
      <c r="H9" s="14">
        <f>1153667.79*1.05+29797.6*1.05</f>
        <v>1242638.66</v>
      </c>
      <c r="I9" s="14">
        <f>1029646.39*1.05+27662.96*1.05</f>
        <v>1110174.818</v>
      </c>
      <c r="J9" s="14">
        <f>960051.15*1.05+23270.78*1.05</f>
        <v>1032488.027</v>
      </c>
      <c r="K9" s="14">
        <f>1146000.72*1.05+26840.5*1.05</f>
        <v>1231483.281</v>
      </c>
      <c r="L9" s="14">
        <f>1050622.44*1.05+30772.33*1.05</f>
        <v>1135464.509</v>
      </c>
      <c r="M9" s="14">
        <f>1304860.9*1.05+35584.44*1.05</f>
        <v>1407467.607</v>
      </c>
      <c r="N9" s="15">
        <f t="shared" ref="N9:N12" si="3">+SUM(B9:M9)</f>
        <v>13733215.9</v>
      </c>
      <c r="O9" s="18"/>
    </row>
    <row r="10">
      <c r="A10" s="19" t="s">
        <v>14</v>
      </c>
      <c r="B10" s="17">
        <v>0.0</v>
      </c>
      <c r="C10" s="17">
        <v>0.0</v>
      </c>
      <c r="D10" s="17">
        <v>0.0</v>
      </c>
      <c r="E10" s="17">
        <v>0.0</v>
      </c>
      <c r="F10" s="17">
        <v>0.0</v>
      </c>
      <c r="G10" s="17">
        <v>0.0</v>
      </c>
      <c r="H10" s="17">
        <v>0.0</v>
      </c>
      <c r="I10" s="17">
        <v>0.0</v>
      </c>
      <c r="J10" s="17">
        <v>0.0</v>
      </c>
      <c r="K10" s="17">
        <v>0.0</v>
      </c>
      <c r="L10" s="17">
        <v>0.0</v>
      </c>
      <c r="M10" s="17">
        <v>0.0</v>
      </c>
      <c r="N10" s="15">
        <f t="shared" si="3"/>
        <v>0</v>
      </c>
      <c r="O10" s="18"/>
    </row>
    <row r="11">
      <c r="A11" s="19" t="s">
        <v>15</v>
      </c>
      <c r="B11" s="14">
        <f t="shared" ref="B11:M11" si="4">(B9+B10)/1.05*0.05</f>
        <v>47342.9205</v>
      </c>
      <c r="C11" s="14">
        <f t="shared" si="4"/>
        <v>50569.823</v>
      </c>
      <c r="D11" s="14">
        <f t="shared" si="4"/>
        <v>50512.8535</v>
      </c>
      <c r="E11" s="14">
        <f t="shared" si="4"/>
        <v>53684.0995</v>
      </c>
      <c r="F11" s="14">
        <f t="shared" si="4"/>
        <v>54505.7015</v>
      </c>
      <c r="G11" s="14">
        <f t="shared" si="4"/>
        <v>56408.364</v>
      </c>
      <c r="H11" s="14">
        <f t="shared" si="4"/>
        <v>59173.2695</v>
      </c>
      <c r="I11" s="14">
        <f t="shared" si="4"/>
        <v>52865.4675</v>
      </c>
      <c r="J11" s="14">
        <f t="shared" si="4"/>
        <v>49166.0965</v>
      </c>
      <c r="K11" s="14">
        <f t="shared" si="4"/>
        <v>58642.061</v>
      </c>
      <c r="L11" s="14">
        <f t="shared" si="4"/>
        <v>54069.7385</v>
      </c>
      <c r="M11" s="14">
        <f t="shared" si="4"/>
        <v>67022.267</v>
      </c>
      <c r="N11" s="15">
        <f t="shared" si="3"/>
        <v>653962.662</v>
      </c>
      <c r="O11" s="18"/>
    </row>
    <row r="12">
      <c r="A12" s="19" t="s">
        <v>17</v>
      </c>
      <c r="B12" s="17">
        <f>46111.25+101.31+8300.02+18.24+40150.19+7227.01+37.5+6709</f>
        <v>108654.52</v>
      </c>
      <c r="C12" s="17">
        <f>35.4+52718.38+9453.9+43285.74+7791.43+5.11+11076.73+1993.81</f>
        <v>126360.5</v>
      </c>
      <c r="D12" s="14">
        <f>57558.73+10360.58+41462.84+7462+14345.76+2582.23</f>
        <v>133772.14</v>
      </c>
      <c r="E12" s="14">
        <f>58878.37+10598.11+49132.02+7604.4+525.64+7817+1407</f>
        <v>135962.54</v>
      </c>
      <c r="F12" s="14">
        <f>44150.72+7947.12+59565.66+10721.82+1258.92*1.18+14345.4+2582.16</f>
        <v>140798.4056</v>
      </c>
      <c r="G12" s="14">
        <f>56322.46*1.18+422.01*1.18+54944.82*1.18</f>
        <v>131793.3622</v>
      </c>
      <c r="H12" s="14">
        <f>69028*1.18+47620.78*1.18+1268.59*1.18+12356.91*1.18</f>
        <v>153723.6504</v>
      </c>
      <c r="I12" s="14">
        <f>64344.75*1.18+44991.1*1.18+347.61*1.18</f>
        <v>129426.4828</v>
      </c>
      <c r="J12" s="14">
        <f>(53712.61+447.06)*1.18+46757.98*1.18+422.95*1.18</f>
        <v>119581.908</v>
      </c>
      <c r="K12" s="14">
        <f>62817.69*1.18+1320.73*1.18+54396.11*1.18</f>
        <v>139870.7454</v>
      </c>
      <c r="L12" s="14">
        <f>83866.75+22358.89+27382.74+111.09+4024.64+20.02+312.85*1.18+20.28*1.18</f>
        <v>138157.2234</v>
      </c>
      <c r="M12" s="14">
        <f>82804.87*1.18+42479.59*1.18+897.71*1.18+26.06*1.18+23679.15*1.18</f>
        <v>176867.1084</v>
      </c>
      <c r="N12" s="15">
        <f t="shared" si="3"/>
        <v>1634968.586</v>
      </c>
      <c r="O12" s="18"/>
    </row>
    <row r="13">
      <c r="A13" s="21" t="s">
        <v>19</v>
      </c>
      <c r="B13" s="22">
        <f t="shared" ref="B13:M13" si="5">B9+B10-B11-B12</f>
        <v>838203.89</v>
      </c>
      <c r="C13" s="22">
        <f t="shared" si="5"/>
        <v>885035.96</v>
      </c>
      <c r="D13" s="22">
        <f t="shared" si="5"/>
        <v>876484.93</v>
      </c>
      <c r="E13" s="22">
        <f t="shared" si="5"/>
        <v>937719.45</v>
      </c>
      <c r="F13" s="23">
        <f t="shared" si="5"/>
        <v>949315.6244</v>
      </c>
      <c r="G13" s="23">
        <f t="shared" si="5"/>
        <v>996373.9178</v>
      </c>
      <c r="H13" s="22">
        <f t="shared" si="5"/>
        <v>1029741.74</v>
      </c>
      <c r="I13" s="22">
        <f t="shared" si="5"/>
        <v>927882.8672</v>
      </c>
      <c r="J13" s="22">
        <f t="shared" si="5"/>
        <v>863740.022</v>
      </c>
      <c r="K13" s="22">
        <f t="shared" si="5"/>
        <v>1032970.475</v>
      </c>
      <c r="L13" s="22">
        <f t="shared" si="5"/>
        <v>943237.5466</v>
      </c>
      <c r="M13" s="22">
        <f t="shared" si="5"/>
        <v>1163578.232</v>
      </c>
      <c r="N13" s="22">
        <f t="shared" ref="N13:N29" si="7">sum(B13:M13)</f>
        <v>11444284.65</v>
      </c>
      <c r="O13" s="24"/>
    </row>
    <row r="14">
      <c r="A14" s="19" t="s">
        <v>20</v>
      </c>
      <c r="B14" s="26">
        <f t="shared" ref="B14:M14" si="6">+B3+B4-B5-B7</f>
        <v>225153.35</v>
      </c>
      <c r="C14" s="26">
        <f t="shared" si="6"/>
        <v>237875.91</v>
      </c>
      <c r="D14" s="26">
        <f t="shared" si="6"/>
        <v>226207.77</v>
      </c>
      <c r="E14" s="26">
        <f t="shared" si="6"/>
        <v>258709.88</v>
      </c>
      <c r="F14" s="26">
        <f t="shared" si="6"/>
        <v>270877.58</v>
      </c>
      <c r="G14" s="26">
        <f t="shared" si="6"/>
        <v>269396.46</v>
      </c>
      <c r="H14" s="26">
        <f t="shared" si="6"/>
        <v>282332.82</v>
      </c>
      <c r="I14" s="26">
        <f t="shared" si="6"/>
        <v>248766</v>
      </c>
      <c r="J14" s="26">
        <f t="shared" si="6"/>
        <v>228101.05</v>
      </c>
      <c r="K14" s="26">
        <f t="shared" si="6"/>
        <v>294365.3</v>
      </c>
      <c r="L14" s="26">
        <f t="shared" si="6"/>
        <v>265206.94</v>
      </c>
      <c r="M14" s="26">
        <f t="shared" si="6"/>
        <v>332755.14</v>
      </c>
      <c r="N14" s="15">
        <f t="shared" si="7"/>
        <v>3139748.2</v>
      </c>
      <c r="O14" s="27">
        <f t="shared" ref="O14:O29" si="8">N14/$N$13</f>
        <v>0.2743507607</v>
      </c>
    </row>
    <row r="15">
      <c r="A15" s="19" t="s">
        <v>21</v>
      </c>
      <c r="B15" s="26">
        <v>35350.0</v>
      </c>
      <c r="C15" s="26">
        <v>68820.0</v>
      </c>
      <c r="D15" s="26">
        <v>48630.0</v>
      </c>
      <c r="E15" s="26">
        <f>47350</f>
        <v>47350</v>
      </c>
      <c r="F15" s="28">
        <v>43720.0</v>
      </c>
      <c r="G15" s="28">
        <v>49020.0</v>
      </c>
      <c r="H15" s="28">
        <v>41270.0</v>
      </c>
      <c r="I15" s="28">
        <v>33670.0</v>
      </c>
      <c r="J15" s="28">
        <v>28950.0</v>
      </c>
      <c r="K15" s="28">
        <v>28870.0</v>
      </c>
      <c r="L15" s="28">
        <v>37450.0</v>
      </c>
      <c r="M15" s="28">
        <f>48130</f>
        <v>48130</v>
      </c>
      <c r="N15" s="15">
        <f t="shared" si="7"/>
        <v>511230</v>
      </c>
      <c r="O15" s="27">
        <f t="shared" si="8"/>
        <v>0.04467120624</v>
      </c>
    </row>
    <row r="16">
      <c r="A16" s="19" t="s">
        <v>22</v>
      </c>
      <c r="B16" s="26">
        <f t="shared" ref="B16:C16" si="9">942.82+352.82</f>
        <v>1295.64</v>
      </c>
      <c r="C16" s="26">
        <f t="shared" si="9"/>
        <v>1295.64</v>
      </c>
      <c r="D16" s="26">
        <f t="shared" ref="D16:E16" si="10">2478/3+352.82+942.82</f>
        <v>2121.64</v>
      </c>
      <c r="E16" s="26">
        <f t="shared" si="10"/>
        <v>2121.64</v>
      </c>
      <c r="F16" s="26">
        <f>2478/3+942.82+352.82</f>
        <v>2121.64</v>
      </c>
      <c r="G16" s="26">
        <f t="shared" ref="G16:H16" si="11">942.82+767+352.82</f>
        <v>2062.64</v>
      </c>
      <c r="H16" s="26">
        <f t="shared" si="11"/>
        <v>2062.64</v>
      </c>
      <c r="I16" s="26">
        <f t="shared" ref="I16:J16" si="12">352.82+942.82</f>
        <v>1295.64</v>
      </c>
      <c r="J16" s="26">
        <f t="shared" si="12"/>
        <v>1295.64</v>
      </c>
      <c r="K16" s="26">
        <f>767+942.82+352.82</f>
        <v>2062.64</v>
      </c>
      <c r="L16" s="26">
        <f t="shared" ref="L16:M16" si="13">767+942.82+85.22+352.82</f>
        <v>2147.86</v>
      </c>
      <c r="M16" s="57">
        <f t="shared" si="13"/>
        <v>2147.86</v>
      </c>
      <c r="N16" s="15">
        <f t="shared" si="7"/>
        <v>22031.12</v>
      </c>
      <c r="O16" s="27">
        <f t="shared" si="8"/>
        <v>0.001925076199</v>
      </c>
    </row>
    <row r="17">
      <c r="A17" s="19" t="s">
        <v>23</v>
      </c>
      <c r="B17" s="26">
        <f>23919</f>
        <v>23919</v>
      </c>
      <c r="C17" s="26">
        <v>23681.0</v>
      </c>
      <c r="D17" s="26">
        <f>18326</f>
        <v>18326</v>
      </c>
      <c r="E17" s="26">
        <v>22526.0</v>
      </c>
      <c r="F17" s="28">
        <v>20468.0</v>
      </c>
      <c r="G17" s="28">
        <v>22860.0</v>
      </c>
      <c r="H17" s="28">
        <v>21567.0</v>
      </c>
      <c r="I17" s="28">
        <v>21476.0</v>
      </c>
      <c r="J17" s="28">
        <v>21336.0</v>
      </c>
      <c r="K17" s="28">
        <v>24525.0</v>
      </c>
      <c r="L17" s="26">
        <f>25268</f>
        <v>25268</v>
      </c>
      <c r="M17" s="26">
        <f>11597+9*3556</f>
        <v>43601</v>
      </c>
      <c r="N17" s="15">
        <f t="shared" si="7"/>
        <v>289553</v>
      </c>
      <c r="O17" s="27">
        <f t="shared" si="8"/>
        <v>0.02530110083</v>
      </c>
    </row>
    <row r="18">
      <c r="A18" s="19" t="s">
        <v>24</v>
      </c>
      <c r="B18" s="26">
        <v>48300.0</v>
      </c>
      <c r="C18" s="26">
        <f>48300*1.18</f>
        <v>56994</v>
      </c>
      <c r="D18" s="26">
        <f t="shared" ref="D18:M18" si="14">56994</f>
        <v>56994</v>
      </c>
      <c r="E18" s="26">
        <f t="shared" si="14"/>
        <v>56994</v>
      </c>
      <c r="F18" s="26">
        <f t="shared" si="14"/>
        <v>56994</v>
      </c>
      <c r="G18" s="26">
        <f t="shared" si="14"/>
        <v>56994</v>
      </c>
      <c r="H18" s="26">
        <f t="shared" si="14"/>
        <v>56994</v>
      </c>
      <c r="I18" s="26">
        <f t="shared" si="14"/>
        <v>56994</v>
      </c>
      <c r="J18" s="26">
        <f t="shared" si="14"/>
        <v>56994</v>
      </c>
      <c r="K18" s="26">
        <f t="shared" si="14"/>
        <v>56994</v>
      </c>
      <c r="L18" s="26">
        <f t="shared" si="14"/>
        <v>56994</v>
      </c>
      <c r="M18" s="26">
        <f t="shared" si="14"/>
        <v>56994</v>
      </c>
      <c r="N18" s="15">
        <f t="shared" si="7"/>
        <v>675234</v>
      </c>
      <c r="O18" s="27">
        <f t="shared" si="8"/>
        <v>0.05900185293</v>
      </c>
    </row>
    <row r="19">
      <c r="A19" s="19" t="s">
        <v>25</v>
      </c>
      <c r="B19" s="26">
        <v>3761.0</v>
      </c>
      <c r="C19" s="26">
        <v>3761.0</v>
      </c>
      <c r="D19" s="26">
        <v>3761.0</v>
      </c>
      <c r="E19" s="26">
        <v>3761.0</v>
      </c>
      <c r="F19" s="26">
        <v>3761.0</v>
      </c>
      <c r="G19" s="26">
        <v>3761.0</v>
      </c>
      <c r="H19" s="26">
        <v>3761.0</v>
      </c>
      <c r="I19" s="26">
        <v>3761.0</v>
      </c>
      <c r="J19" s="26">
        <v>3761.0</v>
      </c>
      <c r="K19" s="26">
        <f t="shared" ref="K19:M19" si="15">34000*1.18/12+4250*1.18/12</f>
        <v>3761.25</v>
      </c>
      <c r="L19" s="26">
        <f t="shared" si="15"/>
        <v>3761.25</v>
      </c>
      <c r="M19" s="26">
        <f t="shared" si="15"/>
        <v>3761.25</v>
      </c>
      <c r="N19" s="15">
        <f t="shared" si="7"/>
        <v>45132.75</v>
      </c>
      <c r="O19" s="27">
        <f t="shared" si="8"/>
        <v>0.003943693413</v>
      </c>
    </row>
    <row r="20">
      <c r="A20" s="20" t="s">
        <v>26</v>
      </c>
      <c r="B20" s="26">
        <f>157249+56014/12</f>
        <v>161916.8333</v>
      </c>
      <c r="C20" s="26">
        <f>136460+56014/12</f>
        <v>141127.8333</v>
      </c>
      <c r="D20" s="26">
        <f>103286.25+47543.13+3145.63+56014/12</f>
        <v>158642.8433</v>
      </c>
      <c r="E20" s="26">
        <f>160298+56014/12</f>
        <v>164965.8333</v>
      </c>
      <c r="F20" s="26">
        <f>160775+56014/12</f>
        <v>165442.8333</v>
      </c>
      <c r="G20" s="26">
        <f>161150+56014/12</f>
        <v>165817.8333</v>
      </c>
      <c r="H20" s="26">
        <f>56014/12+126822.58</f>
        <v>131490.4133</v>
      </c>
      <c r="I20" s="26">
        <f>56014/12+157880</f>
        <v>162547.8333</v>
      </c>
      <c r="J20" s="26">
        <f>56014/12+159884</f>
        <v>164551.8333</v>
      </c>
      <c r="K20" s="26">
        <f>56014/12+157884</f>
        <v>162551.8333</v>
      </c>
      <c r="L20" s="26">
        <f>56014/12+160134</f>
        <v>164801.8333</v>
      </c>
      <c r="M20" s="26">
        <f>56014/12+160384</f>
        <v>165051.8333</v>
      </c>
      <c r="N20" s="15">
        <f t="shared" si="7"/>
        <v>1908909.59</v>
      </c>
      <c r="O20" s="27">
        <f t="shared" si="8"/>
        <v>0.1668002543</v>
      </c>
    </row>
    <row r="21">
      <c r="A21" s="11" t="s">
        <v>27</v>
      </c>
      <c r="B21" s="26">
        <f>2360+2478+2950+19175/12</f>
        <v>9385.916667</v>
      </c>
      <c r="C21" s="57">
        <f t="shared" ref="C21:D21" si="16">2478+2478+2950+19175/12</f>
        <v>9503.916667</v>
      </c>
      <c r="D21" s="26">
        <f t="shared" si="16"/>
        <v>9503.916667</v>
      </c>
      <c r="E21" s="26">
        <f>2950+2478+2478+19175/12</f>
        <v>9503.916667</v>
      </c>
      <c r="F21" s="26">
        <f>2478+2478+2950+19175/12</f>
        <v>9503.916667</v>
      </c>
      <c r="G21" s="26">
        <f t="shared" ref="G21:I21" si="17">19175/12+2950+2478+2478</f>
        <v>9503.916667</v>
      </c>
      <c r="H21" s="26">
        <f t="shared" si="17"/>
        <v>9503.916667</v>
      </c>
      <c r="I21" s="26">
        <f t="shared" si="17"/>
        <v>9503.916667</v>
      </c>
      <c r="J21" s="26">
        <f>19175/12+2478+2478+2950</f>
        <v>9503.916667</v>
      </c>
      <c r="K21" s="26">
        <f>19175/12+2950+2478+2478</f>
        <v>9503.916667</v>
      </c>
      <c r="L21" s="26">
        <f>19175/12+2478+2478+2950</f>
        <v>9503.916667</v>
      </c>
      <c r="M21" s="26">
        <f>19175/12+2950+2478+2478</f>
        <v>9503.916667</v>
      </c>
      <c r="N21" s="15">
        <f t="shared" si="7"/>
        <v>113929</v>
      </c>
      <c r="O21" s="27">
        <f t="shared" si="8"/>
        <v>0.009955100161</v>
      </c>
    </row>
    <row r="22">
      <c r="A22" s="32" t="s">
        <v>28</v>
      </c>
      <c r="B22" s="26">
        <f t="shared" ref="B22:D22" si="18">2124/3+9813/12+6372/12</f>
        <v>2056.75</v>
      </c>
      <c r="C22" s="26">
        <f t="shared" si="18"/>
        <v>2056.75</v>
      </c>
      <c r="D22" s="26">
        <f t="shared" si="18"/>
        <v>2056.75</v>
      </c>
      <c r="E22" s="26">
        <f t="shared" ref="E22:J22" si="19">9813/12+6372/12+2124/3</f>
        <v>2056.75</v>
      </c>
      <c r="F22" s="26">
        <f t="shared" si="19"/>
        <v>2056.75</v>
      </c>
      <c r="G22" s="26">
        <f t="shared" si="19"/>
        <v>2056.75</v>
      </c>
      <c r="H22" s="26">
        <f t="shared" si="19"/>
        <v>2056.75</v>
      </c>
      <c r="I22" s="26">
        <f t="shared" si="19"/>
        <v>2056.75</v>
      </c>
      <c r="J22" s="26">
        <f t="shared" si="19"/>
        <v>2056.75</v>
      </c>
      <c r="K22" s="26">
        <f t="shared" ref="K22:M22" si="20">9813/12+6372/12+3271.32/3</f>
        <v>2439.19</v>
      </c>
      <c r="L22" s="26">
        <f t="shared" si="20"/>
        <v>2439.19</v>
      </c>
      <c r="M22" s="26">
        <f t="shared" si="20"/>
        <v>2439.19</v>
      </c>
      <c r="N22" s="15">
        <f t="shared" si="7"/>
        <v>25828.32</v>
      </c>
      <c r="O22" s="27">
        <f t="shared" si="8"/>
        <v>0.002256875006</v>
      </c>
    </row>
    <row r="23">
      <c r="A23" s="20" t="s">
        <v>29</v>
      </c>
      <c r="B23" s="26">
        <v>0.0</v>
      </c>
      <c r="C23" s="26">
        <v>973.34</v>
      </c>
      <c r="D23" s="26">
        <v>973.34</v>
      </c>
      <c r="E23" s="26">
        <v>973.34</v>
      </c>
      <c r="F23" s="26">
        <v>973.34</v>
      </c>
      <c r="G23" s="26">
        <v>973.34</v>
      </c>
      <c r="H23" s="26">
        <v>973.34</v>
      </c>
      <c r="I23" s="26">
        <v>973.34</v>
      </c>
      <c r="J23" s="26">
        <v>973.34</v>
      </c>
      <c r="K23" s="26">
        <v>973.34</v>
      </c>
      <c r="L23" s="26">
        <v>973.34</v>
      </c>
      <c r="M23" s="26">
        <v>973.34</v>
      </c>
      <c r="N23" s="15">
        <f t="shared" si="7"/>
        <v>10706.74</v>
      </c>
      <c r="O23" s="27">
        <f t="shared" si="8"/>
        <v>0.0009355534508</v>
      </c>
    </row>
    <row r="24">
      <c r="A24" s="19" t="s">
        <v>30</v>
      </c>
      <c r="B24" s="26">
        <v>1000.0</v>
      </c>
      <c r="C24" s="26">
        <v>4000.0</v>
      </c>
      <c r="D24" s="26">
        <f>20060/12+6161</f>
        <v>7832.666667</v>
      </c>
      <c r="E24" s="26">
        <f>20060/12+1000</f>
        <v>2671.666667</v>
      </c>
      <c r="F24" s="26">
        <f>20060/12+6900</f>
        <v>8571.666667</v>
      </c>
      <c r="G24" s="26">
        <f>20060/12+1000</f>
        <v>2671.666667</v>
      </c>
      <c r="H24" s="26">
        <f>20060/12+1560</f>
        <v>3231.666667</v>
      </c>
      <c r="I24" s="26">
        <f>20060/12+1000</f>
        <v>2671.666667</v>
      </c>
      <c r="J24" s="26">
        <f>20060/12</f>
        <v>1671.666667</v>
      </c>
      <c r="K24" s="26">
        <f>20060/12+7570.7</f>
        <v>9242.366667</v>
      </c>
      <c r="L24" s="26">
        <f>20060/12+14293</f>
        <v>15964.66667</v>
      </c>
      <c r="M24" s="26">
        <f>20060/12+10876</f>
        <v>12547.66667</v>
      </c>
      <c r="N24" s="15">
        <f t="shared" si="7"/>
        <v>72077.36667</v>
      </c>
      <c r="O24" s="27">
        <f t="shared" si="8"/>
        <v>0.006298110266</v>
      </c>
    </row>
    <row r="25">
      <c r="A25" s="19" t="s">
        <v>31</v>
      </c>
      <c r="B25" s="26">
        <v>2087.0</v>
      </c>
      <c r="C25" s="26">
        <v>1955.76</v>
      </c>
      <c r="D25" s="26">
        <f>3119.54</f>
        <v>3119.54</v>
      </c>
      <c r="E25" s="26">
        <f>11017</f>
        <v>11017</v>
      </c>
      <c r="F25" s="26">
        <f>14417.89</f>
        <v>14417.89</v>
      </c>
      <c r="G25" s="28">
        <v>5900.8</v>
      </c>
      <c r="H25" s="28">
        <v>8846.0</v>
      </c>
      <c r="I25" s="28">
        <v>7255.82</v>
      </c>
      <c r="J25" s="28">
        <v>7253.73</v>
      </c>
      <c r="K25" s="28">
        <v>7490.0</v>
      </c>
      <c r="L25" s="28">
        <v>7142.91</v>
      </c>
      <c r="M25" s="28">
        <f>13255.44</f>
        <v>13255.44</v>
      </c>
      <c r="N25" s="15">
        <f t="shared" si="7"/>
        <v>89741.89</v>
      </c>
      <c r="O25" s="27">
        <f t="shared" si="8"/>
        <v>0.007841633856</v>
      </c>
    </row>
    <row r="26">
      <c r="A26" s="19" t="s">
        <v>32</v>
      </c>
      <c r="B26" s="26"/>
      <c r="C26" s="26"/>
      <c r="D26" s="26"/>
      <c r="E26" s="26"/>
      <c r="F26" s="26"/>
      <c r="G26" s="26"/>
      <c r="H26" s="26"/>
      <c r="I26" s="26"/>
      <c r="J26" s="26"/>
      <c r="K26" s="26"/>
      <c r="L26" s="26"/>
      <c r="M26" s="26"/>
      <c r="N26" s="15">
        <f t="shared" si="7"/>
        <v>0</v>
      </c>
      <c r="O26" s="27">
        <f t="shared" si="8"/>
        <v>0</v>
      </c>
    </row>
    <row r="27">
      <c r="A27" s="19" t="s">
        <v>33</v>
      </c>
      <c r="B27" s="26">
        <f>HO!D28</f>
        <v>170011.1761</v>
      </c>
      <c r="C27" s="26">
        <f>HO!H28</f>
        <v>177847.3084</v>
      </c>
      <c r="D27" s="26">
        <f>HO!L28</f>
        <v>174329.9773</v>
      </c>
      <c r="E27" s="26">
        <f>HO!P28</f>
        <v>200573.5501</v>
      </c>
      <c r="F27" s="26">
        <f>HO!D47</f>
        <v>186222.8419</v>
      </c>
      <c r="G27" s="26">
        <f>HO!H47</f>
        <v>214296.2309</v>
      </c>
      <c r="H27" s="26">
        <f>HO!L47</f>
        <v>198441.7028</v>
      </c>
      <c r="I27" s="26">
        <f>HO!P47</f>
        <v>200187.4669</v>
      </c>
      <c r="J27" s="26">
        <f>HO!D66</f>
        <v>162644.2461</v>
      </c>
      <c r="K27" s="26">
        <f>HO!H66</f>
        <v>201327.8796</v>
      </c>
      <c r="L27" s="26">
        <f>HO!L66</f>
        <v>197342.1069</v>
      </c>
      <c r="M27" s="26">
        <f>HO!P66</f>
        <v>214295.9135</v>
      </c>
      <c r="N27" s="15">
        <f t="shared" si="7"/>
        <v>2297520.401</v>
      </c>
      <c r="O27" s="27">
        <f t="shared" si="8"/>
        <v>0.2007570128</v>
      </c>
    </row>
    <row r="28">
      <c r="A28" s="35" t="s">
        <v>34</v>
      </c>
      <c r="B28" s="65">
        <f t="shared" ref="B28:M28" si="21">+SUM(B14:B27)</f>
        <v>684236.6661</v>
      </c>
      <c r="C28" s="65">
        <f t="shared" si="21"/>
        <v>729892.4584</v>
      </c>
      <c r="D28" s="65">
        <f t="shared" si="21"/>
        <v>712499.444</v>
      </c>
      <c r="E28" s="65">
        <f t="shared" si="21"/>
        <v>783224.5768</v>
      </c>
      <c r="F28" s="65">
        <f t="shared" si="21"/>
        <v>785131.4586</v>
      </c>
      <c r="G28" s="65">
        <f t="shared" si="21"/>
        <v>805314.6376</v>
      </c>
      <c r="H28" s="65">
        <f t="shared" si="21"/>
        <v>762531.2495</v>
      </c>
      <c r="I28" s="65">
        <f t="shared" si="21"/>
        <v>751159.4336</v>
      </c>
      <c r="J28" s="65">
        <f t="shared" si="21"/>
        <v>689093.1728</v>
      </c>
      <c r="K28" s="65">
        <f t="shared" si="21"/>
        <v>804106.7163</v>
      </c>
      <c r="L28" s="65">
        <f t="shared" si="21"/>
        <v>788996.0136</v>
      </c>
      <c r="M28" s="65">
        <f t="shared" si="21"/>
        <v>905456.5502</v>
      </c>
      <c r="N28" s="36">
        <f t="shared" si="7"/>
        <v>9201642.377</v>
      </c>
      <c r="O28" s="38">
        <f t="shared" si="8"/>
        <v>0.8040382301</v>
      </c>
    </row>
    <row r="29">
      <c r="A29" s="39" t="s">
        <v>35</v>
      </c>
      <c r="B29" s="40">
        <f t="shared" ref="B29:M29" si="22">B13-B28</f>
        <v>153967.2239</v>
      </c>
      <c r="C29" s="40">
        <f t="shared" si="22"/>
        <v>155143.5016</v>
      </c>
      <c r="D29" s="40">
        <f t="shared" si="22"/>
        <v>163985.486</v>
      </c>
      <c r="E29" s="40">
        <f t="shared" si="22"/>
        <v>154494.8732</v>
      </c>
      <c r="F29" s="40">
        <f t="shared" si="22"/>
        <v>164184.1658</v>
      </c>
      <c r="G29" s="40">
        <f t="shared" si="22"/>
        <v>191059.2802</v>
      </c>
      <c r="H29" s="40">
        <f t="shared" si="22"/>
        <v>267210.4901</v>
      </c>
      <c r="I29" s="40">
        <f t="shared" si="22"/>
        <v>176723.4336</v>
      </c>
      <c r="J29" s="40">
        <f t="shared" si="22"/>
        <v>174646.8492</v>
      </c>
      <c r="K29" s="40">
        <f t="shared" si="22"/>
        <v>228863.7583</v>
      </c>
      <c r="L29" s="40">
        <f t="shared" si="22"/>
        <v>154241.533</v>
      </c>
      <c r="M29" s="40">
        <f t="shared" si="22"/>
        <v>258121.6814</v>
      </c>
      <c r="N29" s="40">
        <f t="shared" si="7"/>
        <v>2242642.276</v>
      </c>
      <c r="O29" s="41">
        <f t="shared" si="8"/>
        <v>0.1959617699</v>
      </c>
    </row>
    <row r="30">
      <c r="A30" s="42" t="s">
        <v>36</v>
      </c>
      <c r="B30" s="43">
        <f t="shared" ref="B30:M30" si="23">(B14/B13)</f>
        <v>0.26861406</v>
      </c>
      <c r="C30" s="43">
        <f t="shared" si="23"/>
        <v>0.2687754179</v>
      </c>
      <c r="D30" s="43">
        <f t="shared" si="23"/>
        <v>0.2580851789</v>
      </c>
      <c r="E30" s="43">
        <f t="shared" si="23"/>
        <v>0.2758926244</v>
      </c>
      <c r="F30" s="44">
        <f t="shared" si="23"/>
        <v>0.2853398522</v>
      </c>
      <c r="G30" s="43">
        <f t="shared" si="23"/>
        <v>0.2703768688</v>
      </c>
      <c r="H30" s="43">
        <f t="shared" si="23"/>
        <v>0.274178281</v>
      </c>
      <c r="I30" s="43">
        <f t="shared" si="23"/>
        <v>0.2681006502</v>
      </c>
      <c r="J30" s="43">
        <f t="shared" si="23"/>
        <v>0.2640853083</v>
      </c>
      <c r="K30" s="43">
        <f t="shared" si="23"/>
        <v>0.2849697133</v>
      </c>
      <c r="L30" s="43">
        <f t="shared" si="23"/>
        <v>0.2811666488</v>
      </c>
      <c r="M30" s="43">
        <f t="shared" si="23"/>
        <v>0.285975735</v>
      </c>
      <c r="N30" s="45"/>
      <c r="O30" s="45"/>
    </row>
    <row r="32">
      <c r="B32" s="46">
        <f t="shared" ref="B32:M32" si="24">B29+B27</f>
        <v>323978.4</v>
      </c>
      <c r="C32" s="46">
        <f t="shared" si="24"/>
        <v>332990.81</v>
      </c>
      <c r="D32" s="46">
        <f t="shared" si="24"/>
        <v>338315.4633</v>
      </c>
      <c r="E32" s="46">
        <f t="shared" si="24"/>
        <v>355068.4233</v>
      </c>
      <c r="F32" s="46">
        <f t="shared" si="24"/>
        <v>350407.0077</v>
      </c>
      <c r="G32" s="46">
        <f t="shared" si="24"/>
        <v>405355.5111</v>
      </c>
      <c r="H32" s="46">
        <f t="shared" si="24"/>
        <v>465652.1929</v>
      </c>
      <c r="I32" s="46">
        <f t="shared" si="24"/>
        <v>376910.9005</v>
      </c>
      <c r="J32" s="46">
        <f t="shared" si="24"/>
        <v>337291.0953</v>
      </c>
      <c r="K32" s="46">
        <f t="shared" si="24"/>
        <v>430191.6379</v>
      </c>
      <c r="L32" s="46">
        <f t="shared" si="24"/>
        <v>351583.6399</v>
      </c>
      <c r="M32" s="46">
        <f t="shared" si="24"/>
        <v>472417.5949</v>
      </c>
    </row>
    <row r="33">
      <c r="A33" s="47"/>
      <c r="B33" s="48">
        <f t="shared" ref="B33:M33" si="25">B32/B13</f>
        <v>0.386515028</v>
      </c>
      <c r="C33" s="48">
        <f t="shared" si="25"/>
        <v>0.3762455144</v>
      </c>
      <c r="D33" s="48">
        <f t="shared" si="25"/>
        <v>0.3859911925</v>
      </c>
      <c r="E33" s="48">
        <f t="shared" si="25"/>
        <v>0.3786510169</v>
      </c>
      <c r="F33" s="48">
        <f t="shared" si="25"/>
        <v>0.3691153908</v>
      </c>
      <c r="G33" s="48">
        <f t="shared" si="25"/>
        <v>0.4068307127</v>
      </c>
      <c r="H33" s="48">
        <f t="shared" si="25"/>
        <v>0.4522028923</v>
      </c>
      <c r="I33" s="48">
        <f t="shared" si="25"/>
        <v>0.4062052592</v>
      </c>
      <c r="J33" s="48">
        <f t="shared" si="25"/>
        <v>0.390500714</v>
      </c>
      <c r="K33" s="48">
        <f t="shared" si="25"/>
        <v>0.41646073</v>
      </c>
      <c r="L33" s="48">
        <f t="shared" si="25"/>
        <v>0.3727413537</v>
      </c>
      <c r="M33" s="48">
        <f t="shared" si="25"/>
        <v>0.4060041535</v>
      </c>
    </row>
    <row r="34">
      <c r="A34" s="47"/>
      <c r="B34" s="48"/>
      <c r="C34" s="48"/>
      <c r="D34" s="48"/>
      <c r="E34" s="48"/>
    </row>
    <row r="35">
      <c r="A35" s="9"/>
      <c r="B35" s="48"/>
      <c r="C35" s="48"/>
      <c r="D35" s="48"/>
      <c r="E35" s="48"/>
    </row>
    <row r="36">
      <c r="A36" s="47"/>
      <c r="B36" s="48"/>
      <c r="C36" s="48"/>
      <c r="D36" s="48"/>
      <c r="E36" s="48"/>
    </row>
  </sheetData>
  <mergeCells count="1">
    <mergeCell ref="N1:O1"/>
  </mergeCells>
  <drawing r:id="rId4"/>
  <legacyDrawing r:id="rId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38"/>
  </cols>
  <sheetData>
    <row r="1">
      <c r="A1" s="1" t="s">
        <v>40</v>
      </c>
      <c r="B1" s="2">
        <v>45748.0</v>
      </c>
      <c r="C1" s="2">
        <v>45778.0</v>
      </c>
      <c r="D1" s="2">
        <v>45809.0</v>
      </c>
      <c r="E1" s="2">
        <v>45839.0</v>
      </c>
      <c r="F1" s="4">
        <v>45870.0</v>
      </c>
      <c r="G1" s="2">
        <v>45901.0</v>
      </c>
      <c r="H1" s="2">
        <v>45931.0</v>
      </c>
      <c r="I1" s="2">
        <v>45962.0</v>
      </c>
      <c r="J1" s="2">
        <v>45992.0</v>
      </c>
      <c r="K1" s="2">
        <v>46023.0</v>
      </c>
      <c r="L1" s="2">
        <v>46054.0</v>
      </c>
      <c r="M1" s="2">
        <v>46082.0</v>
      </c>
      <c r="N1" s="52" t="s">
        <v>5</v>
      </c>
      <c r="O1" s="6"/>
    </row>
    <row r="2">
      <c r="A2" s="7" t="s">
        <v>6</v>
      </c>
      <c r="B2" s="8"/>
      <c r="C2" s="8"/>
      <c r="D2" s="8"/>
      <c r="E2" s="8"/>
      <c r="F2" s="10"/>
      <c r="G2" s="8"/>
      <c r="H2" s="8"/>
      <c r="I2" s="8"/>
      <c r="J2" s="8"/>
      <c r="K2" s="8"/>
      <c r="L2" s="8"/>
      <c r="M2" s="8"/>
      <c r="N2" s="53"/>
      <c r="O2" s="53"/>
    </row>
    <row r="3">
      <c r="A3" s="11" t="s">
        <v>7</v>
      </c>
      <c r="B3" s="12">
        <v>32680.43</v>
      </c>
      <c r="C3" s="13">
        <f t="shared" ref="C3:M3" si="1">B7</f>
        <v>29379</v>
      </c>
      <c r="D3" s="14">
        <f t="shared" si="1"/>
        <v>29592.26</v>
      </c>
      <c r="E3" s="14">
        <f t="shared" si="1"/>
        <v>28982</v>
      </c>
      <c r="F3" s="14">
        <f t="shared" si="1"/>
        <v>32793.74</v>
      </c>
      <c r="G3" s="14">
        <f t="shared" si="1"/>
        <v>29689.76</v>
      </c>
      <c r="H3" s="14">
        <f t="shared" si="1"/>
        <v>33909.81</v>
      </c>
      <c r="I3" s="14">
        <f t="shared" si="1"/>
        <v>34062.04</v>
      </c>
      <c r="J3" s="14">
        <f t="shared" si="1"/>
        <v>22015.85</v>
      </c>
      <c r="K3" s="14">
        <f t="shared" si="1"/>
        <v>33790</v>
      </c>
      <c r="L3" s="14">
        <f t="shared" si="1"/>
        <v>27216</v>
      </c>
      <c r="M3" s="14">
        <f t="shared" si="1"/>
        <v>28822.5</v>
      </c>
      <c r="N3" s="15">
        <f>+SUM(J3:L3)</f>
        <v>83021.85</v>
      </c>
      <c r="O3" s="54"/>
    </row>
    <row r="4">
      <c r="A4" s="11" t="s">
        <v>9</v>
      </c>
      <c r="B4" s="16">
        <v>390608.89</v>
      </c>
      <c r="C4" s="16">
        <v>407880.03</v>
      </c>
      <c r="D4" s="17">
        <v>456682.78</v>
      </c>
      <c r="E4" s="17">
        <v>476176.6</v>
      </c>
      <c r="F4" s="17">
        <v>480515.81</v>
      </c>
      <c r="G4" s="17">
        <v>453478.08</v>
      </c>
      <c r="H4" s="17">
        <v>440092.72</v>
      </c>
      <c r="I4" s="17">
        <v>400814.44</v>
      </c>
      <c r="J4" s="17">
        <v>432955.0</v>
      </c>
      <c r="K4" s="17">
        <v>430978.46</v>
      </c>
      <c r="L4" s="17">
        <v>418813.38</v>
      </c>
      <c r="M4" s="17">
        <v>486947.6</v>
      </c>
      <c r="N4" s="15">
        <f>sum(B4:M4)</f>
        <v>5275943.79</v>
      </c>
      <c r="O4" s="54"/>
    </row>
    <row r="5">
      <c r="A5" s="11" t="s">
        <v>10</v>
      </c>
      <c r="B5" s="16">
        <v>854.0</v>
      </c>
      <c r="C5" s="16">
        <v>451.97</v>
      </c>
      <c r="D5" s="17">
        <v>2859.0</v>
      </c>
      <c r="E5" s="17">
        <v>1020.0</v>
      </c>
      <c r="F5" s="17">
        <v>1049.57</v>
      </c>
      <c r="G5" s="17">
        <v>1386.0</v>
      </c>
      <c r="H5" s="17">
        <v>368.26</v>
      </c>
      <c r="I5" s="17">
        <v>271.99</v>
      </c>
      <c r="J5" s="17">
        <v>935.0</v>
      </c>
      <c r="K5" s="17">
        <v>252.96</v>
      </c>
      <c r="L5" s="17">
        <v>454.42</v>
      </c>
      <c r="M5" s="17">
        <v>358.73</v>
      </c>
      <c r="N5" s="15">
        <f t="shared" ref="N5:N6" si="2">+SUM(J5:L5)</f>
        <v>1642.38</v>
      </c>
      <c r="O5" s="54"/>
    </row>
    <row r="6">
      <c r="A6" s="11" t="s">
        <v>11</v>
      </c>
      <c r="B6" s="16">
        <v>14772.76</v>
      </c>
      <c r="C6" s="16">
        <v>16787.36</v>
      </c>
      <c r="D6" s="17">
        <v>15425.0</v>
      </c>
      <c r="E6" s="17">
        <v>14951.0</v>
      </c>
      <c r="F6" s="17">
        <v>15906.7</v>
      </c>
      <c r="G6" s="17">
        <v>15804.0</v>
      </c>
      <c r="H6" s="17">
        <v>14474.62</v>
      </c>
      <c r="I6" s="17">
        <v>11909.58</v>
      </c>
      <c r="J6" s="17">
        <v>12140.0</v>
      </c>
      <c r="K6" s="17">
        <v>12476.72</v>
      </c>
      <c r="L6" s="17">
        <v>11569.0</v>
      </c>
      <c r="M6" s="17">
        <v>16852.2</v>
      </c>
      <c r="N6" s="15">
        <f t="shared" si="2"/>
        <v>36185.72</v>
      </c>
      <c r="O6" s="54"/>
    </row>
    <row r="7">
      <c r="A7" s="11" t="s">
        <v>12</v>
      </c>
      <c r="B7" s="16">
        <v>29379.0</v>
      </c>
      <c r="C7" s="16">
        <v>29592.26</v>
      </c>
      <c r="D7" s="17">
        <v>28982.0</v>
      </c>
      <c r="E7" s="17">
        <v>32793.74</v>
      </c>
      <c r="F7" s="17">
        <v>29689.76</v>
      </c>
      <c r="G7" s="17">
        <v>33909.81</v>
      </c>
      <c r="H7" s="17">
        <v>34062.04</v>
      </c>
      <c r="I7" s="17">
        <v>22015.85</v>
      </c>
      <c r="J7" s="17">
        <v>33790.0</v>
      </c>
      <c r="K7" s="17">
        <v>27216.0</v>
      </c>
      <c r="L7" s="17">
        <v>28822.5</v>
      </c>
      <c r="M7" s="17">
        <v>29064.0</v>
      </c>
      <c r="N7" s="15">
        <f>sum(B7:M7)</f>
        <v>359316.96</v>
      </c>
      <c r="O7" s="54"/>
    </row>
    <row r="8">
      <c r="A8" s="8"/>
      <c r="B8" s="55"/>
      <c r="C8" s="55"/>
      <c r="D8" s="8"/>
      <c r="E8" s="8"/>
      <c r="F8" s="10"/>
      <c r="G8" s="8"/>
      <c r="H8" s="8"/>
      <c r="I8" s="8"/>
      <c r="J8" s="8"/>
      <c r="K8" s="8"/>
      <c r="L8" s="8"/>
      <c r="M8" s="8"/>
      <c r="N8" s="53"/>
      <c r="O8" s="53"/>
    </row>
    <row r="9">
      <c r="A9" s="19" t="s">
        <v>13</v>
      </c>
      <c r="B9" s="13">
        <f>1654226.13*1.05+32752.55*1.05</f>
        <v>1771327.614</v>
      </c>
      <c r="C9" s="13">
        <f>1693394.06*1.05+37852.52*1.05</f>
        <v>1817808.909</v>
      </c>
      <c r="D9" s="14">
        <f>1910175.75*1.05+44366.76*1.05</f>
        <v>2052269.636</v>
      </c>
      <c r="E9" s="14">
        <f>1930557.68*1.05+45953.88*1.05</f>
        <v>2075337.138</v>
      </c>
      <c r="F9" s="14">
        <f>1956062.5*1.05+45349.39*1.05</f>
        <v>2101482.485</v>
      </c>
      <c r="G9" s="14">
        <f>1936006.97*1.05</f>
        <v>2032807.319</v>
      </c>
      <c r="H9" s="14">
        <f>1862224.52*1.05+43405.28*1.05</f>
        <v>2000911.29</v>
      </c>
      <c r="I9" s="14">
        <f>1781786.68*1.05+43955.13*1.05</f>
        <v>1917028.901</v>
      </c>
      <c r="J9" s="14">
        <f>1805508.38*1.05+38896.56*1.05</f>
        <v>1936625.187</v>
      </c>
      <c r="K9" s="14">
        <f>1832872.13*1.05+36570.33*1.05</f>
        <v>1962914.583</v>
      </c>
      <c r="L9" s="14">
        <f>1686686.45*1.05+39024.85*1.05</f>
        <v>1811996.865</v>
      </c>
      <c r="M9" s="14">
        <f>1952418.34*1.05+47307.1*1.05</f>
        <v>2099711.712</v>
      </c>
      <c r="N9" s="15">
        <f t="shared" ref="N9:N12" si="3">+SUM(B9:M9)</f>
        <v>23580221.64</v>
      </c>
      <c r="O9" s="54"/>
    </row>
    <row r="10">
      <c r="A10" s="19" t="s">
        <v>14</v>
      </c>
      <c r="B10" s="16">
        <v>0.0</v>
      </c>
      <c r="C10" s="16">
        <v>0.0</v>
      </c>
      <c r="D10" s="16">
        <v>0.0</v>
      </c>
      <c r="E10" s="16">
        <v>0.0</v>
      </c>
      <c r="F10" s="16">
        <v>0.0</v>
      </c>
      <c r="G10" s="16">
        <v>0.0</v>
      </c>
      <c r="H10" s="17">
        <v>0.0</v>
      </c>
      <c r="I10" s="17">
        <v>0.0</v>
      </c>
      <c r="J10" s="17">
        <v>0.0</v>
      </c>
      <c r="K10" s="17">
        <v>0.0</v>
      </c>
      <c r="L10" s="17">
        <v>0.0</v>
      </c>
      <c r="M10" s="17">
        <v>0.0</v>
      </c>
      <c r="N10" s="15">
        <f t="shared" si="3"/>
        <v>0</v>
      </c>
      <c r="O10" s="54"/>
    </row>
    <row r="11">
      <c r="A11" s="19" t="s">
        <v>15</v>
      </c>
      <c r="B11" s="13">
        <f t="shared" ref="B11:M11" si="4">(B9+B10)/1.05*0.05</f>
        <v>84348.934</v>
      </c>
      <c r="C11" s="13">
        <f t="shared" si="4"/>
        <v>86562.329</v>
      </c>
      <c r="D11" s="13">
        <f t="shared" si="4"/>
        <v>97727.1255</v>
      </c>
      <c r="E11" s="13">
        <f t="shared" si="4"/>
        <v>98825.578</v>
      </c>
      <c r="F11" s="13">
        <f t="shared" si="4"/>
        <v>100070.5945</v>
      </c>
      <c r="G11" s="13">
        <f t="shared" si="4"/>
        <v>96800.3485</v>
      </c>
      <c r="H11" s="13">
        <f t="shared" si="4"/>
        <v>95281.49</v>
      </c>
      <c r="I11" s="13">
        <f t="shared" si="4"/>
        <v>91287.0905</v>
      </c>
      <c r="J11" s="13">
        <f t="shared" si="4"/>
        <v>92220.247</v>
      </c>
      <c r="K11" s="13">
        <f t="shared" si="4"/>
        <v>93472.123</v>
      </c>
      <c r="L11" s="13">
        <f t="shared" si="4"/>
        <v>86285.565</v>
      </c>
      <c r="M11" s="13">
        <f t="shared" si="4"/>
        <v>99986.272</v>
      </c>
      <c r="N11" s="15">
        <f t="shared" si="3"/>
        <v>1122867.697</v>
      </c>
      <c r="O11" s="54"/>
    </row>
    <row r="12">
      <c r="A12" s="19" t="s">
        <v>17</v>
      </c>
      <c r="B12" s="16">
        <f>74777.47+81.27+13459.94+14.62+75491.77+13588.55+8936</f>
        <v>186349.62</v>
      </c>
      <c r="C12" s="13">
        <f>15723.86+87354.78+76474.32+13765.38+10.51+17552.51+3159</f>
        <v>214040.36</v>
      </c>
      <c r="D12" s="14">
        <f>102072.69+18373.08+73011.95+13142.19+33220.07+5979.61</f>
        <v>245799.59</v>
      </c>
      <c r="E12" s="14">
        <f>102083.85+18375.09+91226.64+16420.79+222.7+15852+2853</f>
        <v>247034.07</v>
      </c>
      <c r="F12" s="14">
        <f>78982.91+14216.9+104985.72+18897.43+425.06*1.18+31473.13+5665.16</f>
        <v>254722.8208</v>
      </c>
      <c r="G12" s="14">
        <f>101805.27*1.18+255.3*1.18+92753.76*1.18</f>
        <v>229880.9094</v>
      </c>
      <c r="H12" s="14">
        <f>100238.43*1.18+84483.25*1.18+195.61*1.18+52.98+14988.57*1.18</f>
        <v>235941.8948</v>
      </c>
      <c r="I12" s="14">
        <f>102734.31*1.18+82613.38*1.18+621.42*1.18</f>
        <v>219443.5498</v>
      </c>
      <c r="J12" s="14">
        <f>(90121+475.02)*1.18+84619.72*1.18+1125.48*1.18</f>
        <v>208082.6396</v>
      </c>
      <c r="K12" s="14">
        <f>84607.34*1.18+669.3*1.18+84131*1.18</f>
        <v>199901.0152</v>
      </c>
      <c r="L12" s="14">
        <f>105957.01+39933.45+50587.89+61.56+7187.99+11.08+209.47*1.18+9.37*1.18</f>
        <v>203997.2112</v>
      </c>
      <c r="M12" s="14">
        <f>109163.03*1.18+60275.52*1.18+656.65*1.18+8.1*1.18+26068.42*1.18</f>
        <v>231482.6296</v>
      </c>
      <c r="N12" s="15">
        <f t="shared" si="3"/>
        <v>2676676.31</v>
      </c>
      <c r="O12" s="54"/>
    </row>
    <row r="13">
      <c r="A13" s="21" t="s">
        <v>19</v>
      </c>
      <c r="B13" s="58">
        <f t="shared" ref="B13:M13" si="5">B9+B10-B11-B12</f>
        <v>1500629.06</v>
      </c>
      <c r="C13" s="58">
        <f t="shared" si="5"/>
        <v>1517206.22</v>
      </c>
      <c r="D13" s="22">
        <f t="shared" si="5"/>
        <v>1708742.92</v>
      </c>
      <c r="E13" s="22">
        <f t="shared" si="5"/>
        <v>1729477.49</v>
      </c>
      <c r="F13" s="23">
        <f t="shared" si="5"/>
        <v>1746689.069</v>
      </c>
      <c r="G13" s="23">
        <f t="shared" si="5"/>
        <v>1706126.061</v>
      </c>
      <c r="H13" s="22">
        <f t="shared" si="5"/>
        <v>1669687.905</v>
      </c>
      <c r="I13" s="22">
        <f t="shared" si="5"/>
        <v>1606298.26</v>
      </c>
      <c r="J13" s="22">
        <f t="shared" si="5"/>
        <v>1636322.3</v>
      </c>
      <c r="K13" s="22">
        <f t="shared" si="5"/>
        <v>1669541.445</v>
      </c>
      <c r="L13" s="22">
        <f t="shared" si="5"/>
        <v>1521714.089</v>
      </c>
      <c r="M13" s="22">
        <f t="shared" si="5"/>
        <v>1768242.81</v>
      </c>
      <c r="N13" s="22">
        <f t="shared" ref="N13:N29" si="7">sum(B13:M13)</f>
        <v>19780677.63</v>
      </c>
      <c r="O13" s="59"/>
    </row>
    <row r="14">
      <c r="A14" s="19" t="s">
        <v>20</v>
      </c>
      <c r="B14" s="60">
        <f t="shared" ref="B14:M14" si="6">+B3+B4-B5-B7</f>
        <v>393056.32</v>
      </c>
      <c r="C14" s="60">
        <f t="shared" si="6"/>
        <v>407214.8</v>
      </c>
      <c r="D14" s="60">
        <f t="shared" si="6"/>
        <v>454434.04</v>
      </c>
      <c r="E14" s="60">
        <f t="shared" si="6"/>
        <v>471344.86</v>
      </c>
      <c r="F14" s="60">
        <f t="shared" si="6"/>
        <v>482570.22</v>
      </c>
      <c r="G14" s="60">
        <f t="shared" si="6"/>
        <v>447872.03</v>
      </c>
      <c r="H14" s="60">
        <f t="shared" si="6"/>
        <v>439572.23</v>
      </c>
      <c r="I14" s="60">
        <f t="shared" si="6"/>
        <v>412588.64</v>
      </c>
      <c r="J14" s="60">
        <f t="shared" si="6"/>
        <v>420245.85</v>
      </c>
      <c r="K14" s="60">
        <f t="shared" si="6"/>
        <v>437299.5</v>
      </c>
      <c r="L14" s="60">
        <f t="shared" si="6"/>
        <v>416752.46</v>
      </c>
      <c r="M14" s="26">
        <f t="shared" si="6"/>
        <v>486347.37</v>
      </c>
      <c r="N14" s="15">
        <f t="shared" si="7"/>
        <v>5269298.32</v>
      </c>
      <c r="O14" s="27">
        <f t="shared" ref="O14:O27" si="8">N14/$N$13</f>
        <v>0.266386138</v>
      </c>
    </row>
    <row r="15">
      <c r="A15" s="19" t="s">
        <v>21</v>
      </c>
      <c r="B15" s="60">
        <f>25703.32+11328</f>
        <v>37031.32</v>
      </c>
      <c r="C15" s="60">
        <f>26432.9+11859</f>
        <v>38291.9</v>
      </c>
      <c r="D15" s="60">
        <f>27064+13452</f>
        <v>40516</v>
      </c>
      <c r="E15" s="60">
        <f>25394+12036</f>
        <v>37430</v>
      </c>
      <c r="F15" s="60">
        <f>26671.41+14691+0.59</f>
        <v>41363</v>
      </c>
      <c r="G15" s="12">
        <f>26643.35+12390+4060</f>
        <v>43093.35</v>
      </c>
      <c r="H15" s="12">
        <f>27499+12390</f>
        <v>39889</v>
      </c>
      <c r="I15" s="60">
        <f>24314.33+11328</f>
        <v>35642.33</v>
      </c>
      <c r="J15" s="60">
        <f>23234+12390</f>
        <v>35624</v>
      </c>
      <c r="K15" s="60">
        <f>22883+11505</f>
        <v>34388</v>
      </c>
      <c r="L15" s="60">
        <f>22434.29+4602+0.71</f>
        <v>27037</v>
      </c>
      <c r="M15" s="14">
        <f>29056.56+11328</f>
        <v>40384.56</v>
      </c>
      <c r="N15" s="15">
        <f t="shared" si="7"/>
        <v>450690.46</v>
      </c>
      <c r="O15" s="27">
        <f t="shared" si="8"/>
        <v>0.0227843792</v>
      </c>
    </row>
    <row r="16">
      <c r="A16" s="19" t="s">
        <v>22</v>
      </c>
      <c r="B16" s="60">
        <f>352.82</f>
        <v>352.82</v>
      </c>
      <c r="C16" s="60">
        <v>353.0</v>
      </c>
      <c r="D16" s="60">
        <v>353.0</v>
      </c>
      <c r="E16" s="60">
        <v>353.0</v>
      </c>
      <c r="F16" s="60">
        <f t="shared" ref="F16:J16" si="9">5246.28/6+352.82</f>
        <v>1227.2</v>
      </c>
      <c r="G16" s="60">
        <f t="shared" si="9"/>
        <v>1227.2</v>
      </c>
      <c r="H16" s="60">
        <f t="shared" si="9"/>
        <v>1227.2</v>
      </c>
      <c r="I16" s="60">
        <f t="shared" si="9"/>
        <v>1227.2</v>
      </c>
      <c r="J16" s="60">
        <f t="shared" si="9"/>
        <v>1227.2</v>
      </c>
      <c r="K16" s="60">
        <f>5246.28/6+352.82+2700/3</f>
        <v>2127.2</v>
      </c>
      <c r="L16" s="60">
        <f t="shared" ref="L16:M16" si="10">5246.28/6+2700/3+352.82</f>
        <v>2127.2</v>
      </c>
      <c r="M16" s="60">
        <f t="shared" si="10"/>
        <v>2127.2</v>
      </c>
      <c r="N16" s="15">
        <f t="shared" si="7"/>
        <v>13929.42</v>
      </c>
      <c r="O16" s="27">
        <f t="shared" si="8"/>
        <v>0.0007041932668</v>
      </c>
    </row>
    <row r="17">
      <c r="A17" s="19" t="s">
        <v>23</v>
      </c>
      <c r="B17" s="60">
        <f>44421</f>
        <v>44421</v>
      </c>
      <c r="C17" s="60">
        <v>45671.0</v>
      </c>
      <c r="D17" s="60">
        <f>48314</f>
        <v>48314</v>
      </c>
      <c r="E17" s="12">
        <v>57924.0</v>
      </c>
      <c r="F17" s="12">
        <v>48809.0</v>
      </c>
      <c r="G17" s="12">
        <v>53340.0</v>
      </c>
      <c r="H17" s="12">
        <v>53917.0</v>
      </c>
      <c r="I17" s="12">
        <v>53690.0</v>
      </c>
      <c r="J17" s="12">
        <v>53340.0</v>
      </c>
      <c r="K17" s="12">
        <v>57225.0</v>
      </c>
      <c r="L17" s="60">
        <f>55589</f>
        <v>55589</v>
      </c>
      <c r="M17" s="14">
        <f>31500+12000+22964+12*3556</f>
        <v>109136</v>
      </c>
      <c r="N17" s="15">
        <f t="shared" si="7"/>
        <v>681376</v>
      </c>
      <c r="O17" s="27">
        <f t="shared" si="8"/>
        <v>0.03444654489</v>
      </c>
    </row>
    <row r="18">
      <c r="A18" s="19" t="s">
        <v>24</v>
      </c>
      <c r="B18" s="60">
        <v>257211.0</v>
      </c>
      <c r="C18" s="60">
        <f>260414</f>
        <v>260414</v>
      </c>
      <c r="D18" s="60">
        <v>292761.0</v>
      </c>
      <c r="E18" s="60">
        <f>295744</f>
        <v>295744</v>
      </c>
      <c r="F18" s="12">
        <v>298888.58</v>
      </c>
      <c r="G18" s="12">
        <v>292054.55</v>
      </c>
      <c r="H18" s="60">
        <f>285338.4</f>
        <v>285338.4</v>
      </c>
      <c r="I18" s="12">
        <v>274779.0</v>
      </c>
      <c r="J18" s="12">
        <v>281658.63</v>
      </c>
      <c r="K18" s="12">
        <v>286931.0</v>
      </c>
      <c r="L18" s="60">
        <f>260307.42</f>
        <v>260307.42</v>
      </c>
      <c r="M18" s="17">
        <f>303032.91</f>
        <v>303032.91</v>
      </c>
      <c r="N18" s="15">
        <f t="shared" si="7"/>
        <v>3389120.49</v>
      </c>
      <c r="O18" s="27">
        <f t="shared" si="8"/>
        <v>0.1713349034</v>
      </c>
    </row>
    <row r="19">
      <c r="A19" s="19" t="s">
        <v>25</v>
      </c>
      <c r="B19" s="60">
        <v>4764.0</v>
      </c>
      <c r="C19" s="60">
        <v>4764.0</v>
      </c>
      <c r="D19" s="60">
        <v>4764.0</v>
      </c>
      <c r="E19" s="60">
        <v>4764.0</v>
      </c>
      <c r="F19" s="60">
        <v>4764.0</v>
      </c>
      <c r="G19" s="60">
        <v>4764.0</v>
      </c>
      <c r="H19" s="60">
        <v>4764.0</v>
      </c>
      <c r="I19" s="60">
        <v>4764.0</v>
      </c>
      <c r="J19" s="60">
        <v>4764.0</v>
      </c>
      <c r="K19" s="60">
        <f t="shared" ref="K19:M19" si="11">34000*1.18/12+4250*1.18/12</f>
        <v>3761.25</v>
      </c>
      <c r="L19" s="60">
        <f t="shared" si="11"/>
        <v>3761.25</v>
      </c>
      <c r="M19" s="60">
        <f t="shared" si="11"/>
        <v>3761.25</v>
      </c>
      <c r="N19" s="15">
        <f t="shared" si="7"/>
        <v>54159.75</v>
      </c>
      <c r="O19" s="27">
        <f t="shared" si="8"/>
        <v>0.002738012874</v>
      </c>
    </row>
    <row r="20">
      <c r="A20" s="20" t="s">
        <v>42</v>
      </c>
      <c r="B20" s="60">
        <f>210518.026+4000+104897/12</f>
        <v>223259.4427</v>
      </c>
      <c r="C20" s="60">
        <f>234615+4000+104897/12</f>
        <v>247356.4167</v>
      </c>
      <c r="D20" s="60">
        <f>165048+63283+14285+4000+104897/12</f>
        <v>255357.4167</v>
      </c>
      <c r="E20" s="12">
        <f>244908+4000+104897/12</f>
        <v>257649.4167</v>
      </c>
      <c r="F20" s="60">
        <f>4000+233985.42+104897/12</f>
        <v>246726.8367</v>
      </c>
      <c r="G20" s="60">
        <f>239858+104897/12+4000</f>
        <v>252599.4167</v>
      </c>
      <c r="H20" s="60">
        <f>104897/12+242358+4000</f>
        <v>255099.4167</v>
      </c>
      <c r="I20" s="60">
        <f>104897/12+236586+4000</f>
        <v>249327.4167</v>
      </c>
      <c r="J20" s="60">
        <f>104897/12+252023+4000</f>
        <v>264764.4167</v>
      </c>
      <c r="K20" s="60">
        <f>104897/12+249794</f>
        <v>258535.4167</v>
      </c>
      <c r="L20" s="60">
        <f>104897/12+4500+263286</f>
        <v>276527.4167</v>
      </c>
      <c r="M20" s="60">
        <f>104897/12+4500+261095</f>
        <v>274336.4167</v>
      </c>
      <c r="N20" s="15">
        <f t="shared" si="7"/>
        <v>3061539.446</v>
      </c>
      <c r="O20" s="27">
        <f t="shared" si="8"/>
        <v>0.154774245</v>
      </c>
    </row>
    <row r="21">
      <c r="A21" s="11" t="s">
        <v>27</v>
      </c>
      <c r="B21" s="60">
        <f t="shared" ref="B21:D21" si="12">2400+2478+22406/12</f>
        <v>6745.166667</v>
      </c>
      <c r="C21" s="60">
        <f t="shared" si="12"/>
        <v>6745.166667</v>
      </c>
      <c r="D21" s="60">
        <f t="shared" si="12"/>
        <v>6745.166667</v>
      </c>
      <c r="E21" s="60">
        <f>3070+2478+22406/12</f>
        <v>7415.166667</v>
      </c>
      <c r="F21" s="60">
        <f>22406/12+2478+2400</f>
        <v>6745.166667</v>
      </c>
      <c r="G21" s="60">
        <f>22406/12+6550+2478</f>
        <v>10895.16667</v>
      </c>
      <c r="H21" s="60">
        <f t="shared" ref="H21:I21" si="13">22406/12+2720+2478</f>
        <v>7065.166667</v>
      </c>
      <c r="I21" s="60">
        <f t="shared" si="13"/>
        <v>7065.166667</v>
      </c>
      <c r="J21" s="60">
        <f t="shared" ref="J21:K21" si="14">22406/12+2400+2478</f>
        <v>6745.166667</v>
      </c>
      <c r="K21" s="60">
        <f t="shared" si="14"/>
        <v>6745.166667</v>
      </c>
      <c r="L21" s="60">
        <f>22406/12+1200+2478+5900</f>
        <v>11445.16667</v>
      </c>
      <c r="M21" s="14">
        <f>22406/12+2850+2478</f>
        <v>7195.166667</v>
      </c>
      <c r="N21" s="15">
        <f t="shared" si="7"/>
        <v>91552</v>
      </c>
      <c r="O21" s="27">
        <f t="shared" si="8"/>
        <v>0.00462835509</v>
      </c>
    </row>
    <row r="22">
      <c r="A22" s="32" t="s">
        <v>28</v>
      </c>
      <c r="B22" s="60">
        <f t="shared" ref="B22:D22" si="15">2124/3+9813/12+6372/12</f>
        <v>2056.75</v>
      </c>
      <c r="C22" s="60">
        <f t="shared" si="15"/>
        <v>2056.75</v>
      </c>
      <c r="D22" s="60">
        <f t="shared" si="15"/>
        <v>2056.75</v>
      </c>
      <c r="E22" s="60">
        <f t="shared" ref="E22:J22" si="16">9813/12+6372/12+2124/3</f>
        <v>2056.75</v>
      </c>
      <c r="F22" s="60">
        <f t="shared" si="16"/>
        <v>2056.75</v>
      </c>
      <c r="G22" s="60">
        <f t="shared" si="16"/>
        <v>2056.75</v>
      </c>
      <c r="H22" s="60">
        <f t="shared" si="16"/>
        <v>2056.75</v>
      </c>
      <c r="I22" s="60">
        <f t="shared" si="16"/>
        <v>2056.75</v>
      </c>
      <c r="J22" s="60">
        <f t="shared" si="16"/>
        <v>2056.75</v>
      </c>
      <c r="K22" s="60">
        <f t="shared" ref="K22:M22" si="17">9813/12+6372/12+3271.32/3</f>
        <v>2439.19</v>
      </c>
      <c r="L22" s="60">
        <f t="shared" si="17"/>
        <v>2439.19</v>
      </c>
      <c r="M22" s="60">
        <f t="shared" si="17"/>
        <v>2439.19</v>
      </c>
      <c r="N22" s="15">
        <f t="shared" si="7"/>
        <v>25828.32</v>
      </c>
      <c r="O22" s="27">
        <f t="shared" si="8"/>
        <v>0.001305734843</v>
      </c>
    </row>
    <row r="23">
      <c r="A23" s="20" t="s">
        <v>29</v>
      </c>
      <c r="B23" s="60">
        <v>0.0</v>
      </c>
      <c r="C23" s="60">
        <f t="shared" ref="C23:M23" si="18">7081.71/12</f>
        <v>590.1425</v>
      </c>
      <c r="D23" s="60">
        <f t="shared" si="18"/>
        <v>590.1425</v>
      </c>
      <c r="E23" s="60">
        <f t="shared" si="18"/>
        <v>590.1425</v>
      </c>
      <c r="F23" s="60">
        <f t="shared" si="18"/>
        <v>590.1425</v>
      </c>
      <c r="G23" s="60">
        <f t="shared" si="18"/>
        <v>590.1425</v>
      </c>
      <c r="H23" s="60">
        <f t="shared" si="18"/>
        <v>590.1425</v>
      </c>
      <c r="I23" s="60">
        <f t="shared" si="18"/>
        <v>590.1425</v>
      </c>
      <c r="J23" s="60">
        <f t="shared" si="18"/>
        <v>590.1425</v>
      </c>
      <c r="K23" s="60">
        <f t="shared" si="18"/>
        <v>590.1425</v>
      </c>
      <c r="L23" s="60">
        <f t="shared" si="18"/>
        <v>590.1425</v>
      </c>
      <c r="M23" s="34">
        <f t="shared" si="18"/>
        <v>590.1425</v>
      </c>
      <c r="N23" s="54">
        <f t="shared" si="7"/>
        <v>6491.5675</v>
      </c>
      <c r="O23" s="27">
        <f t="shared" si="8"/>
        <v>0.0003281772051</v>
      </c>
    </row>
    <row r="24">
      <c r="A24" s="19" t="s">
        <v>30</v>
      </c>
      <c r="B24" s="60">
        <v>240.0</v>
      </c>
      <c r="C24" s="60">
        <v>400.0</v>
      </c>
      <c r="D24" s="60">
        <v>12583.0</v>
      </c>
      <c r="E24" s="12">
        <v>280.0</v>
      </c>
      <c r="F24" s="12">
        <v>0.0</v>
      </c>
      <c r="G24" s="12">
        <v>6100.0</v>
      </c>
      <c r="H24" s="12">
        <v>18200.0</v>
      </c>
      <c r="I24" s="12">
        <v>16284.0</v>
      </c>
      <c r="J24" s="12">
        <v>0.0</v>
      </c>
      <c r="K24" s="12">
        <v>1641.0</v>
      </c>
      <c r="L24" s="12">
        <v>370.0</v>
      </c>
      <c r="M24" s="14">
        <f>1641+27399</f>
        <v>29040</v>
      </c>
      <c r="N24" s="15">
        <f t="shared" si="7"/>
        <v>85138</v>
      </c>
      <c r="O24" s="27">
        <f t="shared" si="8"/>
        <v>0.004304099263</v>
      </c>
    </row>
    <row r="25">
      <c r="A25" s="19" t="s">
        <v>31</v>
      </c>
      <c r="B25" s="60">
        <v>11886.93</v>
      </c>
      <c r="C25" s="60">
        <v>19185.33</v>
      </c>
      <c r="D25" s="12">
        <v>13553.0</v>
      </c>
      <c r="E25" s="60">
        <f>26538.67</f>
        <v>26538.67</v>
      </c>
      <c r="F25" s="12">
        <v>4232.15</v>
      </c>
      <c r="G25" s="12">
        <v>10630.98</v>
      </c>
      <c r="H25" s="60">
        <f>16625</f>
        <v>16625</v>
      </c>
      <c r="I25" s="12">
        <v>13290.34</v>
      </c>
      <c r="J25" s="12">
        <f>28844-12390</f>
        <v>16454</v>
      </c>
      <c r="K25" s="12">
        <v>15749.0</v>
      </c>
      <c r="L25" s="12">
        <v>25926.0</v>
      </c>
      <c r="M25" s="17">
        <f>26746.39</f>
        <v>26746.39</v>
      </c>
      <c r="N25" s="15">
        <f t="shared" si="7"/>
        <v>200817.79</v>
      </c>
      <c r="O25" s="27">
        <f t="shared" si="8"/>
        <v>0.01015221995</v>
      </c>
    </row>
    <row r="26">
      <c r="A26" s="19" t="s">
        <v>32</v>
      </c>
      <c r="B26" s="60">
        <f t="shared" ref="B26:C26" si="19">11800</f>
        <v>11800</v>
      </c>
      <c r="C26" s="60">
        <f t="shared" si="19"/>
        <v>11800</v>
      </c>
      <c r="D26" s="60">
        <v>13570.0</v>
      </c>
      <c r="E26" s="60">
        <v>13570.0</v>
      </c>
      <c r="F26" s="60">
        <v>13570.0</v>
      </c>
      <c r="G26" s="60">
        <v>13570.0</v>
      </c>
      <c r="H26" s="60">
        <v>13570.0</v>
      </c>
      <c r="I26" s="60">
        <v>13570.0</v>
      </c>
      <c r="J26" s="60">
        <v>13570.0</v>
      </c>
      <c r="K26" s="12">
        <v>13570.0</v>
      </c>
      <c r="L26" s="12">
        <v>13570.0</v>
      </c>
      <c r="M26" s="17">
        <v>13570.0</v>
      </c>
      <c r="N26" s="15">
        <f t="shared" si="7"/>
        <v>159300</v>
      </c>
      <c r="O26" s="27">
        <f t="shared" si="8"/>
        <v>0.008053313591</v>
      </c>
    </row>
    <row r="27">
      <c r="A27" s="19" t="s">
        <v>33</v>
      </c>
      <c r="B27" s="60">
        <f>HO!D30</f>
        <v>304369.515</v>
      </c>
      <c r="C27" s="60">
        <f>HO!H30</f>
        <v>304881.4452</v>
      </c>
      <c r="D27" s="60">
        <f>HO!L30</f>
        <v>339863.3613</v>
      </c>
      <c r="E27" s="60">
        <f>HO!P30</f>
        <v>369926.6769</v>
      </c>
      <c r="F27" s="60">
        <f>HO!D49</f>
        <v>342639.8913</v>
      </c>
      <c r="G27" s="60">
        <f>HO!H49</f>
        <v>366946.9641</v>
      </c>
      <c r="H27" s="60">
        <f>HO!L49</f>
        <v>321765.8354</v>
      </c>
      <c r="I27" s="60">
        <f>HO!P49</f>
        <v>346553.2032</v>
      </c>
      <c r="J27" s="60">
        <f>HO!D68</f>
        <v>308123.2781</v>
      </c>
      <c r="K27" s="60">
        <f>HO!H68</f>
        <v>325396.7537</v>
      </c>
      <c r="L27" s="60">
        <f>HO!L68</f>
        <v>318369.7103</v>
      </c>
      <c r="M27" s="60">
        <f>HO!P68</f>
        <v>325656.8386</v>
      </c>
      <c r="N27" s="15">
        <f t="shared" si="7"/>
        <v>3974493.473</v>
      </c>
      <c r="O27" s="27">
        <f t="shared" si="8"/>
        <v>0.2009280747</v>
      </c>
    </row>
    <row r="28">
      <c r="A28" s="35" t="s">
        <v>34</v>
      </c>
      <c r="B28" s="36">
        <f t="shared" ref="B28:M28" si="20">+SUM(B14:B27)</f>
        <v>1297194.264</v>
      </c>
      <c r="C28" s="36">
        <f t="shared" si="20"/>
        <v>1349723.951</v>
      </c>
      <c r="D28" s="36">
        <f t="shared" si="20"/>
        <v>1485460.877</v>
      </c>
      <c r="E28" s="36">
        <f t="shared" si="20"/>
        <v>1545586.683</v>
      </c>
      <c r="F28" s="37">
        <f t="shared" si="20"/>
        <v>1494182.937</v>
      </c>
      <c r="G28" s="36">
        <f t="shared" si="20"/>
        <v>1505740.55</v>
      </c>
      <c r="H28" s="36">
        <f t="shared" si="20"/>
        <v>1459680.141</v>
      </c>
      <c r="I28" s="36">
        <f t="shared" si="20"/>
        <v>1431428.189</v>
      </c>
      <c r="J28" s="36">
        <f t="shared" si="20"/>
        <v>1409163.434</v>
      </c>
      <c r="K28" s="36">
        <f t="shared" si="20"/>
        <v>1446398.619</v>
      </c>
      <c r="L28" s="36">
        <f t="shared" si="20"/>
        <v>1414811.956</v>
      </c>
      <c r="M28" s="36">
        <f t="shared" si="20"/>
        <v>1624363.434</v>
      </c>
      <c r="N28" s="36">
        <f t="shared" si="7"/>
        <v>17463735.04</v>
      </c>
      <c r="O28" s="38">
        <f t="shared" ref="O28:O29" si="22">N28/$N$7</f>
        <v>48.60259042</v>
      </c>
    </row>
    <row r="29">
      <c r="A29" s="39" t="s">
        <v>35</v>
      </c>
      <c r="B29" s="40">
        <f t="shared" ref="B29:M29" si="21">B13-B28</f>
        <v>203434.7957</v>
      </c>
      <c r="C29" s="40">
        <f t="shared" si="21"/>
        <v>167482.269</v>
      </c>
      <c r="D29" s="40">
        <f t="shared" si="21"/>
        <v>223282.0428</v>
      </c>
      <c r="E29" s="40">
        <f t="shared" si="21"/>
        <v>183890.8073</v>
      </c>
      <c r="F29" s="40">
        <f t="shared" si="21"/>
        <v>252506.132</v>
      </c>
      <c r="G29" s="40">
        <f t="shared" si="21"/>
        <v>200385.5107</v>
      </c>
      <c r="H29" s="40">
        <f t="shared" si="21"/>
        <v>210007.7639</v>
      </c>
      <c r="I29" s="40">
        <f t="shared" si="21"/>
        <v>174870.0711</v>
      </c>
      <c r="J29" s="40">
        <f t="shared" si="21"/>
        <v>227158.8665</v>
      </c>
      <c r="K29" s="40">
        <f t="shared" si="21"/>
        <v>223142.8253</v>
      </c>
      <c r="L29" s="40">
        <f t="shared" si="21"/>
        <v>106902.1327</v>
      </c>
      <c r="M29" s="40">
        <f t="shared" si="21"/>
        <v>143879.3759</v>
      </c>
      <c r="N29" s="40">
        <f t="shared" si="7"/>
        <v>2316942.593</v>
      </c>
      <c r="O29" s="41">
        <f t="shared" si="22"/>
        <v>6.448186006</v>
      </c>
    </row>
    <row r="30">
      <c r="A30" s="42" t="s">
        <v>36</v>
      </c>
      <c r="B30" s="43">
        <f t="shared" ref="B30:M30" si="23">(B14/B13)</f>
        <v>0.2619277012</v>
      </c>
      <c r="C30" s="43">
        <f t="shared" si="23"/>
        <v>0.2683977924</v>
      </c>
      <c r="D30" s="43">
        <f t="shared" si="23"/>
        <v>0.265946407</v>
      </c>
      <c r="E30" s="43">
        <f t="shared" si="23"/>
        <v>0.27253599</v>
      </c>
      <c r="F30" s="44">
        <f t="shared" si="23"/>
        <v>0.2762771168</v>
      </c>
      <c r="G30" s="43">
        <f t="shared" si="23"/>
        <v>0.26250817</v>
      </c>
      <c r="H30" s="43">
        <f t="shared" si="23"/>
        <v>0.2632661042</v>
      </c>
      <c r="I30" s="43">
        <f t="shared" si="23"/>
        <v>0.2568568056</v>
      </c>
      <c r="J30" s="43">
        <f t="shared" si="23"/>
        <v>0.2568233959</v>
      </c>
      <c r="K30" s="43">
        <f t="shared" si="23"/>
        <v>0.2619279092</v>
      </c>
      <c r="L30" s="43">
        <f t="shared" si="23"/>
        <v>0.2738704091</v>
      </c>
      <c r="M30" s="43">
        <f t="shared" si="23"/>
        <v>0.2750455804</v>
      </c>
      <c r="N30" s="70"/>
      <c r="O30" s="70"/>
    </row>
    <row r="32">
      <c r="B32" s="46">
        <f t="shared" ref="B32:M32" si="24">B29+B27</f>
        <v>507804.3107</v>
      </c>
      <c r="C32" s="46">
        <f t="shared" si="24"/>
        <v>472363.7142</v>
      </c>
      <c r="D32" s="46">
        <f t="shared" si="24"/>
        <v>563145.4042</v>
      </c>
      <c r="E32" s="46">
        <f t="shared" si="24"/>
        <v>553817.4842</v>
      </c>
      <c r="F32" s="46">
        <f t="shared" si="24"/>
        <v>595146.0234</v>
      </c>
      <c r="G32" s="46">
        <f t="shared" si="24"/>
        <v>567332.4748</v>
      </c>
      <c r="H32" s="46">
        <f t="shared" si="24"/>
        <v>531773.5994</v>
      </c>
      <c r="I32" s="46">
        <f t="shared" si="24"/>
        <v>521423.2744</v>
      </c>
      <c r="J32" s="46">
        <f t="shared" si="24"/>
        <v>535282.1446</v>
      </c>
      <c r="K32" s="46">
        <f t="shared" si="24"/>
        <v>548539.579</v>
      </c>
      <c r="L32" s="46">
        <f t="shared" si="24"/>
        <v>425271.843</v>
      </c>
      <c r="M32" s="46">
        <f t="shared" si="24"/>
        <v>469536.2146</v>
      </c>
    </row>
    <row r="33">
      <c r="A33" s="47"/>
      <c r="B33" s="48">
        <f t="shared" ref="B33:M33" si="25">B32/B13</f>
        <v>0.3383942936</v>
      </c>
      <c r="C33" s="48">
        <f t="shared" si="25"/>
        <v>0.3113378445</v>
      </c>
      <c r="D33" s="48">
        <f t="shared" si="25"/>
        <v>0.3295670739</v>
      </c>
      <c r="E33" s="48">
        <f t="shared" si="25"/>
        <v>0.3202224298</v>
      </c>
      <c r="F33" s="48">
        <f t="shared" si="25"/>
        <v>0.340728086</v>
      </c>
      <c r="G33" s="48">
        <f t="shared" si="25"/>
        <v>0.3325267035</v>
      </c>
      <c r="H33" s="48">
        <f t="shared" si="25"/>
        <v>0.3184868248</v>
      </c>
      <c r="I33" s="48">
        <f t="shared" si="25"/>
        <v>0.3246117407</v>
      </c>
      <c r="J33" s="48">
        <f t="shared" si="25"/>
        <v>0.3271251296</v>
      </c>
      <c r="K33" s="48">
        <f t="shared" si="25"/>
        <v>0.3285570302</v>
      </c>
      <c r="L33" s="48">
        <f t="shared" si="25"/>
        <v>0.2794689529</v>
      </c>
      <c r="M33" s="48">
        <f t="shared" si="25"/>
        <v>0.265538314</v>
      </c>
    </row>
    <row r="34">
      <c r="A34" s="47"/>
      <c r="B34" s="48"/>
      <c r="C34" s="48"/>
      <c r="D34" s="48"/>
      <c r="E34" s="48"/>
    </row>
    <row r="35">
      <c r="A35" s="9"/>
      <c r="B35" s="48"/>
      <c r="C35" s="48"/>
      <c r="D35" s="48"/>
      <c r="E35" s="48"/>
    </row>
    <row r="36">
      <c r="A36" s="47"/>
      <c r="B36" s="48"/>
      <c r="C36" s="48"/>
      <c r="D36" s="48"/>
      <c r="E36" s="48"/>
    </row>
  </sheetData>
  <mergeCells count="1">
    <mergeCell ref="N1:O1"/>
  </mergeCells>
  <drawing r:id="rId4"/>
  <legacyDrawing r:id="rId5"/>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38"/>
  </cols>
  <sheetData>
    <row r="1">
      <c r="A1" s="1" t="s">
        <v>44</v>
      </c>
      <c r="B1" s="2">
        <v>45748.0</v>
      </c>
      <c r="C1" s="2">
        <v>45778.0</v>
      </c>
      <c r="D1" s="2">
        <v>45809.0</v>
      </c>
      <c r="E1" s="2">
        <v>45839.0</v>
      </c>
      <c r="F1" s="4">
        <v>45870.0</v>
      </c>
      <c r="G1" s="2">
        <v>45901.0</v>
      </c>
      <c r="H1" s="2">
        <v>45931.0</v>
      </c>
      <c r="I1" s="2">
        <v>45962.0</v>
      </c>
      <c r="J1" s="2">
        <v>45992.0</v>
      </c>
      <c r="K1" s="2">
        <v>46023.0</v>
      </c>
      <c r="L1" s="2">
        <v>46054.0</v>
      </c>
      <c r="M1" s="2">
        <v>46082.0</v>
      </c>
      <c r="N1" s="52" t="s">
        <v>5</v>
      </c>
      <c r="O1" s="6"/>
    </row>
    <row r="2">
      <c r="A2" s="7" t="s">
        <v>6</v>
      </c>
      <c r="B2" s="8"/>
      <c r="C2" s="8"/>
      <c r="D2" s="8"/>
      <c r="E2" s="8"/>
      <c r="F2" s="10"/>
      <c r="G2" s="8"/>
      <c r="H2" s="8"/>
      <c r="I2" s="8"/>
      <c r="J2" s="8"/>
      <c r="K2" s="8"/>
      <c r="L2" s="8"/>
      <c r="M2" s="8"/>
      <c r="N2" s="53"/>
      <c r="O2" s="53"/>
    </row>
    <row r="3">
      <c r="A3" s="11" t="s">
        <v>7</v>
      </c>
      <c r="B3" s="12">
        <v>6692.81</v>
      </c>
      <c r="C3" s="14">
        <f t="shared" ref="C3:M3" si="1">B7</f>
        <v>6009.21</v>
      </c>
      <c r="D3" s="14">
        <f t="shared" si="1"/>
        <v>5755.48</v>
      </c>
      <c r="E3" s="14">
        <f t="shared" si="1"/>
        <v>6864</v>
      </c>
      <c r="F3" s="14">
        <f t="shared" si="1"/>
        <v>6390</v>
      </c>
      <c r="G3" s="14">
        <f t="shared" si="1"/>
        <v>7428.76</v>
      </c>
      <c r="H3" s="14">
        <f t="shared" si="1"/>
        <v>6649</v>
      </c>
      <c r="I3" s="14">
        <f t="shared" si="1"/>
        <v>5443.36</v>
      </c>
      <c r="J3" s="14">
        <f t="shared" si="1"/>
        <v>6083.05</v>
      </c>
      <c r="K3" s="14">
        <f t="shared" si="1"/>
        <v>6859</v>
      </c>
      <c r="L3" s="14">
        <f t="shared" si="1"/>
        <v>6839.92</v>
      </c>
      <c r="M3" s="14">
        <f t="shared" si="1"/>
        <v>6841</v>
      </c>
      <c r="N3" s="15">
        <f>+SUM(J3:L3)</f>
        <v>19781.97</v>
      </c>
      <c r="O3" s="54"/>
    </row>
    <row r="4">
      <c r="A4" s="11" t="s">
        <v>9</v>
      </c>
      <c r="B4" s="17">
        <v>46372.0</v>
      </c>
      <c r="C4" s="17">
        <v>50742.0</v>
      </c>
      <c r="D4" s="17">
        <v>46664.0</v>
      </c>
      <c r="E4" s="17">
        <v>47047.0</v>
      </c>
      <c r="F4" s="17">
        <v>42786.0</v>
      </c>
      <c r="G4" s="17">
        <v>31837.98</v>
      </c>
      <c r="H4" s="14">
        <f>34642.61</f>
        <v>34642.61</v>
      </c>
      <c r="I4" s="17">
        <v>38316.95</v>
      </c>
      <c r="J4" s="17">
        <v>32929.0</v>
      </c>
      <c r="K4" s="17">
        <v>31744.0</v>
      </c>
      <c r="L4" s="17">
        <v>25980.0</v>
      </c>
      <c r="M4" s="17">
        <v>29281.66</v>
      </c>
      <c r="N4" s="15">
        <f>sum(B4:M4)</f>
        <v>458343.2</v>
      </c>
      <c r="O4" s="54"/>
    </row>
    <row r="5">
      <c r="A5" s="11" t="s">
        <v>10</v>
      </c>
      <c r="B5" s="17">
        <v>0.0</v>
      </c>
      <c r="C5" s="17">
        <v>0.0</v>
      </c>
      <c r="D5" s="17">
        <v>0.0</v>
      </c>
      <c r="E5" s="17">
        <v>0.0</v>
      </c>
      <c r="F5" s="17">
        <v>57.0</v>
      </c>
      <c r="G5" s="17">
        <v>95.54</v>
      </c>
      <c r="H5" s="17">
        <v>0.0</v>
      </c>
      <c r="I5" s="17">
        <v>0.0</v>
      </c>
      <c r="J5" s="17">
        <v>0.0</v>
      </c>
      <c r="K5" s="17">
        <v>0.0</v>
      </c>
      <c r="L5" s="17">
        <v>0.0</v>
      </c>
      <c r="M5" s="17">
        <v>0.0</v>
      </c>
      <c r="N5" s="15">
        <f t="shared" ref="N5:N6" si="2">+SUM(J5:L5)</f>
        <v>0</v>
      </c>
      <c r="O5" s="54"/>
    </row>
    <row r="6">
      <c r="A6" s="11" t="s">
        <v>11</v>
      </c>
      <c r="B6" s="17">
        <v>641.69</v>
      </c>
      <c r="C6" s="17">
        <v>758.1</v>
      </c>
      <c r="D6" s="17">
        <v>1213.0</v>
      </c>
      <c r="E6" s="17">
        <v>1152.0</v>
      </c>
      <c r="F6" s="17">
        <v>1405.0</v>
      </c>
      <c r="G6" s="17">
        <v>1565.78</v>
      </c>
      <c r="H6" s="17">
        <v>841.82</v>
      </c>
      <c r="I6" s="17">
        <v>112.3</v>
      </c>
      <c r="J6" s="17">
        <v>71.0</v>
      </c>
      <c r="K6" s="17">
        <v>859.06</v>
      </c>
      <c r="L6" s="17">
        <v>862.0</v>
      </c>
      <c r="M6" s="17">
        <v>695.24</v>
      </c>
      <c r="N6" s="15">
        <f t="shared" si="2"/>
        <v>1792.06</v>
      </c>
      <c r="O6" s="54"/>
    </row>
    <row r="7">
      <c r="A7" s="11" t="s">
        <v>12</v>
      </c>
      <c r="B7" s="17">
        <v>6009.21</v>
      </c>
      <c r="C7" s="17">
        <v>5755.48</v>
      </c>
      <c r="D7" s="17">
        <v>6864.0</v>
      </c>
      <c r="E7" s="17">
        <v>6390.0</v>
      </c>
      <c r="F7" s="17">
        <v>7428.76</v>
      </c>
      <c r="G7" s="17">
        <v>6649.0</v>
      </c>
      <c r="H7" s="17">
        <v>5443.36</v>
      </c>
      <c r="I7" s="17">
        <v>6083.05</v>
      </c>
      <c r="J7" s="17">
        <v>6859.0</v>
      </c>
      <c r="K7" s="17">
        <v>6839.92</v>
      </c>
      <c r="L7" s="17">
        <v>6841.0</v>
      </c>
      <c r="M7" s="17">
        <v>6072.78</v>
      </c>
      <c r="N7" s="15">
        <f>sum(B7:M7)</f>
        <v>77235.56</v>
      </c>
      <c r="O7" s="54"/>
    </row>
    <row r="8">
      <c r="A8" s="8"/>
      <c r="B8" s="8"/>
      <c r="C8" s="8"/>
      <c r="D8" s="8"/>
      <c r="E8" s="8"/>
      <c r="F8" s="10"/>
      <c r="G8" s="8"/>
      <c r="H8" s="8"/>
      <c r="I8" s="8"/>
      <c r="J8" s="8"/>
      <c r="K8" s="8"/>
      <c r="L8" s="8"/>
      <c r="M8" s="8"/>
      <c r="N8" s="53"/>
      <c r="O8" s="53"/>
    </row>
    <row r="9">
      <c r="A9" s="19" t="s">
        <v>13</v>
      </c>
      <c r="B9" s="14">
        <f>145250.1*1.05</f>
        <v>152512.605</v>
      </c>
      <c r="C9" s="14">
        <f>161332.56*1.05</f>
        <v>169399.188</v>
      </c>
      <c r="D9" s="14">
        <f>163406.09*1.05</f>
        <v>171576.3945</v>
      </c>
      <c r="E9" s="14">
        <f>138523.22*1.05</f>
        <v>145449.381</v>
      </c>
      <c r="F9" s="14">
        <f>127893.63*1.05</f>
        <v>134288.3115</v>
      </c>
      <c r="G9" s="14">
        <f>97950.63*1.05</f>
        <v>102848.1615</v>
      </c>
      <c r="H9" s="14">
        <f>114069.27*1.05</f>
        <v>119772.7335</v>
      </c>
      <c r="I9" s="14">
        <f>116002.28*1.05</f>
        <v>121802.394</v>
      </c>
      <c r="J9" s="14">
        <f>106235.94*1.05</f>
        <v>111547.737</v>
      </c>
      <c r="K9" s="14">
        <f>96184.67*1.05</f>
        <v>100993.9035</v>
      </c>
      <c r="L9" s="14">
        <f>80747.04*1.05</f>
        <v>84784.392</v>
      </c>
      <c r="M9" s="14">
        <f>87604*1.05</f>
        <v>91984.2</v>
      </c>
      <c r="N9" s="15">
        <f t="shared" ref="N9:N12" si="3">+SUM(B9:M9)</f>
        <v>1506959.402</v>
      </c>
      <c r="O9" s="54"/>
    </row>
    <row r="10">
      <c r="A10" s="19" t="s">
        <v>14</v>
      </c>
      <c r="B10" s="17">
        <v>0.0</v>
      </c>
      <c r="C10" s="17">
        <v>0.0</v>
      </c>
      <c r="D10" s="14"/>
      <c r="E10" s="14"/>
      <c r="F10" s="14"/>
      <c r="G10" s="14"/>
      <c r="H10" s="14"/>
      <c r="I10" s="14"/>
      <c r="J10" s="14"/>
      <c r="K10" s="14"/>
      <c r="L10" s="14"/>
      <c r="M10" s="14"/>
      <c r="N10" s="15">
        <f t="shared" si="3"/>
        <v>0</v>
      </c>
      <c r="O10" s="54"/>
    </row>
    <row r="11">
      <c r="A11" s="19" t="s">
        <v>15</v>
      </c>
      <c r="B11" s="14">
        <f t="shared" ref="B11:M11" si="4">(B9+B10)/1.05*0.05</f>
        <v>7262.505</v>
      </c>
      <c r="C11" s="14">
        <f t="shared" si="4"/>
        <v>8066.628</v>
      </c>
      <c r="D11" s="14">
        <f t="shared" si="4"/>
        <v>8170.3045</v>
      </c>
      <c r="E11" s="14">
        <f t="shared" si="4"/>
        <v>6926.161</v>
      </c>
      <c r="F11" s="14">
        <f t="shared" si="4"/>
        <v>6394.6815</v>
      </c>
      <c r="G11" s="14">
        <f t="shared" si="4"/>
        <v>4897.5315</v>
      </c>
      <c r="H11" s="14">
        <f t="shared" si="4"/>
        <v>5703.4635</v>
      </c>
      <c r="I11" s="14">
        <f t="shared" si="4"/>
        <v>5800.114</v>
      </c>
      <c r="J11" s="14">
        <f t="shared" si="4"/>
        <v>5311.797</v>
      </c>
      <c r="K11" s="14">
        <f t="shared" si="4"/>
        <v>4809.2335</v>
      </c>
      <c r="L11" s="14">
        <f t="shared" si="4"/>
        <v>4037.352</v>
      </c>
      <c r="M11" s="14">
        <f t="shared" si="4"/>
        <v>4380.2</v>
      </c>
      <c r="N11" s="15">
        <f t="shared" si="3"/>
        <v>71759.9715</v>
      </c>
      <c r="O11" s="54"/>
    </row>
    <row r="12">
      <c r="A12" s="19" t="s">
        <v>17</v>
      </c>
      <c r="B12" s="14"/>
      <c r="C12" s="14"/>
      <c r="D12" s="14"/>
      <c r="E12" s="14"/>
      <c r="F12" s="14"/>
      <c r="G12" s="14"/>
      <c r="H12" s="14"/>
      <c r="I12" s="14"/>
      <c r="J12" s="14"/>
      <c r="K12" s="14"/>
      <c r="L12" s="14"/>
      <c r="M12" s="14"/>
      <c r="N12" s="15">
        <f t="shared" si="3"/>
        <v>0</v>
      </c>
      <c r="O12" s="54"/>
    </row>
    <row r="13">
      <c r="A13" s="21" t="s">
        <v>19</v>
      </c>
      <c r="B13" s="22">
        <f t="shared" ref="B13:M13" si="5">B9+B10-B11-B12</f>
        <v>145250.1</v>
      </c>
      <c r="C13" s="22">
        <f t="shared" si="5"/>
        <v>161332.56</v>
      </c>
      <c r="D13" s="22">
        <f t="shared" si="5"/>
        <v>163406.09</v>
      </c>
      <c r="E13" s="22">
        <f t="shared" si="5"/>
        <v>138523.22</v>
      </c>
      <c r="F13" s="23">
        <f t="shared" si="5"/>
        <v>127893.63</v>
      </c>
      <c r="G13" s="23">
        <f t="shared" si="5"/>
        <v>97950.63</v>
      </c>
      <c r="H13" s="22">
        <f t="shared" si="5"/>
        <v>114069.27</v>
      </c>
      <c r="I13" s="22">
        <f t="shared" si="5"/>
        <v>116002.28</v>
      </c>
      <c r="J13" s="22">
        <f t="shared" si="5"/>
        <v>106235.94</v>
      </c>
      <c r="K13" s="22">
        <f t="shared" si="5"/>
        <v>96184.67</v>
      </c>
      <c r="L13" s="22">
        <f t="shared" si="5"/>
        <v>80747.04</v>
      </c>
      <c r="M13" s="22">
        <f t="shared" si="5"/>
        <v>87604</v>
      </c>
      <c r="N13" s="22">
        <f t="shared" ref="N13:N29" si="7">sum(B13:M13)</f>
        <v>1435199.43</v>
      </c>
      <c r="O13" s="59"/>
    </row>
    <row r="14">
      <c r="A14" s="19" t="s">
        <v>20</v>
      </c>
      <c r="B14" s="26">
        <f t="shared" ref="B14:M14" si="6">+B3+B4-B5-B7</f>
        <v>47055.6</v>
      </c>
      <c r="C14" s="26">
        <f t="shared" si="6"/>
        <v>50995.73</v>
      </c>
      <c r="D14" s="26">
        <f t="shared" si="6"/>
        <v>45555.48</v>
      </c>
      <c r="E14" s="26">
        <f t="shared" si="6"/>
        <v>47521</v>
      </c>
      <c r="F14" s="26">
        <f t="shared" si="6"/>
        <v>41690.24</v>
      </c>
      <c r="G14" s="26">
        <f t="shared" si="6"/>
        <v>32522.2</v>
      </c>
      <c r="H14" s="26">
        <f t="shared" si="6"/>
        <v>35848.25</v>
      </c>
      <c r="I14" s="26">
        <f t="shared" si="6"/>
        <v>37677.26</v>
      </c>
      <c r="J14" s="26">
        <f t="shared" si="6"/>
        <v>32153.05</v>
      </c>
      <c r="K14" s="26">
        <f t="shared" si="6"/>
        <v>31763.08</v>
      </c>
      <c r="L14" s="26">
        <f t="shared" si="6"/>
        <v>25978.92</v>
      </c>
      <c r="M14" s="26">
        <f t="shared" si="6"/>
        <v>30049.88</v>
      </c>
      <c r="N14" s="15">
        <f t="shared" si="7"/>
        <v>458810.69</v>
      </c>
      <c r="O14" s="27">
        <f t="shared" ref="O14:O29" si="8">N14/$N$13</f>
        <v>0.3196842755</v>
      </c>
    </row>
    <row r="15">
      <c r="A15" s="19" t="s">
        <v>21</v>
      </c>
      <c r="B15" s="71">
        <v>0.0</v>
      </c>
      <c r="C15" s="17">
        <v>0.0</v>
      </c>
      <c r="D15" s="17">
        <v>0.0</v>
      </c>
      <c r="E15" s="17">
        <v>0.0</v>
      </c>
      <c r="F15" s="17">
        <v>0.0</v>
      </c>
      <c r="G15" s="17">
        <v>0.0</v>
      </c>
      <c r="H15" s="17">
        <v>0.0</v>
      </c>
      <c r="I15" s="17">
        <v>0.0</v>
      </c>
      <c r="J15" s="17">
        <v>0.0</v>
      </c>
      <c r="K15" s="17">
        <v>0.0</v>
      </c>
      <c r="L15" s="17">
        <v>0.0</v>
      </c>
      <c r="M15" s="17">
        <v>0.0</v>
      </c>
      <c r="N15" s="15">
        <f t="shared" si="7"/>
        <v>0</v>
      </c>
      <c r="O15" s="27">
        <f t="shared" si="8"/>
        <v>0</v>
      </c>
    </row>
    <row r="16">
      <c r="A16" s="19" t="s">
        <v>22</v>
      </c>
      <c r="B16" s="14">
        <f t="shared" ref="B16:C16" si="9">588.82</f>
        <v>588.82</v>
      </c>
      <c r="C16" s="14">
        <f t="shared" si="9"/>
        <v>588.82</v>
      </c>
      <c r="D16" s="17">
        <v>588.82</v>
      </c>
      <c r="E16" s="17">
        <v>588.82</v>
      </c>
      <c r="F16" s="17">
        <v>588.82</v>
      </c>
      <c r="G16" s="17">
        <v>588.82</v>
      </c>
      <c r="H16" s="17">
        <v>588.82</v>
      </c>
      <c r="I16" s="17">
        <v>588.82</v>
      </c>
      <c r="J16" s="17">
        <v>588.82</v>
      </c>
      <c r="K16" s="17">
        <v>588.82</v>
      </c>
      <c r="L16" s="17">
        <v>588.52</v>
      </c>
      <c r="M16" s="14">
        <f>588.52</f>
        <v>588.52</v>
      </c>
      <c r="N16" s="15">
        <f t="shared" si="7"/>
        <v>7065.24</v>
      </c>
      <c r="O16" s="27">
        <f t="shared" si="8"/>
        <v>0.004922828042</v>
      </c>
    </row>
    <row r="17">
      <c r="A17" s="19" t="s">
        <v>23</v>
      </c>
      <c r="B17" s="17">
        <f>3417+3417</f>
        <v>6834</v>
      </c>
      <c r="C17" s="14">
        <f>3383</f>
        <v>3383</v>
      </c>
      <c r="D17" s="17">
        <v>8243.0</v>
      </c>
      <c r="E17" s="17">
        <v>7049.0</v>
      </c>
      <c r="F17" s="17">
        <v>8020.0</v>
      </c>
      <c r="G17" s="17">
        <v>6476.0</v>
      </c>
      <c r="H17" s="17">
        <v>5670.0</v>
      </c>
      <c r="I17" s="17">
        <v>6300.0</v>
      </c>
      <c r="J17" s="17">
        <v>6930.0</v>
      </c>
      <c r="K17" s="17">
        <v>5985.0</v>
      </c>
      <c r="L17" s="17">
        <v>5432.0</v>
      </c>
      <c r="M17" s="72">
        <f>10000</f>
        <v>10000</v>
      </c>
      <c r="N17" s="15">
        <f t="shared" si="7"/>
        <v>80322</v>
      </c>
      <c r="O17" s="27">
        <f t="shared" si="8"/>
        <v>0.05596574129</v>
      </c>
    </row>
    <row r="18">
      <c r="A18" s="19" t="s">
        <v>24</v>
      </c>
      <c r="B18" s="14"/>
      <c r="C18" s="14"/>
      <c r="D18" s="14"/>
      <c r="E18" s="14"/>
      <c r="F18" s="14"/>
      <c r="G18" s="14"/>
      <c r="H18" s="14"/>
      <c r="I18" s="14"/>
      <c r="J18" s="14"/>
      <c r="K18" s="14"/>
      <c r="L18" s="14"/>
      <c r="M18" s="14"/>
      <c r="N18" s="15">
        <f t="shared" si="7"/>
        <v>0</v>
      </c>
      <c r="O18" s="27">
        <f t="shared" si="8"/>
        <v>0</v>
      </c>
    </row>
    <row r="19">
      <c r="A19" s="19" t="s">
        <v>25</v>
      </c>
      <c r="B19" s="17">
        <v>3343.0</v>
      </c>
      <c r="C19" s="17">
        <v>3343.0</v>
      </c>
      <c r="D19" s="14">
        <f>3343</f>
        <v>3343</v>
      </c>
      <c r="E19" s="17">
        <v>3343.0</v>
      </c>
      <c r="F19" s="17">
        <v>3343.0</v>
      </c>
      <c r="G19" s="17">
        <v>3343.0</v>
      </c>
      <c r="H19" s="17">
        <v>3343.0</v>
      </c>
      <c r="I19" s="17">
        <v>3343.0</v>
      </c>
      <c r="J19" s="17">
        <v>3343.0</v>
      </c>
      <c r="K19" s="17">
        <f t="shared" ref="K19:M19" si="10">34000*1.18/12</f>
        <v>3343.333333</v>
      </c>
      <c r="L19" s="17">
        <f t="shared" si="10"/>
        <v>3343.333333</v>
      </c>
      <c r="M19" s="17">
        <f t="shared" si="10"/>
        <v>3343.333333</v>
      </c>
      <c r="N19" s="15">
        <f t="shared" si="7"/>
        <v>40117</v>
      </c>
      <c r="O19" s="27">
        <f t="shared" si="8"/>
        <v>0.02795221289</v>
      </c>
    </row>
    <row r="20">
      <c r="A20" s="20" t="s">
        <v>26</v>
      </c>
      <c r="B20" s="17">
        <f t="shared" ref="B20:C20" si="11">33098+19289/12</f>
        <v>34705.41667</v>
      </c>
      <c r="C20" s="17">
        <f t="shared" si="11"/>
        <v>34705.41667</v>
      </c>
      <c r="D20" s="14">
        <f>21513.67+10756.83+827.5+19289/12</f>
        <v>34705.41667</v>
      </c>
      <c r="E20" s="17">
        <f t="shared" ref="E20:G20" si="12">33098+19289/12</f>
        <v>34705.41667</v>
      </c>
      <c r="F20" s="17">
        <f t="shared" si="12"/>
        <v>34705.41667</v>
      </c>
      <c r="G20" s="17">
        <f t="shared" si="12"/>
        <v>34705.41667</v>
      </c>
      <c r="H20" s="14">
        <f t="shared" ref="H20:I20" si="13">19289/12+33098</f>
        <v>34705.41667</v>
      </c>
      <c r="I20" s="14">
        <f t="shared" si="13"/>
        <v>34705.41667</v>
      </c>
      <c r="J20" s="14">
        <f t="shared" ref="J20:M20" si="14">19289/12+33099</f>
        <v>34706.41667</v>
      </c>
      <c r="K20" s="14">
        <f t="shared" si="14"/>
        <v>34706.41667</v>
      </c>
      <c r="L20" s="14">
        <f t="shared" si="14"/>
        <v>34706.41667</v>
      </c>
      <c r="M20" s="14">
        <f t="shared" si="14"/>
        <v>34706.41667</v>
      </c>
      <c r="N20" s="15">
        <f t="shared" si="7"/>
        <v>416469</v>
      </c>
      <c r="O20" s="27">
        <f t="shared" si="8"/>
        <v>0.2901819714</v>
      </c>
    </row>
    <row r="21">
      <c r="A21" s="11" t="s">
        <v>27</v>
      </c>
      <c r="B21" s="14">
        <f t="shared" ref="B21:M21" si="15">4720/12</f>
        <v>393.3333333</v>
      </c>
      <c r="C21" s="14">
        <f t="shared" si="15"/>
        <v>393.3333333</v>
      </c>
      <c r="D21" s="14">
        <f t="shared" si="15"/>
        <v>393.3333333</v>
      </c>
      <c r="E21" s="14">
        <f t="shared" si="15"/>
        <v>393.3333333</v>
      </c>
      <c r="F21" s="14">
        <f t="shared" si="15"/>
        <v>393.3333333</v>
      </c>
      <c r="G21" s="14">
        <f t="shared" si="15"/>
        <v>393.3333333</v>
      </c>
      <c r="H21" s="14">
        <f t="shared" si="15"/>
        <v>393.3333333</v>
      </c>
      <c r="I21" s="14">
        <f t="shared" si="15"/>
        <v>393.3333333</v>
      </c>
      <c r="J21" s="14">
        <f t="shared" si="15"/>
        <v>393.3333333</v>
      </c>
      <c r="K21" s="14">
        <f t="shared" si="15"/>
        <v>393.3333333</v>
      </c>
      <c r="L21" s="14">
        <f t="shared" si="15"/>
        <v>393.3333333</v>
      </c>
      <c r="M21" s="14">
        <f t="shared" si="15"/>
        <v>393.3333333</v>
      </c>
      <c r="N21" s="15">
        <f t="shared" si="7"/>
        <v>4720</v>
      </c>
      <c r="O21" s="27">
        <f t="shared" si="8"/>
        <v>0.003288741551</v>
      </c>
    </row>
    <row r="22">
      <c r="A22" s="32" t="s">
        <v>28</v>
      </c>
      <c r="B22" s="14"/>
      <c r="C22" s="14"/>
      <c r="D22" s="14"/>
      <c r="E22" s="14"/>
      <c r="F22" s="14"/>
      <c r="G22" s="14"/>
      <c r="H22" s="14"/>
      <c r="I22" s="14"/>
      <c r="J22" s="14"/>
      <c r="K22" s="14"/>
      <c r="L22" s="14"/>
      <c r="M22" s="14"/>
      <c r="N22" s="15">
        <f t="shared" si="7"/>
        <v>0</v>
      </c>
      <c r="O22" s="27">
        <f t="shared" si="8"/>
        <v>0</v>
      </c>
    </row>
    <row r="23">
      <c r="A23" s="20" t="s">
        <v>29</v>
      </c>
      <c r="B23" s="33">
        <v>0.0</v>
      </c>
      <c r="C23" s="73">
        <v>352.81</v>
      </c>
      <c r="D23" s="73">
        <v>352.81</v>
      </c>
      <c r="E23" s="73">
        <v>352.81</v>
      </c>
      <c r="F23" s="73">
        <v>352.81</v>
      </c>
      <c r="G23" s="73">
        <v>352.81</v>
      </c>
      <c r="H23" s="73">
        <v>352.81</v>
      </c>
      <c r="I23" s="73">
        <v>352.81</v>
      </c>
      <c r="J23" s="73">
        <v>352.81</v>
      </c>
      <c r="K23" s="73">
        <v>352.81</v>
      </c>
      <c r="L23" s="73">
        <v>352.81</v>
      </c>
      <c r="M23" s="73">
        <v>352.81</v>
      </c>
      <c r="N23" s="15">
        <f t="shared" si="7"/>
        <v>3880.91</v>
      </c>
      <c r="O23" s="27">
        <f t="shared" si="8"/>
        <v>0.002704091096</v>
      </c>
    </row>
    <row r="24">
      <c r="A24" s="19" t="s">
        <v>30</v>
      </c>
      <c r="B24" s="33">
        <v>0.0</v>
      </c>
      <c r="C24" s="33">
        <v>0.0</v>
      </c>
      <c r="D24" s="33">
        <v>200.0</v>
      </c>
      <c r="E24" s="33">
        <v>10000.0</v>
      </c>
      <c r="F24" s="17">
        <v>0.0</v>
      </c>
      <c r="G24" s="17">
        <v>0.0</v>
      </c>
      <c r="H24" s="17">
        <v>0.0</v>
      </c>
      <c r="I24" s="17">
        <v>460.0</v>
      </c>
      <c r="J24" s="17">
        <v>0.0</v>
      </c>
      <c r="K24" s="17">
        <v>0.0</v>
      </c>
      <c r="L24" s="17">
        <v>0.0</v>
      </c>
      <c r="M24" s="17">
        <v>0.0</v>
      </c>
      <c r="N24" s="15">
        <f t="shared" si="7"/>
        <v>10660</v>
      </c>
      <c r="O24" s="27">
        <f t="shared" si="8"/>
        <v>0.007427539182</v>
      </c>
    </row>
    <row r="25">
      <c r="A25" s="19" t="s">
        <v>31</v>
      </c>
      <c r="B25" s="17">
        <v>2884.0</v>
      </c>
      <c r="C25" s="17">
        <v>490.0</v>
      </c>
      <c r="D25" s="17">
        <v>490.0</v>
      </c>
      <c r="E25" s="17">
        <v>6051.0</v>
      </c>
      <c r="F25" s="17">
        <v>720.0</v>
      </c>
      <c r="G25" s="17">
        <v>8330.0</v>
      </c>
      <c r="H25" s="17">
        <v>530.0</v>
      </c>
      <c r="I25" s="17">
        <v>1650.0</v>
      </c>
      <c r="J25" s="17">
        <v>5450.0</v>
      </c>
      <c r="K25" s="17">
        <v>0.0</v>
      </c>
      <c r="L25" s="17">
        <v>0.0</v>
      </c>
      <c r="M25" s="17">
        <v>7206.0</v>
      </c>
      <c r="N25" s="15">
        <f t="shared" si="7"/>
        <v>33801</v>
      </c>
      <c r="O25" s="27">
        <f t="shared" si="8"/>
        <v>0.02355143076</v>
      </c>
    </row>
    <row r="26">
      <c r="A26" s="19" t="s">
        <v>32</v>
      </c>
      <c r="B26" s="14"/>
      <c r="C26" s="14"/>
      <c r="D26" s="14"/>
      <c r="E26" s="14"/>
      <c r="F26" s="14"/>
      <c r="G26" s="14"/>
      <c r="H26" s="14"/>
      <c r="I26" s="14"/>
      <c r="J26" s="14"/>
      <c r="K26" s="14"/>
      <c r="L26" s="14"/>
      <c r="M26" s="14"/>
      <c r="N26" s="15">
        <f t="shared" si="7"/>
        <v>0</v>
      </c>
      <c r="O26" s="27">
        <f t="shared" si="8"/>
        <v>0</v>
      </c>
    </row>
    <row r="27">
      <c r="A27" s="19" t="s">
        <v>33</v>
      </c>
      <c r="B27" s="14">
        <f>HO!D33</f>
        <v>29460.77992</v>
      </c>
      <c r="C27" s="14">
        <f>HO!H33</f>
        <v>32419.6562</v>
      </c>
      <c r="D27" s="14">
        <f>HO!L33</f>
        <v>32500.93526</v>
      </c>
      <c r="E27" s="14">
        <f>HO!P33</f>
        <v>29629.43128</v>
      </c>
      <c r="F27" s="14">
        <f>HO!D52</f>
        <v>25088.30006</v>
      </c>
      <c r="G27" s="14">
        <f>HO!H52</f>
        <v>21066.84092</v>
      </c>
      <c r="H27" s="14">
        <f>HO!L52</f>
        <v>21982.3081</v>
      </c>
      <c r="I27" s="14">
        <f>HO!P52</f>
        <v>25027.08414</v>
      </c>
      <c r="J27" s="14">
        <f>HO!D71</f>
        <v>20004.47349</v>
      </c>
      <c r="K27" s="14">
        <f>HO!H71</f>
        <v>18746.57228</v>
      </c>
      <c r="L27" s="14">
        <f>HO!L71</f>
        <v>16893.72</v>
      </c>
      <c r="M27" s="14">
        <f>HO!P71</f>
        <v>16134.00689</v>
      </c>
      <c r="N27" s="15">
        <f t="shared" si="7"/>
        <v>288954.1085</v>
      </c>
      <c r="O27" s="27">
        <f t="shared" si="8"/>
        <v>0.2013337676</v>
      </c>
    </row>
    <row r="28">
      <c r="A28" s="35" t="s">
        <v>34</v>
      </c>
      <c r="B28" s="36">
        <f t="shared" ref="B28:M28" si="16">+SUM(B14:B27)</f>
        <v>125264.9499</v>
      </c>
      <c r="C28" s="36">
        <f t="shared" si="16"/>
        <v>126671.7662</v>
      </c>
      <c r="D28" s="36">
        <f t="shared" si="16"/>
        <v>126372.7953</v>
      </c>
      <c r="E28" s="36">
        <f t="shared" si="16"/>
        <v>139633.8113</v>
      </c>
      <c r="F28" s="37">
        <f t="shared" si="16"/>
        <v>114901.9201</v>
      </c>
      <c r="G28" s="36">
        <f t="shared" si="16"/>
        <v>107778.4209</v>
      </c>
      <c r="H28" s="36">
        <f t="shared" si="16"/>
        <v>103413.9381</v>
      </c>
      <c r="I28" s="36">
        <f t="shared" si="16"/>
        <v>110497.7241</v>
      </c>
      <c r="J28" s="36">
        <f t="shared" si="16"/>
        <v>103921.9035</v>
      </c>
      <c r="K28" s="36">
        <f t="shared" si="16"/>
        <v>95879.36561</v>
      </c>
      <c r="L28" s="36">
        <f t="shared" si="16"/>
        <v>87689.05333</v>
      </c>
      <c r="M28" s="36">
        <f t="shared" si="16"/>
        <v>102774.3002</v>
      </c>
      <c r="N28" s="36">
        <f t="shared" si="7"/>
        <v>1344799.949</v>
      </c>
      <c r="O28" s="38">
        <f t="shared" si="8"/>
        <v>0.9370125994</v>
      </c>
    </row>
    <row r="29">
      <c r="A29" s="39" t="s">
        <v>35</v>
      </c>
      <c r="B29" s="40">
        <f t="shared" ref="B29:M29" si="17">B13-B28</f>
        <v>19985.15008</v>
      </c>
      <c r="C29" s="40">
        <f t="shared" si="17"/>
        <v>34660.7938</v>
      </c>
      <c r="D29" s="40">
        <f t="shared" si="17"/>
        <v>37033.29474</v>
      </c>
      <c r="E29" s="40">
        <f t="shared" si="17"/>
        <v>-1110.591281</v>
      </c>
      <c r="F29" s="40">
        <f t="shared" si="17"/>
        <v>12991.70994</v>
      </c>
      <c r="G29" s="40">
        <f t="shared" si="17"/>
        <v>-9827.790921</v>
      </c>
      <c r="H29" s="40">
        <f t="shared" si="17"/>
        <v>10655.3319</v>
      </c>
      <c r="I29" s="40">
        <f t="shared" si="17"/>
        <v>5504.555857</v>
      </c>
      <c r="J29" s="40">
        <f t="shared" si="17"/>
        <v>2314.036509</v>
      </c>
      <c r="K29" s="40">
        <f t="shared" si="17"/>
        <v>305.3043867</v>
      </c>
      <c r="L29" s="40">
        <f t="shared" si="17"/>
        <v>-6942.013329</v>
      </c>
      <c r="M29" s="40">
        <f t="shared" si="17"/>
        <v>-15170.30023</v>
      </c>
      <c r="N29" s="40">
        <f t="shared" si="7"/>
        <v>90399.48145</v>
      </c>
      <c r="O29" s="41">
        <f t="shared" si="8"/>
        <v>0.06298740061</v>
      </c>
    </row>
    <row r="30">
      <c r="A30" s="42" t="s">
        <v>36</v>
      </c>
      <c r="B30" s="43">
        <f t="shared" ref="B30:M30" si="18">(B14/B13)</f>
        <v>0.3239625997</v>
      </c>
      <c r="C30" s="43">
        <f t="shared" si="18"/>
        <v>0.3160907507</v>
      </c>
      <c r="D30" s="43">
        <f t="shared" si="18"/>
        <v>0.2787869167</v>
      </c>
      <c r="E30" s="43">
        <f t="shared" si="18"/>
        <v>0.3430543991</v>
      </c>
      <c r="F30" s="44">
        <f t="shared" si="18"/>
        <v>0.3259758911</v>
      </c>
      <c r="G30" s="43">
        <f t="shared" si="18"/>
        <v>0.3320264505</v>
      </c>
      <c r="H30" s="43">
        <f t="shared" si="18"/>
        <v>0.3142673746</v>
      </c>
      <c r="I30" s="43">
        <f t="shared" si="18"/>
        <v>0.3247975816</v>
      </c>
      <c r="J30" s="43">
        <f t="shared" si="18"/>
        <v>0.3026569916</v>
      </c>
      <c r="K30" s="43">
        <f t="shared" si="18"/>
        <v>0.3302301708</v>
      </c>
      <c r="L30" s="43">
        <f t="shared" si="18"/>
        <v>0.321732165</v>
      </c>
      <c r="M30" s="43">
        <f t="shared" si="18"/>
        <v>0.3430194968</v>
      </c>
      <c r="N30" s="70"/>
      <c r="O30" s="70"/>
    </row>
    <row r="32">
      <c r="B32" s="46">
        <f t="shared" ref="B32:M32" si="19">B29+B27</f>
        <v>49445.93</v>
      </c>
      <c r="C32" s="46">
        <f t="shared" si="19"/>
        <v>67080.45</v>
      </c>
      <c r="D32" s="46">
        <f t="shared" si="19"/>
        <v>69534.23</v>
      </c>
      <c r="E32" s="46">
        <f t="shared" si="19"/>
        <v>28518.84</v>
      </c>
      <c r="F32" s="46">
        <f t="shared" si="19"/>
        <v>38080.01</v>
      </c>
      <c r="G32" s="46">
        <f t="shared" si="19"/>
        <v>11239.05</v>
      </c>
      <c r="H32" s="46">
        <f t="shared" si="19"/>
        <v>32637.64</v>
      </c>
      <c r="I32" s="46">
        <f t="shared" si="19"/>
        <v>30531.64</v>
      </c>
      <c r="J32" s="46">
        <f t="shared" si="19"/>
        <v>22318.51</v>
      </c>
      <c r="K32" s="46">
        <f t="shared" si="19"/>
        <v>19051.87667</v>
      </c>
      <c r="L32" s="46">
        <f t="shared" si="19"/>
        <v>9951.706667</v>
      </c>
      <c r="M32" s="46">
        <f t="shared" si="19"/>
        <v>963.7066667</v>
      </c>
      <c r="N32" s="40"/>
    </row>
    <row r="33">
      <c r="A33" s="47"/>
      <c r="B33" s="48">
        <f t="shared" ref="B33:M33" si="20">B32/B13</f>
        <v>0.3404192493</v>
      </c>
      <c r="C33" s="48">
        <f t="shared" si="20"/>
        <v>0.4157899063</v>
      </c>
      <c r="D33" s="48">
        <f t="shared" si="20"/>
        <v>0.4255302235</v>
      </c>
      <c r="E33" s="48">
        <f t="shared" si="20"/>
        <v>0.2058776861</v>
      </c>
      <c r="F33" s="48">
        <f t="shared" si="20"/>
        <v>0.297747511</v>
      </c>
      <c r="G33" s="48">
        <f t="shared" si="20"/>
        <v>0.1147419879</v>
      </c>
      <c r="H33" s="48">
        <f t="shared" si="20"/>
        <v>0.2861212314</v>
      </c>
      <c r="I33" s="48">
        <f t="shared" si="20"/>
        <v>0.2631986199</v>
      </c>
      <c r="J33" s="48">
        <f t="shared" si="20"/>
        <v>0.210084365</v>
      </c>
      <c r="K33" s="48">
        <f t="shared" si="20"/>
        <v>0.1980760205</v>
      </c>
      <c r="L33" s="48">
        <f t="shared" si="20"/>
        <v>0.1232454672</v>
      </c>
      <c r="M33" s="48">
        <f t="shared" si="20"/>
        <v>0.01100071534</v>
      </c>
    </row>
    <row r="34">
      <c r="A34" s="47"/>
      <c r="B34" s="48"/>
      <c r="C34" s="48"/>
      <c r="D34" s="48"/>
      <c r="E34" s="48"/>
    </row>
    <row r="35">
      <c r="A35" s="9"/>
      <c r="B35" s="48"/>
      <c r="C35" s="48"/>
      <c r="D35" s="48"/>
      <c r="E35" s="48"/>
    </row>
    <row r="36">
      <c r="A36" s="47"/>
      <c r="B36" s="48"/>
      <c r="C36" s="48"/>
      <c r="D36" s="48"/>
      <c r="E36" s="48"/>
    </row>
  </sheetData>
  <mergeCells count="1">
    <mergeCell ref="N1:O1"/>
  </mergeCells>
  <drawing r:id="rId4"/>
  <legacyDrawing r:id="rId5"/>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38"/>
  </cols>
  <sheetData>
    <row r="1">
      <c r="A1" s="1" t="s">
        <v>45</v>
      </c>
      <c r="B1" s="2">
        <v>45748.0</v>
      </c>
      <c r="C1" s="2">
        <v>45778.0</v>
      </c>
      <c r="D1" s="2">
        <v>45809.0</v>
      </c>
      <c r="E1" s="2">
        <v>45839.0</v>
      </c>
      <c r="F1" s="4">
        <v>45870.0</v>
      </c>
      <c r="G1" s="2">
        <v>45901.0</v>
      </c>
      <c r="H1" s="2">
        <v>45931.0</v>
      </c>
      <c r="I1" s="2">
        <v>45962.0</v>
      </c>
      <c r="J1" s="2">
        <v>45992.0</v>
      </c>
      <c r="K1" s="2">
        <v>46023.0</v>
      </c>
      <c r="L1" s="2">
        <v>46054.0</v>
      </c>
      <c r="M1" s="2">
        <v>46082.0</v>
      </c>
      <c r="N1" s="52" t="s">
        <v>5</v>
      </c>
      <c r="O1" s="6"/>
    </row>
    <row r="2">
      <c r="A2" s="7" t="s">
        <v>6</v>
      </c>
      <c r="B2" s="8"/>
      <c r="C2" s="8"/>
      <c r="D2" s="8"/>
      <c r="E2" s="8"/>
      <c r="F2" s="10"/>
      <c r="G2" s="8"/>
      <c r="H2" s="8"/>
      <c r="I2" s="8"/>
      <c r="J2" s="8"/>
      <c r="K2" s="8"/>
      <c r="L2" s="8"/>
      <c r="M2" s="8"/>
      <c r="N2" s="53"/>
      <c r="O2" s="53"/>
    </row>
    <row r="3">
      <c r="A3" s="11" t="s">
        <v>7</v>
      </c>
      <c r="B3" s="12">
        <v>1971.69</v>
      </c>
      <c r="C3" s="13">
        <f t="shared" ref="C3:M3" si="1">B7</f>
        <v>1699.02</v>
      </c>
      <c r="D3" s="13">
        <f t="shared" si="1"/>
        <v>1426.26</v>
      </c>
      <c r="E3" s="14">
        <f t="shared" si="1"/>
        <v>2406</v>
      </c>
      <c r="F3" s="14">
        <f t="shared" si="1"/>
        <v>3088</v>
      </c>
      <c r="G3" s="14">
        <f t="shared" si="1"/>
        <v>2849</v>
      </c>
      <c r="H3" s="14">
        <f t="shared" si="1"/>
        <v>2437</v>
      </c>
      <c r="I3" s="14">
        <f t="shared" si="1"/>
        <v>2546.3</v>
      </c>
      <c r="J3" s="14">
        <f t="shared" si="1"/>
        <v>2564.97</v>
      </c>
      <c r="K3" s="14">
        <f t="shared" si="1"/>
        <v>1930</v>
      </c>
      <c r="L3" s="14">
        <f t="shared" si="1"/>
        <v>2208.27</v>
      </c>
      <c r="M3" s="14">
        <f t="shared" si="1"/>
        <v>1914.49</v>
      </c>
      <c r="N3" s="15">
        <f>+SUM(J3:L3)</f>
        <v>6703.24</v>
      </c>
      <c r="O3" s="54"/>
    </row>
    <row r="4">
      <c r="A4" s="11" t="s">
        <v>9</v>
      </c>
      <c r="B4" s="16">
        <v>24304.0</v>
      </c>
      <c r="C4" s="16">
        <v>22731.0</v>
      </c>
      <c r="D4" s="16">
        <v>22465.0</v>
      </c>
      <c r="E4" s="17">
        <v>22659.0</v>
      </c>
      <c r="F4" s="17">
        <v>22044.0</v>
      </c>
      <c r="G4" s="17">
        <v>18016.0</v>
      </c>
      <c r="H4" s="14">
        <f>22101.19</f>
        <v>22101.19</v>
      </c>
      <c r="I4" s="17">
        <v>24235.9</v>
      </c>
      <c r="J4" s="17">
        <v>17246.0</v>
      </c>
      <c r="K4" s="17">
        <v>24612.0</v>
      </c>
      <c r="L4" s="17">
        <v>26812.58</v>
      </c>
      <c r="M4" s="17">
        <v>25350.58</v>
      </c>
      <c r="N4" s="15">
        <f>sum(B4:M4)</f>
        <v>272577.25</v>
      </c>
      <c r="O4" s="54"/>
    </row>
    <row r="5">
      <c r="A5" s="11" t="s">
        <v>10</v>
      </c>
      <c r="B5" s="16">
        <v>0.0</v>
      </c>
      <c r="C5" s="16">
        <v>0.0</v>
      </c>
      <c r="D5" s="16">
        <v>0.0</v>
      </c>
      <c r="E5" s="17">
        <v>0.0</v>
      </c>
      <c r="F5" s="17">
        <v>0.0</v>
      </c>
      <c r="G5" s="17">
        <v>0.0</v>
      </c>
      <c r="H5" s="17">
        <v>149.53</v>
      </c>
      <c r="I5" s="17">
        <v>0.0</v>
      </c>
      <c r="J5" s="17">
        <v>0.0</v>
      </c>
      <c r="K5" s="17">
        <v>0.0</v>
      </c>
      <c r="L5" s="17">
        <v>0.0</v>
      </c>
      <c r="M5" s="17">
        <v>0.0</v>
      </c>
      <c r="N5" s="15">
        <f t="shared" ref="N5:N6" si="2">+SUM(J5:L5)</f>
        <v>0</v>
      </c>
      <c r="O5" s="54"/>
    </row>
    <row r="6">
      <c r="A6" s="11" t="s">
        <v>11</v>
      </c>
      <c r="B6" s="16">
        <v>3772.86</v>
      </c>
      <c r="C6" s="16">
        <v>4382.8</v>
      </c>
      <c r="D6" s="16">
        <v>3785.0</v>
      </c>
      <c r="E6" s="17">
        <v>2432.51</v>
      </c>
      <c r="F6" s="17">
        <v>645.0</v>
      </c>
      <c r="G6" s="17">
        <v>332.11</v>
      </c>
      <c r="H6" s="17">
        <v>759.63</v>
      </c>
      <c r="I6" s="17">
        <v>456.81</v>
      </c>
      <c r="J6" s="17">
        <v>2667.0</v>
      </c>
      <c r="K6" s="17">
        <v>912.8</v>
      </c>
      <c r="L6" s="17">
        <v>636.29</v>
      </c>
      <c r="M6" s="17">
        <v>552.79</v>
      </c>
      <c r="N6" s="15">
        <f t="shared" si="2"/>
        <v>4216.09</v>
      </c>
      <c r="O6" s="54"/>
    </row>
    <row r="7">
      <c r="A7" s="11" t="s">
        <v>12</v>
      </c>
      <c r="B7" s="16">
        <v>1699.02</v>
      </c>
      <c r="C7" s="16">
        <v>1426.26</v>
      </c>
      <c r="D7" s="16">
        <v>2406.0</v>
      </c>
      <c r="E7" s="17">
        <v>3088.0</v>
      </c>
      <c r="F7" s="17">
        <v>2849.0</v>
      </c>
      <c r="G7" s="17">
        <v>2437.0</v>
      </c>
      <c r="H7" s="17">
        <v>2546.3</v>
      </c>
      <c r="I7" s="17">
        <v>2564.97</v>
      </c>
      <c r="J7" s="17">
        <v>1930.0</v>
      </c>
      <c r="K7" s="17">
        <v>2208.27</v>
      </c>
      <c r="L7" s="17">
        <v>1914.49</v>
      </c>
      <c r="M7" s="17">
        <v>1603.29</v>
      </c>
      <c r="N7" s="15">
        <f>sum(B7:M7)</f>
        <v>26672.6</v>
      </c>
      <c r="O7" s="54"/>
    </row>
    <row r="8">
      <c r="A8" s="8"/>
      <c r="B8" s="55"/>
      <c r="C8" s="8"/>
      <c r="D8" s="8"/>
      <c r="E8" s="8"/>
      <c r="F8" s="10"/>
      <c r="G8" s="8"/>
      <c r="H8" s="8"/>
      <c r="I8" s="8"/>
      <c r="J8" s="8"/>
      <c r="K8" s="8"/>
      <c r="L8" s="8"/>
      <c r="M8" s="8"/>
      <c r="N8" s="53"/>
      <c r="O8" s="53"/>
    </row>
    <row r="9">
      <c r="A9" s="19" t="s">
        <v>13</v>
      </c>
      <c r="B9" s="13">
        <f>42175.85*1.05</f>
        <v>44284.6425</v>
      </c>
      <c r="C9" s="14">
        <f>43678.77*1.05</f>
        <v>45862.7085</v>
      </c>
      <c r="D9" s="17">
        <f>34095.21*1.05</f>
        <v>35799.9705</v>
      </c>
      <c r="E9" s="14">
        <f>55783.63*1.05</f>
        <v>58572.8115</v>
      </c>
      <c r="F9" s="14">
        <f>70880.7*1.05</f>
        <v>74424.735</v>
      </c>
      <c r="G9" s="14">
        <f>58299.89*1.05</f>
        <v>61214.8845</v>
      </c>
      <c r="H9" s="14">
        <f>76295.29*1.05</f>
        <v>80110.0545</v>
      </c>
      <c r="I9" s="14">
        <f>79590.38*1.05</f>
        <v>83569.899</v>
      </c>
      <c r="J9" s="14">
        <f>52847.5*1.05</f>
        <v>55489.875</v>
      </c>
      <c r="K9" s="14">
        <f>76912.53*1.05</f>
        <v>80758.1565</v>
      </c>
      <c r="L9" s="14">
        <f>90761*1.05</f>
        <v>95299.05</v>
      </c>
      <c r="M9" s="14">
        <f>81446.28*1.05</f>
        <v>85518.594</v>
      </c>
      <c r="N9" s="15">
        <f t="shared" ref="N9:N12" si="3">+SUM(B9:M9)</f>
        <v>800905.3815</v>
      </c>
      <c r="O9" s="54"/>
    </row>
    <row r="10">
      <c r="A10" s="19" t="s">
        <v>14</v>
      </c>
      <c r="B10" s="16">
        <v>0.0</v>
      </c>
      <c r="C10" s="16">
        <v>0.0</v>
      </c>
      <c r="D10" s="16">
        <v>0.0</v>
      </c>
      <c r="E10" s="16">
        <v>0.0</v>
      </c>
      <c r="F10" s="16">
        <v>0.0</v>
      </c>
      <c r="G10" s="16">
        <v>0.0</v>
      </c>
      <c r="H10" s="14"/>
      <c r="I10" s="14"/>
      <c r="J10" s="14"/>
      <c r="K10" s="14"/>
      <c r="L10" s="14"/>
      <c r="M10" s="14"/>
      <c r="N10" s="15">
        <f t="shared" si="3"/>
        <v>0</v>
      </c>
      <c r="O10" s="54"/>
    </row>
    <row r="11">
      <c r="A11" s="19" t="s">
        <v>15</v>
      </c>
      <c r="B11" s="14">
        <f t="shared" ref="B11:M11" si="4">(B9+B10)/1.05*0.05</f>
        <v>2108.7925</v>
      </c>
      <c r="C11" s="14">
        <f t="shared" si="4"/>
        <v>2183.9385</v>
      </c>
      <c r="D11" s="14">
        <f t="shared" si="4"/>
        <v>1704.7605</v>
      </c>
      <c r="E11" s="14">
        <f t="shared" si="4"/>
        <v>2789.1815</v>
      </c>
      <c r="F11" s="14">
        <f t="shared" si="4"/>
        <v>3544.035</v>
      </c>
      <c r="G11" s="14">
        <f t="shared" si="4"/>
        <v>2914.9945</v>
      </c>
      <c r="H11" s="14">
        <f t="shared" si="4"/>
        <v>3814.7645</v>
      </c>
      <c r="I11" s="14">
        <f t="shared" si="4"/>
        <v>3979.519</v>
      </c>
      <c r="J11" s="14">
        <f t="shared" si="4"/>
        <v>2642.375</v>
      </c>
      <c r="K11" s="14">
        <f t="shared" si="4"/>
        <v>3845.6265</v>
      </c>
      <c r="L11" s="14">
        <f t="shared" si="4"/>
        <v>4538.05</v>
      </c>
      <c r="M11" s="14">
        <f t="shared" si="4"/>
        <v>4072.314</v>
      </c>
      <c r="N11" s="15">
        <f t="shared" si="3"/>
        <v>38138.3515</v>
      </c>
      <c r="O11" s="54"/>
    </row>
    <row r="12">
      <c r="A12" s="19" t="s">
        <v>17</v>
      </c>
      <c r="B12" s="16">
        <v>0.0</v>
      </c>
      <c r="C12" s="17">
        <v>0.0</v>
      </c>
      <c r="D12" s="14"/>
      <c r="E12" s="14"/>
      <c r="F12" s="14"/>
      <c r="G12" s="14"/>
      <c r="H12" s="14"/>
      <c r="I12" s="14"/>
      <c r="J12" s="14"/>
      <c r="K12" s="14"/>
      <c r="L12" s="14"/>
      <c r="M12" s="14"/>
      <c r="N12" s="15">
        <f t="shared" si="3"/>
        <v>0</v>
      </c>
      <c r="O12" s="54"/>
    </row>
    <row r="13">
      <c r="A13" s="21" t="s">
        <v>19</v>
      </c>
      <c r="B13" s="58">
        <f t="shared" ref="B13:M13" si="5">B9+B10-B11-B12</f>
        <v>42175.85</v>
      </c>
      <c r="C13" s="22">
        <f t="shared" si="5"/>
        <v>43678.77</v>
      </c>
      <c r="D13" s="22">
        <f t="shared" si="5"/>
        <v>34095.21</v>
      </c>
      <c r="E13" s="22">
        <f t="shared" si="5"/>
        <v>55783.63</v>
      </c>
      <c r="F13" s="23">
        <f t="shared" si="5"/>
        <v>70880.7</v>
      </c>
      <c r="G13" s="23">
        <f t="shared" si="5"/>
        <v>58299.89</v>
      </c>
      <c r="H13" s="22">
        <f t="shared" si="5"/>
        <v>76295.29</v>
      </c>
      <c r="I13" s="22">
        <f t="shared" si="5"/>
        <v>79590.38</v>
      </c>
      <c r="J13" s="22">
        <f t="shared" si="5"/>
        <v>52847.5</v>
      </c>
      <c r="K13" s="22">
        <f t="shared" si="5"/>
        <v>76912.53</v>
      </c>
      <c r="L13" s="22">
        <f t="shared" si="5"/>
        <v>90761</v>
      </c>
      <c r="M13" s="22">
        <f t="shared" si="5"/>
        <v>81446.28</v>
      </c>
      <c r="N13" s="22">
        <f t="shared" ref="N13:N21" si="7">sum(B13:M13)</f>
        <v>762767.03</v>
      </c>
      <c r="O13" s="74">
        <f t="shared" ref="O13:O21" si="8">N13/$N$7</f>
        <v>28.5974007</v>
      </c>
    </row>
    <row r="14">
      <c r="A14" s="19" t="s">
        <v>20</v>
      </c>
      <c r="B14" s="60">
        <f t="shared" ref="B14:M14" si="6">+B3+B4-B5-B7</f>
        <v>24576.67</v>
      </c>
      <c r="C14" s="26">
        <f t="shared" si="6"/>
        <v>23003.76</v>
      </c>
      <c r="D14" s="26">
        <f t="shared" si="6"/>
        <v>21485.26</v>
      </c>
      <c r="E14" s="26">
        <f t="shared" si="6"/>
        <v>21977</v>
      </c>
      <c r="F14" s="26">
        <f t="shared" si="6"/>
        <v>22283</v>
      </c>
      <c r="G14" s="26">
        <f t="shared" si="6"/>
        <v>18428</v>
      </c>
      <c r="H14" s="26">
        <f t="shared" si="6"/>
        <v>21842.36</v>
      </c>
      <c r="I14" s="26">
        <f t="shared" si="6"/>
        <v>24217.23</v>
      </c>
      <c r="J14" s="26">
        <f t="shared" si="6"/>
        <v>17880.97</v>
      </c>
      <c r="K14" s="26">
        <f t="shared" si="6"/>
        <v>24333.73</v>
      </c>
      <c r="L14" s="26">
        <f t="shared" si="6"/>
        <v>27106.36</v>
      </c>
      <c r="M14" s="26">
        <f t="shared" si="6"/>
        <v>25661.78</v>
      </c>
      <c r="N14" s="15">
        <f t="shared" si="7"/>
        <v>272796.12</v>
      </c>
      <c r="O14" s="27">
        <f t="shared" si="8"/>
        <v>10.22757886</v>
      </c>
    </row>
    <row r="15">
      <c r="A15" s="19" t="s">
        <v>21</v>
      </c>
      <c r="B15" s="14">
        <f>3383.54</f>
        <v>3383.54</v>
      </c>
      <c r="C15" s="17">
        <v>3711.0</v>
      </c>
      <c r="D15" s="17">
        <v>3418.0</v>
      </c>
      <c r="E15" s="17">
        <v>3862.0</v>
      </c>
      <c r="F15" s="17">
        <v>4489.84</v>
      </c>
      <c r="G15" s="17">
        <v>4931.0</v>
      </c>
      <c r="H15" s="17">
        <v>4923.5</v>
      </c>
      <c r="I15" s="17">
        <v>4601.0</v>
      </c>
      <c r="J15" s="17">
        <v>4500.0</v>
      </c>
      <c r="K15" s="17">
        <v>2873.0</v>
      </c>
      <c r="L15" s="17">
        <v>4172.87</v>
      </c>
      <c r="M15" s="30">
        <v>4500.0</v>
      </c>
      <c r="N15" s="15">
        <f t="shared" si="7"/>
        <v>49365.75</v>
      </c>
      <c r="O15" s="27">
        <f t="shared" si="8"/>
        <v>1.850803821</v>
      </c>
    </row>
    <row r="16">
      <c r="A16" s="19" t="s">
        <v>22</v>
      </c>
      <c r="B16" s="14">
        <f t="shared" ref="B16:K16" si="9">588.82</f>
        <v>588.82</v>
      </c>
      <c r="C16" s="14">
        <f t="shared" si="9"/>
        <v>588.82</v>
      </c>
      <c r="D16" s="14">
        <f t="shared" si="9"/>
        <v>588.82</v>
      </c>
      <c r="E16" s="14">
        <f t="shared" si="9"/>
        <v>588.82</v>
      </c>
      <c r="F16" s="14">
        <f t="shared" si="9"/>
        <v>588.82</v>
      </c>
      <c r="G16" s="14">
        <f t="shared" si="9"/>
        <v>588.82</v>
      </c>
      <c r="H16" s="14">
        <f t="shared" si="9"/>
        <v>588.82</v>
      </c>
      <c r="I16" s="14">
        <f t="shared" si="9"/>
        <v>588.82</v>
      </c>
      <c r="J16" s="14">
        <f t="shared" si="9"/>
        <v>588.82</v>
      </c>
      <c r="K16" s="14">
        <f t="shared" si="9"/>
        <v>588.82</v>
      </c>
      <c r="L16" s="17">
        <v>588.52</v>
      </c>
      <c r="M16" s="17">
        <v>588.52</v>
      </c>
      <c r="N16" s="15">
        <f t="shared" si="7"/>
        <v>7065.24</v>
      </c>
      <c r="O16" s="27">
        <f t="shared" si="8"/>
        <v>0.2648875625</v>
      </c>
    </row>
    <row r="17">
      <c r="A17" s="19" t="s">
        <v>23</v>
      </c>
      <c r="B17" s="17">
        <v>879.0</v>
      </c>
      <c r="C17" s="17">
        <v>879.0</v>
      </c>
      <c r="D17" s="17">
        <v>879.0</v>
      </c>
      <c r="E17" s="14">
        <f>879+879+879</f>
        <v>2637</v>
      </c>
      <c r="F17" s="17">
        <v>879.0</v>
      </c>
      <c r="G17" s="17">
        <v>879.0</v>
      </c>
      <c r="H17" s="17">
        <v>879.0</v>
      </c>
      <c r="I17" s="17">
        <v>879.0</v>
      </c>
      <c r="J17" s="14">
        <f>879+879</f>
        <v>1758</v>
      </c>
      <c r="K17" s="17">
        <v>879.0</v>
      </c>
      <c r="L17" s="17">
        <v>879.0</v>
      </c>
      <c r="M17" s="30">
        <v>879.0</v>
      </c>
      <c r="N17" s="15">
        <f t="shared" si="7"/>
        <v>13185</v>
      </c>
      <c r="O17" s="27">
        <f t="shared" si="8"/>
        <v>0.4943275121</v>
      </c>
    </row>
    <row r="18">
      <c r="A18" s="19" t="s">
        <v>24</v>
      </c>
      <c r="B18" s="17">
        <v>7465.0</v>
      </c>
      <c r="C18" s="17">
        <f>7683.94</f>
        <v>7683.94</v>
      </c>
      <c r="D18" s="17">
        <v>6034.86</v>
      </c>
      <c r="E18" s="16">
        <v>9870.33</v>
      </c>
      <c r="F18" s="17">
        <v>12545.89</v>
      </c>
      <c r="G18" s="17">
        <v>10319.08</v>
      </c>
      <c r="H18" s="17">
        <v>13504.0</v>
      </c>
      <c r="I18" s="17">
        <v>14087.5</v>
      </c>
      <c r="J18" s="17">
        <v>9354.0</v>
      </c>
      <c r="K18" s="17">
        <f>13613.52</f>
        <v>13613.52</v>
      </c>
      <c r="L18" s="14">
        <f>16064.89</f>
        <v>16064.89</v>
      </c>
      <c r="M18" s="30">
        <v>14450.0</v>
      </c>
      <c r="N18" s="15">
        <f t="shared" si="7"/>
        <v>134993.01</v>
      </c>
      <c r="O18" s="27">
        <f t="shared" si="8"/>
        <v>5.061111778</v>
      </c>
    </row>
    <row r="19">
      <c r="A19" s="19" t="s">
        <v>25</v>
      </c>
      <c r="B19" s="17">
        <v>3343.0</v>
      </c>
      <c r="C19" s="17">
        <v>3343.0</v>
      </c>
      <c r="D19" s="17">
        <v>3343.0</v>
      </c>
      <c r="E19" s="17">
        <v>3343.0</v>
      </c>
      <c r="F19" s="17">
        <v>3343.0</v>
      </c>
      <c r="G19" s="17">
        <v>3343.0</v>
      </c>
      <c r="H19" s="14">
        <f t="shared" ref="H19:K19" si="10">3343</f>
        <v>3343</v>
      </c>
      <c r="I19" s="14">
        <f t="shared" si="10"/>
        <v>3343</v>
      </c>
      <c r="J19" s="14">
        <f t="shared" si="10"/>
        <v>3343</v>
      </c>
      <c r="K19" s="14">
        <f t="shared" si="10"/>
        <v>3343</v>
      </c>
      <c r="L19" s="14">
        <f t="shared" ref="L19:M19" si="11">34000*1.18/12</f>
        <v>3343.333333</v>
      </c>
      <c r="M19" s="14">
        <f t="shared" si="11"/>
        <v>3343.333333</v>
      </c>
      <c r="N19" s="15">
        <f t="shared" si="7"/>
        <v>40116.66667</v>
      </c>
      <c r="O19" s="27">
        <f t="shared" si="8"/>
        <v>1.504040351</v>
      </c>
    </row>
    <row r="20">
      <c r="A20" s="19" t="s">
        <v>47</v>
      </c>
      <c r="B20" s="14">
        <f>16000</f>
        <v>16000</v>
      </c>
      <c r="C20" s="17">
        <v>16000.0</v>
      </c>
      <c r="D20" s="14">
        <f>10400+5200+400</f>
        <v>16000</v>
      </c>
      <c r="E20" s="17">
        <v>0.0</v>
      </c>
      <c r="F20" s="14">
        <f>16330.65</f>
        <v>16330.65</v>
      </c>
      <c r="G20" s="17">
        <v>18750.0</v>
      </c>
      <c r="H20" s="17">
        <v>18750.0</v>
      </c>
      <c r="I20" s="14">
        <f>18750</f>
        <v>18750</v>
      </c>
      <c r="J20" s="14">
        <f>19557</f>
        <v>19557</v>
      </c>
      <c r="K20" s="17">
        <v>18751.0</v>
      </c>
      <c r="L20" s="14">
        <f t="shared" ref="L20:M20" si="12">18751</f>
        <v>18751</v>
      </c>
      <c r="M20" s="14">
        <f t="shared" si="12"/>
        <v>18751</v>
      </c>
      <c r="N20" s="15">
        <f t="shared" si="7"/>
        <v>196390.65</v>
      </c>
      <c r="O20" s="27">
        <f t="shared" si="8"/>
        <v>7.363011105</v>
      </c>
    </row>
    <row r="21">
      <c r="A21" s="11" t="s">
        <v>27</v>
      </c>
      <c r="B21" s="17">
        <f t="shared" ref="B21:M21" si="13">7080/12</f>
        <v>590</v>
      </c>
      <c r="C21" s="17">
        <f t="shared" si="13"/>
        <v>590</v>
      </c>
      <c r="D21" s="17">
        <f t="shared" si="13"/>
        <v>590</v>
      </c>
      <c r="E21" s="17">
        <f t="shared" si="13"/>
        <v>590</v>
      </c>
      <c r="F21" s="17">
        <f t="shared" si="13"/>
        <v>590</v>
      </c>
      <c r="G21" s="17">
        <f t="shared" si="13"/>
        <v>590</v>
      </c>
      <c r="H21" s="17">
        <f t="shared" si="13"/>
        <v>590</v>
      </c>
      <c r="I21" s="17">
        <f t="shared" si="13"/>
        <v>590</v>
      </c>
      <c r="J21" s="17">
        <f t="shared" si="13"/>
        <v>590</v>
      </c>
      <c r="K21" s="17">
        <f t="shared" si="13"/>
        <v>590</v>
      </c>
      <c r="L21" s="17">
        <f t="shared" si="13"/>
        <v>590</v>
      </c>
      <c r="M21" s="17">
        <f t="shared" si="13"/>
        <v>590</v>
      </c>
      <c r="N21" s="15">
        <f t="shared" si="7"/>
        <v>7080</v>
      </c>
      <c r="O21" s="27">
        <f t="shared" si="8"/>
        <v>0.2654409394</v>
      </c>
    </row>
    <row r="22">
      <c r="A22" s="32" t="s">
        <v>28</v>
      </c>
      <c r="B22" s="17">
        <v>0.0</v>
      </c>
      <c r="C22" s="17">
        <v>0.0</v>
      </c>
      <c r="D22" s="17">
        <v>0.0</v>
      </c>
      <c r="E22" s="14"/>
      <c r="F22" s="14"/>
      <c r="G22" s="14"/>
      <c r="H22" s="14"/>
      <c r="I22" s="14"/>
      <c r="J22" s="14"/>
      <c r="K22" s="14"/>
      <c r="L22" s="14"/>
      <c r="M22" s="14"/>
      <c r="N22" s="54"/>
      <c r="O22" s="76"/>
    </row>
    <row r="23">
      <c r="A23" s="20" t="s">
        <v>29</v>
      </c>
      <c r="B23" s="33">
        <v>0.0</v>
      </c>
      <c r="C23" s="33">
        <v>0.0</v>
      </c>
      <c r="D23" s="33">
        <v>0.0</v>
      </c>
      <c r="E23" s="34"/>
      <c r="F23" s="14"/>
      <c r="G23" s="14"/>
      <c r="H23" s="14"/>
      <c r="I23" s="14"/>
      <c r="J23" s="14"/>
      <c r="K23" s="14"/>
      <c r="L23" s="14"/>
      <c r="M23" s="14"/>
      <c r="N23" s="77"/>
      <c r="O23" s="76"/>
    </row>
    <row r="24">
      <c r="A24" s="19" t="s">
        <v>30</v>
      </c>
      <c r="B24" s="33">
        <v>0.0</v>
      </c>
      <c r="C24" s="33">
        <v>0.0</v>
      </c>
      <c r="D24" s="33">
        <v>0.0</v>
      </c>
      <c r="E24" s="34"/>
      <c r="F24" s="17">
        <v>0.0</v>
      </c>
      <c r="G24" s="17">
        <v>0.0</v>
      </c>
      <c r="H24" s="17">
        <v>0.0</v>
      </c>
      <c r="I24" s="17">
        <v>0.0</v>
      </c>
      <c r="J24" s="17">
        <v>0.0</v>
      </c>
      <c r="K24" s="17">
        <v>0.0</v>
      </c>
      <c r="L24" s="17">
        <v>0.0</v>
      </c>
      <c r="M24" s="17">
        <v>0.0</v>
      </c>
      <c r="N24" s="15">
        <f t="shared" ref="N24:N29" si="14">sum(B24:M24)</f>
        <v>0</v>
      </c>
      <c r="O24" s="27">
        <f t="shared" ref="O24:O29" si="15">N24/$N$7</f>
        <v>0</v>
      </c>
    </row>
    <row r="25">
      <c r="A25" s="19" t="s">
        <v>31</v>
      </c>
      <c r="B25" s="17">
        <v>6.3</v>
      </c>
      <c r="C25" s="17">
        <v>46.8</v>
      </c>
      <c r="D25" s="17">
        <v>63.32</v>
      </c>
      <c r="E25" s="17">
        <v>83.0</v>
      </c>
      <c r="F25" s="17">
        <v>88.0</v>
      </c>
      <c r="G25" s="17">
        <v>1550.0</v>
      </c>
      <c r="H25" s="17">
        <v>98.43</v>
      </c>
      <c r="I25" s="17">
        <v>107.2</v>
      </c>
      <c r="J25" s="17">
        <v>879.0</v>
      </c>
      <c r="K25" s="17">
        <v>1466.67</v>
      </c>
      <c r="L25" s="17">
        <v>1376.4</v>
      </c>
      <c r="M25" s="14">
        <f>6410</f>
        <v>6410</v>
      </c>
      <c r="N25" s="15">
        <f t="shared" si="14"/>
        <v>12175.12</v>
      </c>
      <c r="O25" s="27">
        <f t="shared" si="15"/>
        <v>0.4564654364</v>
      </c>
    </row>
    <row r="26">
      <c r="A26" s="19" t="s">
        <v>32</v>
      </c>
      <c r="B26" s="17">
        <v>0.0</v>
      </c>
      <c r="C26" s="17">
        <v>0.0</v>
      </c>
      <c r="D26" s="17">
        <v>0.0</v>
      </c>
      <c r="E26" s="17">
        <v>0.0</v>
      </c>
      <c r="F26" s="17">
        <v>0.0</v>
      </c>
      <c r="G26" s="17">
        <v>0.0</v>
      </c>
      <c r="H26" s="17">
        <v>0.0</v>
      </c>
      <c r="I26" s="17">
        <v>0.0</v>
      </c>
      <c r="J26" s="17">
        <v>0.0</v>
      </c>
      <c r="K26" s="17">
        <v>0.0</v>
      </c>
      <c r="L26" s="17">
        <v>0.0</v>
      </c>
      <c r="M26" s="17">
        <v>0.0</v>
      </c>
      <c r="N26" s="15">
        <f t="shared" si="14"/>
        <v>0</v>
      </c>
      <c r="O26" s="27">
        <f t="shared" si="15"/>
        <v>0</v>
      </c>
    </row>
    <row r="27">
      <c r="A27" s="19" t="s">
        <v>33</v>
      </c>
      <c r="B27" s="14">
        <f>HO!D35</f>
        <v>8554.441167</v>
      </c>
      <c r="C27" s="14">
        <f>HO!H35</f>
        <v>8777.215875</v>
      </c>
      <c r="D27" s="14">
        <f>HO!L35</f>
        <v>6781.425421</v>
      </c>
      <c r="E27" s="14">
        <f>HO!P35</f>
        <v>11931.84241</v>
      </c>
      <c r="F27" s="14">
        <f>HO!D54</f>
        <v>13904.33808</v>
      </c>
      <c r="G27" s="14">
        <f>HO!H54</f>
        <v>12538.91382</v>
      </c>
      <c r="H27" s="14">
        <f>HO!L54</f>
        <v>14702.87809</v>
      </c>
      <c r="I27" s="14">
        <f>HO!P54</f>
        <v>17171.34471</v>
      </c>
      <c r="J27" s="14">
        <f>HO!D73</f>
        <v>9951.306618</v>
      </c>
      <c r="K27" s="14">
        <f>HO!H73</f>
        <v>14990.39611</v>
      </c>
      <c r="L27" s="14">
        <f>HO!L73</f>
        <v>18988.81892</v>
      </c>
      <c r="M27" s="14">
        <f>HO!P73</f>
        <v>14999.94113</v>
      </c>
      <c r="N27" s="15">
        <f t="shared" si="14"/>
        <v>153292.8624</v>
      </c>
      <c r="O27" s="27">
        <f t="shared" si="15"/>
        <v>5.747203586</v>
      </c>
    </row>
    <row r="28">
      <c r="A28" s="35" t="s">
        <v>34</v>
      </c>
      <c r="B28" s="36">
        <f t="shared" ref="B28:M28" si="16">+SUM(B14:B27)</f>
        <v>65386.77117</v>
      </c>
      <c r="C28" s="36">
        <f t="shared" si="16"/>
        <v>64623.53588</v>
      </c>
      <c r="D28" s="36">
        <f t="shared" si="16"/>
        <v>59183.68542</v>
      </c>
      <c r="E28" s="36">
        <f t="shared" si="16"/>
        <v>54882.99241</v>
      </c>
      <c r="F28" s="37">
        <f t="shared" si="16"/>
        <v>75042.53808</v>
      </c>
      <c r="G28" s="36">
        <f t="shared" si="16"/>
        <v>71917.81382</v>
      </c>
      <c r="H28" s="36">
        <f t="shared" si="16"/>
        <v>79221.98809</v>
      </c>
      <c r="I28" s="36">
        <f t="shared" si="16"/>
        <v>84335.09471</v>
      </c>
      <c r="J28" s="36">
        <f t="shared" si="16"/>
        <v>68402.09662</v>
      </c>
      <c r="K28" s="36">
        <f t="shared" si="16"/>
        <v>81429.13611</v>
      </c>
      <c r="L28" s="36">
        <f t="shared" si="16"/>
        <v>91861.19225</v>
      </c>
      <c r="M28" s="36">
        <f t="shared" si="16"/>
        <v>90173.57447</v>
      </c>
      <c r="N28" s="36">
        <f t="shared" si="14"/>
        <v>886460.419</v>
      </c>
      <c r="O28" s="38">
        <f t="shared" si="15"/>
        <v>33.23487095</v>
      </c>
    </row>
    <row r="29">
      <c r="A29" s="39" t="s">
        <v>35</v>
      </c>
      <c r="B29" s="40">
        <f t="shared" ref="B29:M29" si="17">B13-B28</f>
        <v>-23210.92117</v>
      </c>
      <c r="C29" s="40">
        <f t="shared" si="17"/>
        <v>-20944.76588</v>
      </c>
      <c r="D29" s="40">
        <f t="shared" si="17"/>
        <v>-25088.47542</v>
      </c>
      <c r="E29" s="40">
        <f t="shared" si="17"/>
        <v>900.6375861</v>
      </c>
      <c r="F29" s="40">
        <f t="shared" si="17"/>
        <v>-4161.838084</v>
      </c>
      <c r="G29" s="40">
        <f t="shared" si="17"/>
        <v>-13617.92382</v>
      </c>
      <c r="H29" s="40">
        <f t="shared" si="17"/>
        <v>-2926.698094</v>
      </c>
      <c r="I29" s="40">
        <f t="shared" si="17"/>
        <v>-4744.714712</v>
      </c>
      <c r="J29" s="40">
        <f t="shared" si="17"/>
        <v>-15554.59662</v>
      </c>
      <c r="K29" s="40">
        <f t="shared" si="17"/>
        <v>-4516.606109</v>
      </c>
      <c r="L29" s="40">
        <f t="shared" si="17"/>
        <v>-1100.192249</v>
      </c>
      <c r="M29" s="40">
        <f t="shared" si="17"/>
        <v>-8727.294465</v>
      </c>
      <c r="N29" s="40">
        <f t="shared" si="14"/>
        <v>-123693.389</v>
      </c>
      <c r="O29" s="41">
        <f t="shared" si="15"/>
        <v>-4.637470251</v>
      </c>
    </row>
    <row r="30">
      <c r="A30" s="42" t="s">
        <v>36</v>
      </c>
      <c r="B30" s="43">
        <f t="shared" ref="B30:M30" si="18">(B14/B13)</f>
        <v>0.5827190205</v>
      </c>
      <c r="C30" s="43">
        <f t="shared" si="18"/>
        <v>0.5266576875</v>
      </c>
      <c r="D30" s="43">
        <f t="shared" si="18"/>
        <v>0.630154793</v>
      </c>
      <c r="E30" s="43">
        <f t="shared" si="18"/>
        <v>0.3939686248</v>
      </c>
      <c r="F30" s="44">
        <f t="shared" si="18"/>
        <v>0.3143733061</v>
      </c>
      <c r="G30" s="43">
        <f t="shared" si="18"/>
        <v>0.3160897902</v>
      </c>
      <c r="H30" s="43">
        <f t="shared" si="18"/>
        <v>0.2862871352</v>
      </c>
      <c r="I30" s="43">
        <f t="shared" si="18"/>
        <v>0.3042733305</v>
      </c>
      <c r="J30" s="43">
        <f t="shared" si="18"/>
        <v>0.3383503477</v>
      </c>
      <c r="K30" s="43">
        <f t="shared" si="18"/>
        <v>0.3163818691</v>
      </c>
      <c r="L30" s="43">
        <f t="shared" si="18"/>
        <v>0.2986564714</v>
      </c>
      <c r="M30" s="43">
        <f t="shared" si="18"/>
        <v>0.3150761459</v>
      </c>
      <c r="N30" s="70"/>
      <c r="O30" s="70"/>
    </row>
    <row r="32">
      <c r="B32" s="46">
        <f t="shared" ref="B32:M32" si="19">B29+B27</f>
        <v>-14656.48</v>
      </c>
      <c r="C32" s="46">
        <f t="shared" si="19"/>
        <v>-12167.55</v>
      </c>
      <c r="D32" s="46">
        <f t="shared" si="19"/>
        <v>-18307.05</v>
      </c>
      <c r="E32" s="46">
        <f t="shared" si="19"/>
        <v>12832.48</v>
      </c>
      <c r="F32" s="46">
        <f t="shared" si="19"/>
        <v>9742.5</v>
      </c>
      <c r="G32" s="46">
        <f t="shared" si="19"/>
        <v>-1079.01</v>
      </c>
      <c r="H32" s="46">
        <f t="shared" si="19"/>
        <v>11776.18</v>
      </c>
      <c r="I32" s="46">
        <f t="shared" si="19"/>
        <v>12426.63</v>
      </c>
      <c r="J32" s="46">
        <f t="shared" si="19"/>
        <v>-5603.29</v>
      </c>
      <c r="K32" s="46">
        <f t="shared" si="19"/>
        <v>10473.79</v>
      </c>
      <c r="L32" s="46">
        <f t="shared" si="19"/>
        <v>17888.62667</v>
      </c>
      <c r="M32" s="46">
        <f t="shared" si="19"/>
        <v>6272.646667</v>
      </c>
    </row>
    <row r="33">
      <c r="A33" s="47"/>
      <c r="B33" s="48">
        <f t="shared" ref="B33:M33" si="20">B32/B13</f>
        <v>-0.3475088232</v>
      </c>
      <c r="C33" s="48">
        <f t="shared" si="20"/>
        <v>-0.2785689707</v>
      </c>
      <c r="D33" s="48">
        <f t="shared" si="20"/>
        <v>-0.5369390598</v>
      </c>
      <c r="E33" s="48">
        <f t="shared" si="20"/>
        <v>0.2300402466</v>
      </c>
      <c r="F33" s="48">
        <f t="shared" si="20"/>
        <v>0.1374492633</v>
      </c>
      <c r="G33" s="48">
        <f t="shared" si="20"/>
        <v>-0.01850792514</v>
      </c>
      <c r="H33" s="48">
        <f t="shared" si="20"/>
        <v>0.1543500261</v>
      </c>
      <c r="I33" s="48">
        <f t="shared" si="20"/>
        <v>0.1561323115</v>
      </c>
      <c r="J33" s="48">
        <f t="shared" si="20"/>
        <v>-0.106027532</v>
      </c>
      <c r="K33" s="48">
        <f t="shared" si="20"/>
        <v>0.1361779414</v>
      </c>
      <c r="L33" s="48">
        <f t="shared" si="20"/>
        <v>0.1970959627</v>
      </c>
      <c r="M33" s="48">
        <f t="shared" si="20"/>
        <v>0.07701575402</v>
      </c>
    </row>
    <row r="34">
      <c r="A34" s="47"/>
      <c r="B34" s="48"/>
      <c r="C34" s="48"/>
      <c r="D34" s="48"/>
      <c r="E34" s="48"/>
    </row>
    <row r="35">
      <c r="A35" s="9"/>
      <c r="B35" s="48"/>
      <c r="C35" s="48"/>
      <c r="D35" s="48"/>
      <c r="E35" s="48"/>
    </row>
    <row r="36">
      <c r="A36" s="47"/>
      <c r="B36" s="48"/>
      <c r="C36" s="48"/>
      <c r="D36" s="48"/>
      <c r="E36" s="48"/>
    </row>
  </sheetData>
  <mergeCells count="1">
    <mergeCell ref="N1:O1"/>
  </mergeCells>
  <drawing r:id="rId4"/>
  <legacyDrawing r:id="rId5"/>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38"/>
  </cols>
  <sheetData>
    <row r="1">
      <c r="A1" s="1" t="s">
        <v>46</v>
      </c>
      <c r="B1" s="2">
        <v>45748.0</v>
      </c>
      <c r="C1" s="2">
        <v>45778.0</v>
      </c>
      <c r="D1" s="2">
        <v>45809.0</v>
      </c>
      <c r="E1" s="2">
        <v>45839.0</v>
      </c>
      <c r="F1" s="4">
        <v>45870.0</v>
      </c>
      <c r="G1" s="2">
        <v>45901.0</v>
      </c>
      <c r="H1" s="2">
        <v>45931.0</v>
      </c>
      <c r="I1" s="2">
        <v>45962.0</v>
      </c>
      <c r="J1" s="2">
        <v>45992.0</v>
      </c>
      <c r="K1" s="2">
        <v>46023.0</v>
      </c>
      <c r="L1" s="2">
        <v>46054.0</v>
      </c>
      <c r="M1" s="2">
        <v>46082.0</v>
      </c>
      <c r="N1" s="5" t="s">
        <v>5</v>
      </c>
      <c r="O1" s="6"/>
    </row>
    <row r="2">
      <c r="A2" s="7" t="s">
        <v>6</v>
      </c>
      <c r="B2" s="8"/>
      <c r="C2" s="8"/>
      <c r="D2" s="8"/>
      <c r="E2" s="8"/>
      <c r="F2" s="10"/>
      <c r="G2" s="8"/>
      <c r="H2" s="8"/>
      <c r="I2" s="8"/>
      <c r="J2" s="8"/>
      <c r="K2" s="8"/>
      <c r="L2" s="8"/>
      <c r="M2" s="8"/>
      <c r="N2" s="8"/>
      <c r="O2" s="8"/>
    </row>
    <row r="3">
      <c r="A3" s="11" t="s">
        <v>7</v>
      </c>
      <c r="B3" s="75">
        <v>24583.34</v>
      </c>
      <c r="C3" s="14">
        <f t="shared" ref="C3:M3" si="1">B7</f>
        <v>37490.05</v>
      </c>
      <c r="D3" s="14">
        <f t="shared" si="1"/>
        <v>36305.88</v>
      </c>
      <c r="E3" s="14">
        <f t="shared" si="1"/>
        <v>41022</v>
      </c>
      <c r="F3" s="14">
        <f t="shared" si="1"/>
        <v>42739</v>
      </c>
      <c r="G3" s="14">
        <f t="shared" si="1"/>
        <v>39413.25</v>
      </c>
      <c r="H3" s="14">
        <f t="shared" si="1"/>
        <v>45539</v>
      </c>
      <c r="I3" s="14">
        <f t="shared" si="1"/>
        <v>44702.52</v>
      </c>
      <c r="J3" s="14">
        <f t="shared" si="1"/>
        <v>34880.19</v>
      </c>
      <c r="K3" s="14">
        <f t="shared" si="1"/>
        <v>48588</v>
      </c>
      <c r="L3" s="14">
        <f t="shared" si="1"/>
        <v>41540</v>
      </c>
      <c r="M3" s="14">
        <f t="shared" si="1"/>
        <v>39477.37</v>
      </c>
      <c r="N3" s="15">
        <f>+SUM(J3:L3)</f>
        <v>125008.19</v>
      </c>
      <c r="O3" s="18"/>
    </row>
    <row r="4">
      <c r="A4" s="11" t="s">
        <v>9</v>
      </c>
      <c r="B4" s="17">
        <v>229481.45</v>
      </c>
      <c r="C4" s="17">
        <v>249563.5</v>
      </c>
      <c r="D4" s="17">
        <v>234649.01</v>
      </c>
      <c r="E4" s="17">
        <v>272404.76</v>
      </c>
      <c r="F4" s="17">
        <v>282590.0</v>
      </c>
      <c r="G4" s="14">
        <f>310944.01</f>
        <v>310944.01</v>
      </c>
      <c r="H4" s="17">
        <v>276970.91</v>
      </c>
      <c r="I4" s="17">
        <v>251370.94</v>
      </c>
      <c r="J4" s="17">
        <v>284488.0</v>
      </c>
      <c r="K4" s="17">
        <v>270863.0</v>
      </c>
      <c r="L4" s="17">
        <v>244541.63</v>
      </c>
      <c r="M4" s="17">
        <v>338863.45</v>
      </c>
      <c r="N4" s="15">
        <f>sum(B4:M4)</f>
        <v>3246730.66</v>
      </c>
      <c r="O4" s="18"/>
    </row>
    <row r="5">
      <c r="A5" s="11" t="s">
        <v>10</v>
      </c>
      <c r="B5" s="17">
        <v>196.1</v>
      </c>
      <c r="C5" s="17">
        <v>74.74</v>
      </c>
      <c r="D5" s="17">
        <v>76.33</v>
      </c>
      <c r="E5" s="17">
        <v>269.0</v>
      </c>
      <c r="F5" s="17">
        <v>0.0</v>
      </c>
      <c r="G5" s="17">
        <v>0.0</v>
      </c>
      <c r="H5" s="17">
        <v>77.19</v>
      </c>
      <c r="I5" s="17">
        <v>31.49</v>
      </c>
      <c r="J5" s="17">
        <v>0.0</v>
      </c>
      <c r="K5" s="17">
        <v>1230.0</v>
      </c>
      <c r="L5" s="17">
        <v>156.72</v>
      </c>
      <c r="M5" s="17">
        <v>0.0</v>
      </c>
      <c r="N5" s="15">
        <f t="shared" ref="N5:N6" si="2">+SUM(J5:L5)</f>
        <v>1386.72</v>
      </c>
      <c r="O5" s="18"/>
    </row>
    <row r="6">
      <c r="A6" s="11" t="s">
        <v>11</v>
      </c>
      <c r="B6" s="17">
        <v>8809.58</v>
      </c>
      <c r="C6" s="17">
        <v>8805.22</v>
      </c>
      <c r="D6" s="17">
        <v>8946.0</v>
      </c>
      <c r="E6" s="17">
        <v>7132.0</v>
      </c>
      <c r="F6" s="17">
        <v>8262.17</v>
      </c>
      <c r="G6" s="17">
        <v>8810.0</v>
      </c>
      <c r="H6" s="17">
        <v>8240.9</v>
      </c>
      <c r="I6" s="17">
        <v>8700.84</v>
      </c>
      <c r="J6" s="17">
        <v>11035.0</v>
      </c>
      <c r="K6" s="17">
        <v>11090.11</v>
      </c>
      <c r="L6" s="17">
        <v>9163.72</v>
      </c>
      <c r="M6" s="17">
        <v>12419.99</v>
      </c>
      <c r="N6" s="15">
        <f t="shared" si="2"/>
        <v>31288.83</v>
      </c>
      <c r="O6" s="18"/>
    </row>
    <row r="7">
      <c r="A7" s="11" t="s">
        <v>12</v>
      </c>
      <c r="B7" s="17">
        <v>37490.05</v>
      </c>
      <c r="C7" s="17">
        <v>36305.88</v>
      </c>
      <c r="D7" s="17">
        <v>41022.0</v>
      </c>
      <c r="E7" s="17">
        <v>42739.0</v>
      </c>
      <c r="F7" s="17">
        <v>39413.25</v>
      </c>
      <c r="G7" s="17">
        <v>45539.0</v>
      </c>
      <c r="H7" s="17">
        <v>44702.52</v>
      </c>
      <c r="I7" s="17">
        <v>34880.19</v>
      </c>
      <c r="J7" s="17">
        <v>48588.0</v>
      </c>
      <c r="K7" s="17">
        <v>41540.0</v>
      </c>
      <c r="L7" s="17">
        <v>39477.37</v>
      </c>
      <c r="M7" s="17">
        <v>47968.29</v>
      </c>
      <c r="N7" s="15">
        <f>sum(B7:M7)</f>
        <v>499665.55</v>
      </c>
      <c r="O7" s="18"/>
    </row>
    <row r="8">
      <c r="A8" s="8"/>
      <c r="B8" s="8"/>
      <c r="C8" s="8"/>
      <c r="D8" s="8"/>
      <c r="E8" s="8"/>
      <c r="F8" s="10"/>
      <c r="G8" s="8"/>
      <c r="H8" s="8"/>
      <c r="I8" s="8"/>
      <c r="J8" s="8"/>
      <c r="K8" s="8"/>
      <c r="L8" s="8"/>
      <c r="M8" s="8"/>
      <c r="N8" s="8"/>
      <c r="O8" s="8"/>
    </row>
    <row r="9">
      <c r="A9" s="19" t="s">
        <v>13</v>
      </c>
      <c r="B9" s="14">
        <f>980237.72*1.05+11477.56*1.05</f>
        <v>1041301.044</v>
      </c>
      <c r="C9" s="14">
        <f>1171261.08*1.05+12535.57*1.05</f>
        <v>1242986.483</v>
      </c>
      <c r="D9" s="14">
        <f>1079116.95*1.05+15056.56*1.05</f>
        <v>1148882.186</v>
      </c>
      <c r="E9" s="14">
        <f>1075676.2*1.05+14044.69*1.05</f>
        <v>1144206.935</v>
      </c>
      <c r="F9" s="14">
        <f>14667.21*1.05+1191600.952*1.05</f>
        <v>1266581.57</v>
      </c>
      <c r="G9" s="14">
        <f>1306926.76*1.05</f>
        <v>1372273.098</v>
      </c>
      <c r="H9" s="14">
        <f>1083845.96*1.05+16540.36*1.05</f>
        <v>1155405.636</v>
      </c>
      <c r="I9" s="14">
        <f>974763.81*1.05+14969.16*1.05</f>
        <v>1039219.619</v>
      </c>
      <c r="J9" s="14">
        <f>1077287.23*1.05+13276.35*1.05</f>
        <v>1145091.759</v>
      </c>
      <c r="K9" s="14">
        <f>1048867.26*1.05+12227.29*1.05</f>
        <v>1114149.278</v>
      </c>
      <c r="L9" s="14">
        <f>907389.02*1.05+15211.92*1.05</f>
        <v>968730.987</v>
      </c>
      <c r="M9" s="14">
        <f>1311260.04*1.05+20674.47*1.05</f>
        <v>1398531.236</v>
      </c>
      <c r="N9" s="15">
        <f t="shared" ref="N9:N12" si="3">+SUM(B9:M9)</f>
        <v>14037359.83</v>
      </c>
      <c r="O9" s="18"/>
    </row>
    <row r="10">
      <c r="A10" s="19" t="s">
        <v>14</v>
      </c>
      <c r="B10" s="17">
        <v>0.0</v>
      </c>
      <c r="C10" s="17">
        <v>0.0</v>
      </c>
      <c r="D10" s="17">
        <v>0.0</v>
      </c>
      <c r="E10" s="17">
        <v>0.0</v>
      </c>
      <c r="F10" s="17">
        <v>0.0</v>
      </c>
      <c r="G10" s="17">
        <v>0.0</v>
      </c>
      <c r="H10" s="17">
        <v>0.0</v>
      </c>
      <c r="I10" s="17">
        <v>0.0</v>
      </c>
      <c r="J10" s="17">
        <v>0.0</v>
      </c>
      <c r="K10" s="17">
        <v>0.0</v>
      </c>
      <c r="L10" s="17">
        <v>0.0</v>
      </c>
      <c r="M10" s="17">
        <v>0.0</v>
      </c>
      <c r="N10" s="15">
        <f t="shared" si="3"/>
        <v>0</v>
      </c>
      <c r="O10" s="18"/>
    </row>
    <row r="11">
      <c r="A11" s="19" t="s">
        <v>15</v>
      </c>
      <c r="B11" s="14">
        <f t="shared" ref="B11:M11" si="4">(B9+B10)/1.05*0.05</f>
        <v>49585.764</v>
      </c>
      <c r="C11" s="14">
        <f t="shared" si="4"/>
        <v>59189.8325</v>
      </c>
      <c r="D11" s="14">
        <f t="shared" si="4"/>
        <v>54708.6755</v>
      </c>
      <c r="E11" s="14">
        <f t="shared" si="4"/>
        <v>54486.0445</v>
      </c>
      <c r="F11" s="14">
        <f t="shared" si="4"/>
        <v>60313.4081</v>
      </c>
      <c r="G11" s="14">
        <f t="shared" si="4"/>
        <v>65346.338</v>
      </c>
      <c r="H11" s="14">
        <f t="shared" si="4"/>
        <v>55019.316</v>
      </c>
      <c r="I11" s="14">
        <f t="shared" si="4"/>
        <v>49486.6485</v>
      </c>
      <c r="J11" s="14">
        <f t="shared" si="4"/>
        <v>54528.179</v>
      </c>
      <c r="K11" s="14">
        <f t="shared" si="4"/>
        <v>53054.7275</v>
      </c>
      <c r="L11" s="14">
        <f t="shared" si="4"/>
        <v>46130.047</v>
      </c>
      <c r="M11" s="14">
        <f t="shared" si="4"/>
        <v>66596.7255</v>
      </c>
      <c r="N11" s="15">
        <f t="shared" si="3"/>
        <v>668445.7061</v>
      </c>
      <c r="O11" s="18"/>
    </row>
    <row r="12">
      <c r="A12" s="19" t="s">
        <v>17</v>
      </c>
      <c r="B12" s="17">
        <f>26018.21+182.91+4683.28+32.92+13532.05+2435.8+1183</f>
        <v>48068.17</v>
      </c>
      <c r="C12" s="14">
        <f>5186.7+28815.01+10329.2+1859.24+14.08+2659.02+478.62</f>
        <v>49341.87</v>
      </c>
      <c r="D12" s="14">
        <f>34544.96+6218.09+9398.62+1691.78+3679.79+662.38</f>
        <v>56195.62</v>
      </c>
      <c r="E12" s="17">
        <f>32489.29+5848.07+13693.91+2464.93+31.97+2949+530.93</f>
        <v>58008.1</v>
      </c>
      <c r="F12" s="14">
        <f>8697.72+1565.6+34297.06+6173.47+92.11+3928.12+707.06</f>
        <v>55461.14</v>
      </c>
      <c r="G12" s="14">
        <f>33028.64*1.18+9799.67*1.18</f>
        <v>50537.4058</v>
      </c>
      <c r="H12" s="14">
        <f>38406*1.18+9557.74*1.18+49.34*1.18+3295.59*1.18</f>
        <v>60544.2306</v>
      </c>
      <c r="I12" s="14">
        <f>34964.27*1.18+7353.96*1.18+121.3*1.18</f>
        <v>50078.6454</v>
      </c>
      <c r="J12" s="14">
        <f>(30508.52+584.19)*1.18+10398.13*1.18+49.18*1.18</f>
        <v>49017.2236</v>
      </c>
      <c r="K12" s="14">
        <f>28591.75*1.18+30.29*1.18+9333.36*1.18</f>
        <v>44787.372</v>
      </c>
      <c r="L12" s="14">
        <f>41452.81+4518.09+6116.22+813.24+52.07*1.18</f>
        <v>52961.8026</v>
      </c>
      <c r="M12" s="14">
        <f>48429.34*1.18+9218.24*1.18+50.55*1.18+81.25*1.18+6217.69*1.18</f>
        <v>75516.5426</v>
      </c>
      <c r="N12" s="15">
        <f t="shared" si="3"/>
        <v>650518.1226</v>
      </c>
      <c r="O12" s="18"/>
    </row>
    <row r="13">
      <c r="A13" s="21" t="s">
        <v>19</v>
      </c>
      <c r="B13" s="22">
        <f t="shared" ref="B13:M13" si="5">B9+B10-B11-B12</f>
        <v>943647.11</v>
      </c>
      <c r="C13" s="22">
        <f t="shared" si="5"/>
        <v>1134454.78</v>
      </c>
      <c r="D13" s="22">
        <f t="shared" si="5"/>
        <v>1037977.89</v>
      </c>
      <c r="E13" s="22">
        <f t="shared" si="5"/>
        <v>1031712.79</v>
      </c>
      <c r="F13" s="23">
        <f t="shared" si="5"/>
        <v>1150807.022</v>
      </c>
      <c r="G13" s="23">
        <f t="shared" si="5"/>
        <v>1256389.354</v>
      </c>
      <c r="H13" s="22">
        <f t="shared" si="5"/>
        <v>1039842.089</v>
      </c>
      <c r="I13" s="22">
        <f t="shared" si="5"/>
        <v>939654.3246</v>
      </c>
      <c r="J13" s="22">
        <f t="shared" si="5"/>
        <v>1041546.356</v>
      </c>
      <c r="K13" s="22">
        <f t="shared" si="5"/>
        <v>1016307.178</v>
      </c>
      <c r="L13" s="22">
        <f t="shared" si="5"/>
        <v>869639.1374</v>
      </c>
      <c r="M13" s="22">
        <f t="shared" si="5"/>
        <v>1256417.967</v>
      </c>
      <c r="N13" s="22">
        <f t="shared" ref="N13:N29" si="7">sum(B13:M13)</f>
        <v>12718396</v>
      </c>
      <c r="O13" s="24"/>
    </row>
    <row r="14">
      <c r="A14" s="19" t="s">
        <v>20</v>
      </c>
      <c r="B14" s="26">
        <f t="shared" ref="B14:M14" si="6">+B3+B4-B5-B7</f>
        <v>216378.64</v>
      </c>
      <c r="C14" s="26">
        <f t="shared" si="6"/>
        <v>250672.93</v>
      </c>
      <c r="D14" s="26">
        <f t="shared" si="6"/>
        <v>229856.56</v>
      </c>
      <c r="E14" s="26">
        <f t="shared" si="6"/>
        <v>270418.76</v>
      </c>
      <c r="F14" s="26">
        <f t="shared" si="6"/>
        <v>285915.75</v>
      </c>
      <c r="G14" s="26">
        <f t="shared" si="6"/>
        <v>304818.26</v>
      </c>
      <c r="H14" s="26">
        <f t="shared" si="6"/>
        <v>277730.2</v>
      </c>
      <c r="I14" s="26">
        <f t="shared" si="6"/>
        <v>261161.78</v>
      </c>
      <c r="J14" s="26">
        <f t="shared" si="6"/>
        <v>270780.19</v>
      </c>
      <c r="K14" s="26">
        <f t="shared" si="6"/>
        <v>276681</v>
      </c>
      <c r="L14" s="26">
        <f t="shared" si="6"/>
        <v>246447.54</v>
      </c>
      <c r="M14" s="26">
        <f t="shared" si="6"/>
        <v>330372.53</v>
      </c>
      <c r="N14" s="15">
        <f t="shared" si="7"/>
        <v>3221234.14</v>
      </c>
      <c r="O14" s="27">
        <f t="shared" ref="O14:O29" si="8">N14/$N$13</f>
        <v>0.2532736156</v>
      </c>
    </row>
    <row r="15">
      <c r="A15" s="19" t="s">
        <v>21</v>
      </c>
      <c r="B15" s="78">
        <v>53641.0</v>
      </c>
      <c r="C15" s="17">
        <v>52715.0</v>
      </c>
      <c r="D15" s="17">
        <v>50548.0</v>
      </c>
      <c r="E15" s="17">
        <v>55148.0</v>
      </c>
      <c r="F15" s="17">
        <v>60856.0</v>
      </c>
      <c r="G15" s="17">
        <v>62886.0</v>
      </c>
      <c r="H15" s="17">
        <v>57288.0</v>
      </c>
      <c r="I15" s="17">
        <v>53691.0</v>
      </c>
      <c r="J15" s="14">
        <f>57093</f>
        <v>57093</v>
      </c>
      <c r="K15" s="14">
        <f>54827</f>
        <v>54827</v>
      </c>
      <c r="L15" s="14">
        <f>47209</f>
        <v>47209</v>
      </c>
      <c r="M15" s="72">
        <f>60000</f>
        <v>60000</v>
      </c>
      <c r="N15" s="15">
        <f t="shared" si="7"/>
        <v>665902</v>
      </c>
      <c r="O15" s="27">
        <f t="shared" si="8"/>
        <v>0.05235738847</v>
      </c>
    </row>
    <row r="16">
      <c r="A16" s="19" t="s">
        <v>22</v>
      </c>
      <c r="B16" s="14">
        <f t="shared" ref="B16:H16" si="9">800+352.82</f>
        <v>1152.82</v>
      </c>
      <c r="C16" s="14">
        <f t="shared" si="9"/>
        <v>1152.82</v>
      </c>
      <c r="D16" s="17">
        <f t="shared" si="9"/>
        <v>1152.82</v>
      </c>
      <c r="E16" s="17">
        <f t="shared" si="9"/>
        <v>1152.82</v>
      </c>
      <c r="F16" s="17">
        <f t="shared" si="9"/>
        <v>1152.82</v>
      </c>
      <c r="G16" s="17">
        <f t="shared" si="9"/>
        <v>1152.82</v>
      </c>
      <c r="H16" s="14">
        <f t="shared" si="9"/>
        <v>1152.82</v>
      </c>
      <c r="I16" s="14">
        <f>352.82+800</f>
        <v>1152.82</v>
      </c>
      <c r="J16" s="14">
        <f t="shared" ref="J16:M16" si="10">800+352.82</f>
        <v>1152.82</v>
      </c>
      <c r="K16" s="14">
        <f t="shared" si="10"/>
        <v>1152.82</v>
      </c>
      <c r="L16" s="14">
        <f t="shared" si="10"/>
        <v>1152.82</v>
      </c>
      <c r="M16" s="72">
        <f t="shared" si="10"/>
        <v>1152.82</v>
      </c>
      <c r="N16" s="15">
        <f t="shared" si="7"/>
        <v>13833.84</v>
      </c>
      <c r="O16" s="27">
        <f t="shared" si="8"/>
        <v>0.001087703198</v>
      </c>
    </row>
    <row r="17">
      <c r="A17" s="19" t="s">
        <v>23</v>
      </c>
      <c r="B17" s="14"/>
      <c r="C17" s="14"/>
      <c r="D17" s="14"/>
      <c r="E17" s="14"/>
      <c r="F17" s="14"/>
      <c r="G17" s="14"/>
      <c r="H17" s="14"/>
      <c r="I17" s="14"/>
      <c r="J17" s="14"/>
      <c r="K17" s="14"/>
      <c r="L17" s="14"/>
      <c r="M17" s="14"/>
      <c r="N17" s="15">
        <f t="shared" si="7"/>
        <v>0</v>
      </c>
      <c r="O17" s="27">
        <f t="shared" si="8"/>
        <v>0</v>
      </c>
    </row>
    <row r="18">
      <c r="A18" s="19" t="s">
        <v>24</v>
      </c>
      <c r="B18" s="17">
        <v>138636.0</v>
      </c>
      <c r="C18" s="17">
        <v>167965.0</v>
      </c>
      <c r="D18" s="17">
        <v>152324.0</v>
      </c>
      <c r="E18" s="17">
        <f>151195</f>
        <v>151195</v>
      </c>
      <c r="F18" s="17">
        <v>169761.0</v>
      </c>
      <c r="G18" s="14">
        <f>186432</f>
        <v>186432</v>
      </c>
      <c r="H18" s="14">
        <f>152183</f>
        <v>152183</v>
      </c>
      <c r="I18" s="14">
        <f>138048</f>
        <v>138048</v>
      </c>
      <c r="J18" s="17">
        <v>153569.0</v>
      </c>
      <c r="K18" s="14">
        <f>150291</f>
        <v>150291</v>
      </c>
      <c r="L18" s="14">
        <f>126666</f>
        <v>126666</v>
      </c>
      <c r="M18" s="14">
        <f>M13*0.1478</f>
        <v>185698.5756</v>
      </c>
      <c r="N18" s="15">
        <f t="shared" si="7"/>
        <v>1872768.576</v>
      </c>
      <c r="O18" s="27">
        <f t="shared" si="8"/>
        <v>0.1472488021</v>
      </c>
    </row>
    <row r="19">
      <c r="A19" s="19" t="s">
        <v>25</v>
      </c>
      <c r="B19" s="17">
        <v>5767.0</v>
      </c>
      <c r="C19" s="17">
        <v>5767.0</v>
      </c>
      <c r="D19" s="14">
        <f t="shared" ref="D19:M19" si="11">69207/12</f>
        <v>5767.25</v>
      </c>
      <c r="E19" s="14">
        <f t="shared" si="11"/>
        <v>5767.25</v>
      </c>
      <c r="F19" s="14">
        <f t="shared" si="11"/>
        <v>5767.25</v>
      </c>
      <c r="G19" s="14">
        <f t="shared" si="11"/>
        <v>5767.25</v>
      </c>
      <c r="H19" s="14">
        <f t="shared" si="11"/>
        <v>5767.25</v>
      </c>
      <c r="I19" s="14">
        <f t="shared" si="11"/>
        <v>5767.25</v>
      </c>
      <c r="J19" s="14">
        <f t="shared" si="11"/>
        <v>5767.25</v>
      </c>
      <c r="K19" s="14">
        <f t="shared" si="11"/>
        <v>5767.25</v>
      </c>
      <c r="L19" s="14">
        <f t="shared" si="11"/>
        <v>5767.25</v>
      </c>
      <c r="M19" s="14">
        <f t="shared" si="11"/>
        <v>5767.25</v>
      </c>
      <c r="N19" s="15">
        <f t="shared" si="7"/>
        <v>69206.5</v>
      </c>
      <c r="O19" s="27">
        <f t="shared" si="8"/>
        <v>0.005441448749</v>
      </c>
    </row>
    <row r="20">
      <c r="A20" s="20" t="s">
        <v>26</v>
      </c>
      <c r="B20" s="14">
        <f>198014.35+87602/12</f>
        <v>205314.5167</v>
      </c>
      <c r="C20" s="14">
        <f>187742+87602/12</f>
        <v>195042.1667</v>
      </c>
      <c r="D20" s="14">
        <f>117024.5+53412+3674+87602/12</f>
        <v>181410.6667</v>
      </c>
      <c r="E20" s="17">
        <f>182290.07+87602/12</f>
        <v>189590.2367</v>
      </c>
      <c r="F20" s="14">
        <f>192497.49++87602/12</f>
        <v>199797.6567</v>
      </c>
      <c r="G20" s="14">
        <f>191585.34+87602/12</f>
        <v>198885.5067</v>
      </c>
      <c r="H20" s="14">
        <f>87602/12+186033+4500</f>
        <v>197833.1667</v>
      </c>
      <c r="I20" s="14">
        <f>87602/12+170127+3672</f>
        <v>181099.1667</v>
      </c>
      <c r="J20" s="14">
        <f>87602/12+192885+3588</f>
        <v>203773.1667</v>
      </c>
      <c r="K20" s="14">
        <f>87602/12+3540+208277</f>
        <v>219117.1667</v>
      </c>
      <c r="L20" s="14">
        <f>87602/12+3700+199785</f>
        <v>210785.1667</v>
      </c>
      <c r="M20" s="14">
        <f>87602/12+3700+200573</f>
        <v>211573.1667</v>
      </c>
      <c r="N20" s="15">
        <f t="shared" si="7"/>
        <v>2394221.75</v>
      </c>
      <c r="O20" s="27">
        <f t="shared" si="8"/>
        <v>0.1882487186</v>
      </c>
    </row>
    <row r="21">
      <c r="A21" s="11" t="s">
        <v>27</v>
      </c>
      <c r="B21" s="17">
        <f>2832+13400/12</f>
        <v>3948.666667</v>
      </c>
      <c r="C21" s="17">
        <f t="shared" ref="C21:F21" si="12">2832+3457+13400/12</f>
        <v>7405.666667</v>
      </c>
      <c r="D21" s="17">
        <f t="shared" si="12"/>
        <v>7405.666667</v>
      </c>
      <c r="E21" s="17">
        <f t="shared" si="12"/>
        <v>7405.666667</v>
      </c>
      <c r="F21" s="14">
        <f t="shared" si="12"/>
        <v>7405.666667</v>
      </c>
      <c r="G21" s="14">
        <f t="shared" ref="G21:I21" si="13">13400/12+3457+2832</f>
        <v>7405.666667</v>
      </c>
      <c r="H21" s="14">
        <f t="shared" si="13"/>
        <v>7405.666667</v>
      </c>
      <c r="I21" s="14">
        <f t="shared" si="13"/>
        <v>7405.666667</v>
      </c>
      <c r="J21" s="14">
        <f>13400/12+2832+3457</f>
        <v>7405.666667</v>
      </c>
      <c r="K21" s="14">
        <f>13400/12+3457+2832</f>
        <v>7405.666667</v>
      </c>
      <c r="L21" s="14">
        <f>13400/12+3115+3457</f>
        <v>7688.666667</v>
      </c>
      <c r="M21" s="14">
        <f>13400/12+3457+3115</f>
        <v>7688.666667</v>
      </c>
      <c r="N21" s="15">
        <f t="shared" si="7"/>
        <v>85977</v>
      </c>
      <c r="O21" s="27">
        <f t="shared" si="8"/>
        <v>0.00676005056</v>
      </c>
    </row>
    <row r="22">
      <c r="A22" s="32" t="s">
        <v>28</v>
      </c>
      <c r="B22" s="14">
        <f t="shared" ref="B22:C22" si="14">2124/3+9813/12+6372/12+3457</f>
        <v>5513.75</v>
      </c>
      <c r="C22" s="14">
        <f t="shared" si="14"/>
        <v>5513.75</v>
      </c>
      <c r="D22" s="14">
        <f>2124/3+9813/12+6372/12</f>
        <v>2056.75</v>
      </c>
      <c r="E22" s="14">
        <f t="shared" ref="E22:J22" si="15">9813/12+6372/12+2124/3</f>
        <v>2056.75</v>
      </c>
      <c r="F22" s="14">
        <f t="shared" si="15"/>
        <v>2056.75</v>
      </c>
      <c r="G22" s="14">
        <f t="shared" si="15"/>
        <v>2056.75</v>
      </c>
      <c r="H22" s="14">
        <f t="shared" si="15"/>
        <v>2056.75</v>
      </c>
      <c r="I22" s="14">
        <f t="shared" si="15"/>
        <v>2056.75</v>
      </c>
      <c r="J22" s="14">
        <f t="shared" si="15"/>
        <v>2056.75</v>
      </c>
      <c r="K22" s="14">
        <f t="shared" ref="K22:M22" si="16">9813/12+6372/12+3271.32/3</f>
        <v>2439.19</v>
      </c>
      <c r="L22" s="14">
        <f t="shared" si="16"/>
        <v>2439.19</v>
      </c>
      <c r="M22" s="14">
        <f t="shared" si="16"/>
        <v>2439.19</v>
      </c>
      <c r="N22" s="15">
        <f t="shared" si="7"/>
        <v>32742.32</v>
      </c>
      <c r="O22" s="27">
        <f t="shared" si="8"/>
        <v>0.002574406395</v>
      </c>
    </row>
    <row r="23">
      <c r="A23" s="20" t="s">
        <v>29</v>
      </c>
      <c r="B23" s="33">
        <v>0.0</v>
      </c>
      <c r="C23" s="34">
        <f t="shared" ref="C23:M23" si="17">11895.27/12</f>
        <v>991.2725</v>
      </c>
      <c r="D23" s="34">
        <f t="shared" si="17"/>
        <v>991.2725</v>
      </c>
      <c r="E23" s="34">
        <f t="shared" si="17"/>
        <v>991.2725</v>
      </c>
      <c r="F23" s="34">
        <f t="shared" si="17"/>
        <v>991.2725</v>
      </c>
      <c r="G23" s="34">
        <f t="shared" si="17"/>
        <v>991.2725</v>
      </c>
      <c r="H23" s="34">
        <f t="shared" si="17"/>
        <v>991.2725</v>
      </c>
      <c r="I23" s="34">
        <f t="shared" si="17"/>
        <v>991.2725</v>
      </c>
      <c r="J23" s="34">
        <f t="shared" si="17"/>
        <v>991.2725</v>
      </c>
      <c r="K23" s="34">
        <f t="shared" si="17"/>
        <v>991.2725</v>
      </c>
      <c r="L23" s="34">
        <f t="shared" si="17"/>
        <v>991.2725</v>
      </c>
      <c r="M23" s="34">
        <f t="shared" si="17"/>
        <v>991.2725</v>
      </c>
      <c r="N23" s="15">
        <f t="shared" si="7"/>
        <v>10903.9975</v>
      </c>
      <c r="O23" s="27">
        <f t="shared" si="8"/>
        <v>0.0008573406191</v>
      </c>
    </row>
    <row r="24">
      <c r="A24" s="19" t="s">
        <v>30</v>
      </c>
      <c r="B24" s="34">
        <f>219</f>
        <v>219</v>
      </c>
      <c r="C24" s="33">
        <v>4000.0</v>
      </c>
      <c r="D24" s="34">
        <f>2325</f>
        <v>2325</v>
      </c>
      <c r="E24" s="33">
        <f>15000+20000</f>
        <v>35000</v>
      </c>
      <c r="F24" s="17">
        <v>7945.0</v>
      </c>
      <c r="G24" s="17">
        <v>35640.0</v>
      </c>
      <c r="H24" s="14">
        <f>1270</f>
        <v>1270</v>
      </c>
      <c r="I24" s="17">
        <v>0.0</v>
      </c>
      <c r="J24" s="17">
        <v>15100.0</v>
      </c>
      <c r="K24" s="17">
        <v>550.0</v>
      </c>
      <c r="L24" s="17">
        <v>0.0</v>
      </c>
      <c r="M24" s="17">
        <f>19634</f>
        <v>19634</v>
      </c>
      <c r="N24" s="15">
        <f t="shared" si="7"/>
        <v>121683</v>
      </c>
      <c r="O24" s="27">
        <f t="shared" si="8"/>
        <v>0.009567480051</v>
      </c>
    </row>
    <row r="25">
      <c r="A25" s="19" t="s">
        <v>31</v>
      </c>
      <c r="B25" s="14">
        <f>2489.46</f>
        <v>2489.46</v>
      </c>
      <c r="C25" s="17">
        <v>4246.18</v>
      </c>
      <c r="D25" s="14">
        <f>17259</f>
        <v>17259</v>
      </c>
      <c r="E25" s="17">
        <v>12666.0</v>
      </c>
      <c r="F25" s="17">
        <v>20735.97</v>
      </c>
      <c r="G25" s="17">
        <v>14422.8</v>
      </c>
      <c r="H25" s="17">
        <v>13899.76</v>
      </c>
      <c r="I25" s="17">
        <v>7681.28</v>
      </c>
      <c r="J25" s="17">
        <v>34504.0</v>
      </c>
      <c r="K25" s="17">
        <v>7878.67</v>
      </c>
      <c r="L25" s="17">
        <v>12666.0</v>
      </c>
      <c r="M25" s="17">
        <f>13171</f>
        <v>13171</v>
      </c>
      <c r="N25" s="15">
        <f t="shared" si="7"/>
        <v>161620.12</v>
      </c>
      <c r="O25" s="27">
        <f t="shared" si="8"/>
        <v>0.01270758671</v>
      </c>
    </row>
    <row r="26">
      <c r="A26" s="19" t="s">
        <v>32</v>
      </c>
      <c r="B26" s="14">
        <f t="shared" ref="B26:E26" si="18">84370</f>
        <v>84370</v>
      </c>
      <c r="C26" s="14">
        <f t="shared" si="18"/>
        <v>84370</v>
      </c>
      <c r="D26" s="14">
        <f t="shared" si="18"/>
        <v>84370</v>
      </c>
      <c r="E26" s="14">
        <f t="shared" si="18"/>
        <v>84370</v>
      </c>
      <c r="F26" s="17">
        <v>84370.0</v>
      </c>
      <c r="G26" s="14">
        <f t="shared" ref="G26:H26" si="19">84370</f>
        <v>84370</v>
      </c>
      <c r="H26" s="14">
        <f t="shared" si="19"/>
        <v>84370</v>
      </c>
      <c r="I26" s="17">
        <v>84370.0</v>
      </c>
      <c r="J26" s="17">
        <v>84370.0</v>
      </c>
      <c r="K26" s="17">
        <v>84370.0</v>
      </c>
      <c r="L26" s="17">
        <v>84370.0</v>
      </c>
      <c r="M26" s="17">
        <v>84370.0</v>
      </c>
      <c r="N26" s="15">
        <f t="shared" si="7"/>
        <v>1012440</v>
      </c>
      <c r="O26" s="27">
        <f t="shared" si="8"/>
        <v>0.07960437779</v>
      </c>
    </row>
    <row r="27">
      <c r="A27" s="19" t="s">
        <v>33</v>
      </c>
      <c r="B27" s="14">
        <f>HO!D32</f>
        <v>191398.0082</v>
      </c>
      <c r="C27" s="14">
        <f>HO!H32</f>
        <v>227967.8321</v>
      </c>
      <c r="D27" s="14">
        <f>HO!L32</f>
        <v>206450.3973</v>
      </c>
      <c r="E27" s="14">
        <f>HO!P32</f>
        <v>220678.2604</v>
      </c>
      <c r="F27" s="14">
        <f>HO!D51</f>
        <v>225748.4746</v>
      </c>
      <c r="G27" s="14">
        <f>HO!H51</f>
        <v>270219.3407</v>
      </c>
      <c r="H27" s="14">
        <f>HO!L51</f>
        <v>200388.1429</v>
      </c>
      <c r="I27" s="14">
        <f>HO!P51</f>
        <v>202727.1175</v>
      </c>
      <c r="J27" s="14">
        <f>HO!D70</f>
        <v>196125.5906</v>
      </c>
      <c r="K27" s="14">
        <f>HO!H70</f>
        <v>198080.1719</v>
      </c>
      <c r="L27" s="14">
        <f>HO!L70</f>
        <v>181944.0079</v>
      </c>
      <c r="M27" s="14">
        <f>HO!P70</f>
        <v>231394.1846</v>
      </c>
      <c r="N27" s="15">
        <f t="shared" si="7"/>
        <v>2553121.529</v>
      </c>
      <c r="O27" s="27">
        <f t="shared" si="8"/>
        <v>0.2007424151</v>
      </c>
    </row>
    <row r="28">
      <c r="A28" s="35" t="s">
        <v>34</v>
      </c>
      <c r="B28" s="36">
        <f t="shared" ref="B28:M28" si="20">+SUM(B14:B27)</f>
        <v>908828.8616</v>
      </c>
      <c r="C28" s="36">
        <f t="shared" si="20"/>
        <v>1007809.618</v>
      </c>
      <c r="D28" s="36">
        <f t="shared" si="20"/>
        <v>941917.3831</v>
      </c>
      <c r="E28" s="36">
        <f t="shared" si="20"/>
        <v>1036440.016</v>
      </c>
      <c r="F28" s="37">
        <f t="shared" si="20"/>
        <v>1072503.61</v>
      </c>
      <c r="G28" s="36">
        <f t="shared" si="20"/>
        <v>1175047.667</v>
      </c>
      <c r="H28" s="36">
        <f t="shared" si="20"/>
        <v>1002336.029</v>
      </c>
      <c r="I28" s="36">
        <f t="shared" si="20"/>
        <v>946152.1033</v>
      </c>
      <c r="J28" s="36">
        <f t="shared" si="20"/>
        <v>1032688.706</v>
      </c>
      <c r="K28" s="36">
        <f t="shared" si="20"/>
        <v>1009551.208</v>
      </c>
      <c r="L28" s="36">
        <f t="shared" si="20"/>
        <v>928126.9137</v>
      </c>
      <c r="M28" s="36">
        <f t="shared" si="20"/>
        <v>1154252.656</v>
      </c>
      <c r="N28" s="36">
        <f t="shared" si="7"/>
        <v>12215654.77</v>
      </c>
      <c r="O28" s="38">
        <f t="shared" si="8"/>
        <v>0.960471334</v>
      </c>
    </row>
    <row r="29">
      <c r="A29" s="39" t="s">
        <v>35</v>
      </c>
      <c r="B29" s="40">
        <f t="shared" ref="B29:M29" si="21">B13-B28</f>
        <v>34818.24845</v>
      </c>
      <c r="C29" s="40">
        <f t="shared" si="21"/>
        <v>126645.1621</v>
      </c>
      <c r="D29" s="40">
        <f t="shared" si="21"/>
        <v>96060.50688</v>
      </c>
      <c r="E29" s="40">
        <f t="shared" si="21"/>
        <v>-4727.226224</v>
      </c>
      <c r="F29" s="40">
        <f t="shared" si="21"/>
        <v>78303.41158</v>
      </c>
      <c r="G29" s="40">
        <f t="shared" si="21"/>
        <v>81341.68767</v>
      </c>
      <c r="H29" s="40">
        <f t="shared" si="21"/>
        <v>37506.06063</v>
      </c>
      <c r="I29" s="40">
        <f t="shared" si="21"/>
        <v>-6497.778724</v>
      </c>
      <c r="J29" s="40">
        <f t="shared" si="21"/>
        <v>8857.64996</v>
      </c>
      <c r="K29" s="40">
        <f t="shared" si="21"/>
        <v>6755.970232</v>
      </c>
      <c r="L29" s="40">
        <f t="shared" si="21"/>
        <v>-58487.77634</v>
      </c>
      <c r="M29" s="40">
        <f t="shared" si="21"/>
        <v>102165.3114</v>
      </c>
      <c r="N29" s="40">
        <f t="shared" si="7"/>
        <v>502741.2276</v>
      </c>
      <c r="O29" s="41">
        <f t="shared" si="8"/>
        <v>0.03952866601</v>
      </c>
    </row>
    <row r="30">
      <c r="A30" s="42" t="s">
        <v>36</v>
      </c>
      <c r="B30" s="43">
        <f t="shared" ref="B30:M30" si="22">(B14/B13)</f>
        <v>0.229300379</v>
      </c>
      <c r="C30" s="43">
        <f t="shared" si="22"/>
        <v>0.2209633512</v>
      </c>
      <c r="D30" s="43">
        <f t="shared" si="22"/>
        <v>0.2214464896</v>
      </c>
      <c r="E30" s="43">
        <f t="shared" si="22"/>
        <v>0.2621066276</v>
      </c>
      <c r="F30" s="44">
        <f t="shared" si="22"/>
        <v>0.2484480408</v>
      </c>
      <c r="G30" s="43">
        <f t="shared" si="22"/>
        <v>0.2426144881</v>
      </c>
      <c r="H30" s="43">
        <f t="shared" si="22"/>
        <v>0.2670888232</v>
      </c>
      <c r="I30" s="43">
        <f t="shared" si="22"/>
        <v>0.2779338882</v>
      </c>
      <c r="J30" s="43">
        <f t="shared" si="22"/>
        <v>0.2599790094</v>
      </c>
      <c r="K30" s="43">
        <f t="shared" si="22"/>
        <v>0.2722415092</v>
      </c>
      <c r="L30" s="43">
        <f t="shared" si="22"/>
        <v>0.2833905805</v>
      </c>
      <c r="M30" s="43">
        <f t="shared" si="22"/>
        <v>0.2629479509</v>
      </c>
      <c r="N30" s="45"/>
      <c r="O30" s="45"/>
    </row>
    <row r="32">
      <c r="B32" s="46">
        <f t="shared" ref="B32:M32" si="23">B29+B27</f>
        <v>226216.2567</v>
      </c>
      <c r="C32" s="46">
        <f t="shared" si="23"/>
        <v>354612.9942</v>
      </c>
      <c r="D32" s="46">
        <f t="shared" si="23"/>
        <v>302510.9042</v>
      </c>
      <c r="E32" s="46">
        <f t="shared" si="23"/>
        <v>215951.0342</v>
      </c>
      <c r="F32" s="46">
        <f t="shared" si="23"/>
        <v>304051.8862</v>
      </c>
      <c r="G32" s="46">
        <f t="shared" si="23"/>
        <v>351561.0284</v>
      </c>
      <c r="H32" s="46">
        <f t="shared" si="23"/>
        <v>237894.2036</v>
      </c>
      <c r="I32" s="46">
        <f t="shared" si="23"/>
        <v>196229.3388</v>
      </c>
      <c r="J32" s="46">
        <f t="shared" si="23"/>
        <v>204983.2406</v>
      </c>
      <c r="K32" s="46">
        <f t="shared" si="23"/>
        <v>204836.1422</v>
      </c>
      <c r="L32" s="46">
        <f t="shared" si="23"/>
        <v>123456.2316</v>
      </c>
      <c r="M32" s="46">
        <f t="shared" si="23"/>
        <v>333559.496</v>
      </c>
      <c r="N32" s="80"/>
    </row>
    <row r="33">
      <c r="A33" s="47"/>
      <c r="B33" s="48">
        <f t="shared" ref="B33:M33" si="24">B32/B13</f>
        <v>0.2397254803</v>
      </c>
      <c r="C33" s="48">
        <f t="shared" si="24"/>
        <v>0.3125845123</v>
      </c>
      <c r="D33" s="48">
        <f t="shared" si="24"/>
        <v>0.2914425318</v>
      </c>
      <c r="E33" s="48">
        <f t="shared" si="24"/>
        <v>0.2093131308</v>
      </c>
      <c r="F33" s="48">
        <f t="shared" si="24"/>
        <v>0.2642075347</v>
      </c>
      <c r="G33" s="48">
        <f t="shared" si="24"/>
        <v>0.2798185349</v>
      </c>
      <c r="H33" s="48">
        <f t="shared" si="24"/>
        <v>0.2287791637</v>
      </c>
      <c r="I33" s="48">
        <f t="shared" si="24"/>
        <v>0.2088314113</v>
      </c>
      <c r="J33" s="48">
        <f t="shared" si="24"/>
        <v>0.1968066417</v>
      </c>
      <c r="K33" s="48">
        <f t="shared" si="24"/>
        <v>0.2015494396</v>
      </c>
      <c r="L33" s="48">
        <f t="shared" si="24"/>
        <v>0.1419625983</v>
      </c>
      <c r="M33" s="48">
        <f t="shared" si="24"/>
        <v>0.2654845001</v>
      </c>
    </row>
    <row r="34">
      <c r="A34" s="47"/>
      <c r="B34" s="48"/>
      <c r="C34" s="48"/>
      <c r="D34" s="48"/>
      <c r="E34" s="48"/>
    </row>
    <row r="35">
      <c r="A35" s="9"/>
      <c r="B35" s="48"/>
      <c r="C35" s="48"/>
      <c r="D35" s="48"/>
      <c r="E35" s="48"/>
    </row>
    <row r="36">
      <c r="A36" s="47"/>
      <c r="B36" s="48"/>
      <c r="C36" s="48"/>
      <c r="D36" s="48"/>
      <c r="E36" s="48"/>
    </row>
  </sheetData>
  <mergeCells count="1">
    <mergeCell ref="N1:O1"/>
  </mergeCells>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38"/>
  </cols>
  <sheetData>
    <row r="1">
      <c r="A1" s="1" t="s">
        <v>49</v>
      </c>
      <c r="B1" s="2">
        <v>45748.0</v>
      </c>
      <c r="C1" s="2">
        <v>45778.0</v>
      </c>
      <c r="D1" s="2">
        <v>45809.0</v>
      </c>
      <c r="E1" s="2">
        <v>45839.0</v>
      </c>
      <c r="F1" s="4">
        <v>45870.0</v>
      </c>
      <c r="G1" s="2">
        <v>45901.0</v>
      </c>
      <c r="H1" s="2">
        <v>45931.0</v>
      </c>
      <c r="I1" s="2">
        <v>45962.0</v>
      </c>
      <c r="J1" s="2">
        <v>45992.0</v>
      </c>
      <c r="K1" s="2">
        <v>46023.0</v>
      </c>
      <c r="L1" s="2">
        <v>46054.0</v>
      </c>
      <c r="M1" s="2">
        <v>46082.0</v>
      </c>
      <c r="N1" s="5" t="s">
        <v>5</v>
      </c>
      <c r="O1" s="6"/>
    </row>
    <row r="2">
      <c r="A2" s="7" t="s">
        <v>6</v>
      </c>
      <c r="B2" s="8"/>
      <c r="C2" s="8"/>
      <c r="D2" s="8"/>
      <c r="E2" s="8"/>
      <c r="F2" s="10"/>
      <c r="G2" s="8"/>
      <c r="H2" s="8"/>
      <c r="I2" s="8"/>
      <c r="J2" s="8"/>
      <c r="K2" s="8"/>
      <c r="L2" s="8"/>
      <c r="M2" s="8"/>
      <c r="N2" s="8"/>
      <c r="O2" s="8"/>
    </row>
    <row r="3">
      <c r="A3" s="11" t="s">
        <v>7</v>
      </c>
      <c r="B3" s="79">
        <v>36440.58</v>
      </c>
      <c r="C3" s="14">
        <f t="shared" ref="C3:M3" si="1">B7</f>
        <v>49415</v>
      </c>
      <c r="D3" s="14">
        <f t="shared" si="1"/>
        <v>40894.4</v>
      </c>
      <c r="E3" s="14">
        <f t="shared" si="1"/>
        <v>42081</v>
      </c>
      <c r="F3" s="14">
        <f t="shared" si="1"/>
        <v>51469.27</v>
      </c>
      <c r="G3" s="14">
        <f t="shared" si="1"/>
        <v>33321.05</v>
      </c>
      <c r="H3" s="14">
        <f t="shared" si="1"/>
        <v>54739</v>
      </c>
      <c r="I3" s="14">
        <f t="shared" si="1"/>
        <v>47750.07</v>
      </c>
      <c r="J3" s="14">
        <f t="shared" si="1"/>
        <v>42671.01</v>
      </c>
      <c r="K3" s="14">
        <f t="shared" si="1"/>
        <v>43985</v>
      </c>
      <c r="L3" s="14">
        <f t="shared" si="1"/>
        <v>37461</v>
      </c>
      <c r="M3" s="14">
        <f t="shared" si="1"/>
        <v>31857.94</v>
      </c>
      <c r="N3" s="15">
        <f>+SUM(J3:L3)</f>
        <v>124117.01</v>
      </c>
      <c r="O3" s="18"/>
    </row>
    <row r="4">
      <c r="A4" s="11" t="s">
        <v>9</v>
      </c>
      <c r="B4" s="17">
        <v>308394.42</v>
      </c>
      <c r="C4" s="17">
        <v>295315.3</v>
      </c>
      <c r="D4" s="17">
        <v>321515.25</v>
      </c>
      <c r="E4" s="17">
        <v>336278.42</v>
      </c>
      <c r="F4" s="17">
        <v>337683.0</v>
      </c>
      <c r="G4" s="17">
        <v>383106.07</v>
      </c>
      <c r="H4" s="14">
        <f>331066.51</f>
        <v>331066.51</v>
      </c>
      <c r="I4" s="17">
        <v>277556.23</v>
      </c>
      <c r="J4" s="17">
        <v>290604.0</v>
      </c>
      <c r="K4" s="14">
        <f>536818.18-223052.95</f>
        <v>313765.23</v>
      </c>
      <c r="L4" s="17">
        <v>316636.84</v>
      </c>
      <c r="M4" s="17">
        <v>387548.22</v>
      </c>
      <c r="N4" s="15">
        <f>sum(B4:M4)</f>
        <v>3899469.49</v>
      </c>
      <c r="O4" s="18"/>
    </row>
    <row r="5">
      <c r="A5" s="11" t="s">
        <v>10</v>
      </c>
      <c r="B5" s="17">
        <v>131.1</v>
      </c>
      <c r="C5" s="17">
        <v>1424.03</v>
      </c>
      <c r="D5" s="17">
        <v>594.78</v>
      </c>
      <c r="E5" s="17">
        <v>0.0</v>
      </c>
      <c r="F5" s="17">
        <v>75.43</v>
      </c>
      <c r="G5" s="17">
        <v>164.54</v>
      </c>
      <c r="H5" s="17">
        <v>0.0</v>
      </c>
      <c r="I5" s="17">
        <v>184.73</v>
      </c>
      <c r="J5" s="17">
        <v>0.0</v>
      </c>
      <c r="K5" s="17">
        <v>100.61</v>
      </c>
      <c r="L5" s="17">
        <v>342.65</v>
      </c>
      <c r="M5" s="17">
        <v>40.42</v>
      </c>
      <c r="N5" s="15">
        <f t="shared" ref="N5:N6" si="2">+SUM(J5:L5)</f>
        <v>443.26</v>
      </c>
      <c r="O5" s="18"/>
    </row>
    <row r="6">
      <c r="A6" s="11" t="s">
        <v>11</v>
      </c>
      <c r="B6" s="17">
        <v>12170.41</v>
      </c>
      <c r="C6" s="17">
        <v>10003.02</v>
      </c>
      <c r="D6" s="17">
        <v>9402.75</v>
      </c>
      <c r="E6" s="17">
        <v>10940.0</v>
      </c>
      <c r="F6" s="17">
        <v>13602.0</v>
      </c>
      <c r="G6" s="17">
        <v>13310.96</v>
      </c>
      <c r="H6" s="17">
        <v>11634.49</v>
      </c>
      <c r="I6" s="17">
        <v>13128.0</v>
      </c>
      <c r="J6" s="17">
        <v>12489.6</v>
      </c>
      <c r="K6" s="17">
        <v>13026.0</v>
      </c>
      <c r="L6" s="17">
        <v>12641.68</v>
      </c>
      <c r="M6" s="17">
        <v>16962.73</v>
      </c>
      <c r="N6" s="15">
        <f t="shared" si="2"/>
        <v>38157.28</v>
      </c>
      <c r="O6" s="18"/>
    </row>
    <row r="7">
      <c r="A7" s="11" t="s">
        <v>12</v>
      </c>
      <c r="B7" s="17">
        <v>49415.0</v>
      </c>
      <c r="C7" s="17">
        <v>40894.4</v>
      </c>
      <c r="D7" s="17">
        <v>42081.0</v>
      </c>
      <c r="E7" s="17">
        <v>51469.27</v>
      </c>
      <c r="F7" s="17">
        <v>33321.05</v>
      </c>
      <c r="G7" s="17">
        <v>54739.0</v>
      </c>
      <c r="H7" s="17">
        <v>47750.07</v>
      </c>
      <c r="I7" s="17">
        <v>42671.01</v>
      </c>
      <c r="J7" s="17">
        <v>43985.0</v>
      </c>
      <c r="K7" s="17">
        <v>37461.0</v>
      </c>
      <c r="L7" s="17">
        <v>31857.94</v>
      </c>
      <c r="M7" s="17">
        <v>34825.91</v>
      </c>
      <c r="N7" s="15">
        <f>sum(B7:M7)</f>
        <v>510470.65</v>
      </c>
      <c r="O7" s="18"/>
    </row>
    <row r="8">
      <c r="A8" s="8"/>
      <c r="B8" s="8"/>
      <c r="C8" s="8"/>
      <c r="D8" s="8"/>
      <c r="E8" s="8"/>
      <c r="F8" s="10"/>
      <c r="G8" s="8"/>
      <c r="H8" s="8"/>
      <c r="I8" s="8"/>
      <c r="J8" s="8"/>
      <c r="K8" s="8"/>
      <c r="L8" s="8"/>
      <c r="M8" s="8"/>
      <c r="N8" s="8"/>
      <c r="O8" s="8"/>
    </row>
    <row r="9">
      <c r="A9" s="19" t="s">
        <v>13</v>
      </c>
      <c r="B9" s="14">
        <f>1270719.95*1.05+22353.25*1.05</f>
        <v>1357726.86</v>
      </c>
      <c r="C9" s="14">
        <f>1244511.96*1.05+23630.1*1.05</f>
        <v>1331549.163</v>
      </c>
      <c r="D9" s="14">
        <f>1307750.68*1.05+27958.39*1.05</f>
        <v>1402494.524</v>
      </c>
      <c r="E9" s="14">
        <f>1302085.47*1.05+25893.55*1.05</f>
        <v>1394377.971</v>
      </c>
      <c r="F9" s="14">
        <f>1346577.17*1.05+30977.61*1.05</f>
        <v>1446432.519</v>
      </c>
      <c r="G9" s="14">
        <f>1621687.54*1.05</f>
        <v>1702771.917</v>
      </c>
      <c r="H9" s="14">
        <f>1390378.98*1.05+34379.15*1.05</f>
        <v>1495996.037</v>
      </c>
      <c r="I9" s="14">
        <f>1145895.82*1.05+27855.51*1.05</f>
        <v>1232438.897</v>
      </c>
      <c r="J9" s="14">
        <f>1182232.01*1.05+22743.06*1.05</f>
        <v>1265223.824</v>
      </c>
      <c r="K9" s="14">
        <f>1280269.71*1.05+27583.42*1.05</f>
        <v>1373245.787</v>
      </c>
      <c r="L9" s="14">
        <f>1217226.46*1.05+29997.05*1.05</f>
        <v>1309584.686</v>
      </c>
      <c r="M9" s="14">
        <f>1466810.85*1.05+36183.74*1.05</f>
        <v>1578144.32</v>
      </c>
      <c r="N9" s="15">
        <f t="shared" ref="N9:N12" si="3">+SUM(B9:M9)</f>
        <v>16889986.5</v>
      </c>
      <c r="O9" s="18"/>
    </row>
    <row r="10">
      <c r="A10" s="19" t="s">
        <v>14</v>
      </c>
      <c r="B10" s="17">
        <v>0.0</v>
      </c>
      <c r="C10" s="17">
        <v>0.0</v>
      </c>
      <c r="D10" s="17">
        <v>0.0</v>
      </c>
      <c r="E10" s="17">
        <v>0.0</v>
      </c>
      <c r="F10" s="17">
        <v>0.0</v>
      </c>
      <c r="G10" s="17">
        <v>0.0</v>
      </c>
      <c r="H10" s="17">
        <v>0.0</v>
      </c>
      <c r="I10" s="17">
        <v>0.0</v>
      </c>
      <c r="J10" s="17">
        <v>0.0</v>
      </c>
      <c r="K10" s="17">
        <v>0.0</v>
      </c>
      <c r="L10" s="17">
        <v>0.0</v>
      </c>
      <c r="M10" s="17">
        <v>0.0</v>
      </c>
      <c r="N10" s="15">
        <f t="shared" si="3"/>
        <v>0</v>
      </c>
      <c r="O10" s="18"/>
    </row>
    <row r="11">
      <c r="A11" s="19" t="s">
        <v>15</v>
      </c>
      <c r="B11" s="14">
        <f t="shared" ref="B11:M11" si="4">(B9+B10)/1.05*0.05</f>
        <v>64653.66</v>
      </c>
      <c r="C11" s="14">
        <f t="shared" si="4"/>
        <v>63407.103</v>
      </c>
      <c r="D11" s="14">
        <f t="shared" si="4"/>
        <v>66785.4535</v>
      </c>
      <c r="E11" s="14">
        <f t="shared" si="4"/>
        <v>66398.951</v>
      </c>
      <c r="F11" s="14">
        <f t="shared" si="4"/>
        <v>68877.739</v>
      </c>
      <c r="G11" s="14">
        <f t="shared" si="4"/>
        <v>81084.377</v>
      </c>
      <c r="H11" s="14">
        <f t="shared" si="4"/>
        <v>71237.9065</v>
      </c>
      <c r="I11" s="14">
        <f t="shared" si="4"/>
        <v>58687.5665</v>
      </c>
      <c r="J11" s="14">
        <f t="shared" si="4"/>
        <v>60248.7535</v>
      </c>
      <c r="K11" s="14">
        <f t="shared" si="4"/>
        <v>65392.6565</v>
      </c>
      <c r="L11" s="14">
        <f t="shared" si="4"/>
        <v>62361.1755</v>
      </c>
      <c r="M11" s="14">
        <f t="shared" si="4"/>
        <v>75149.7295</v>
      </c>
      <c r="N11" s="15">
        <f t="shared" si="3"/>
        <v>804285.0715</v>
      </c>
      <c r="O11" s="18"/>
    </row>
    <row r="12">
      <c r="A12" s="19" t="s">
        <v>17</v>
      </c>
      <c r="B12" s="14">
        <f>479.58+51367.71+86.32+9246.18+55269.02+9948.44+9048.76</f>
        <v>135446.01</v>
      </c>
      <c r="C12" s="14">
        <f>9871.66+54842.53+43084.1+7755.1+190.83+12164.37+11895+2189.59</f>
        <v>141993.18</v>
      </c>
      <c r="D12" s="14">
        <f>64694.81+11645.07+44509.21+6559.24+20443.33+3679.81</f>
        <v>151531.47</v>
      </c>
      <c r="E12" s="14">
        <f>59988.85+10798+59059.59+10630.77+581.3+9609+2.6+1727</f>
        <v>152397.11</v>
      </c>
      <c r="F12" s="14">
        <f>47382.18+8528.8+72145+12986.1+18591.98</f>
        <v>159634.06</v>
      </c>
      <c r="G12" s="14">
        <f>78306.73*1.18+754.85*1.18+63908.06*1.18</f>
        <v>168704.1752</v>
      </c>
      <c r="H12" s="14">
        <f>79302.24*1.18+55153.36*1.18+281.38*1.18+11011.05*1.18</f>
        <v>171982.6754</v>
      </c>
      <c r="I12" s="14">
        <f>64821.17*1.18+46755.46*1.18+1264*1.18</f>
        <v>133151.9434</v>
      </c>
      <c r="J12" s="14">
        <f>(52490.73+588.93)*1.18+56023.17*1.18+1443.92*1.18</f>
        <v>130445.165</v>
      </c>
      <c r="K12" s="14">
        <f>63705.75*1.18+1438.62*1.18+58417.73*1.18</f>
        <v>145803.278</v>
      </c>
      <c r="L12" s="14">
        <f>81583.94+24880.78+30837.25+101.22+4448.64+18.2</f>
        <v>141870.03</v>
      </c>
      <c r="M12" s="14">
        <f>84283.41*1.18+46278.27*1.18+950.17*1.18+146.83*1.18+22928.16*1.18</f>
        <v>182412.4712</v>
      </c>
      <c r="N12" s="15">
        <f t="shared" si="3"/>
        <v>1815371.568</v>
      </c>
      <c r="O12" s="18"/>
    </row>
    <row r="13">
      <c r="A13" s="21" t="s">
        <v>19</v>
      </c>
      <c r="B13" s="22">
        <f t="shared" ref="B13:M13" si="5">B9+B10-B11-B12</f>
        <v>1157627.19</v>
      </c>
      <c r="C13" s="22">
        <f t="shared" si="5"/>
        <v>1126148.88</v>
      </c>
      <c r="D13" s="22">
        <f t="shared" si="5"/>
        <v>1184177.6</v>
      </c>
      <c r="E13" s="22">
        <f t="shared" si="5"/>
        <v>1175581.91</v>
      </c>
      <c r="F13" s="23">
        <f t="shared" si="5"/>
        <v>1217920.72</v>
      </c>
      <c r="G13" s="23">
        <f t="shared" si="5"/>
        <v>1452983.365</v>
      </c>
      <c r="H13" s="22">
        <f t="shared" si="5"/>
        <v>1252775.455</v>
      </c>
      <c r="I13" s="22">
        <f t="shared" si="5"/>
        <v>1040599.387</v>
      </c>
      <c r="J13" s="22">
        <f t="shared" si="5"/>
        <v>1074529.905</v>
      </c>
      <c r="K13" s="22">
        <f t="shared" si="5"/>
        <v>1162049.852</v>
      </c>
      <c r="L13" s="22">
        <f t="shared" si="5"/>
        <v>1105353.48</v>
      </c>
      <c r="M13" s="22">
        <f t="shared" si="5"/>
        <v>1320582.119</v>
      </c>
      <c r="N13" s="22">
        <f t="shared" ref="N13:N29" si="7">sum(B13:M13)</f>
        <v>14270329.86</v>
      </c>
      <c r="O13" s="24"/>
    </row>
    <row r="14">
      <c r="A14" s="19" t="s">
        <v>20</v>
      </c>
      <c r="B14" s="26">
        <f t="shared" ref="B14:M14" si="6">+B3+B4-B5-B7</f>
        <v>295288.9</v>
      </c>
      <c r="C14" s="26">
        <f t="shared" si="6"/>
        <v>302411.87</v>
      </c>
      <c r="D14" s="26">
        <f t="shared" si="6"/>
        <v>319733.87</v>
      </c>
      <c r="E14" s="26">
        <f t="shared" si="6"/>
        <v>326890.15</v>
      </c>
      <c r="F14" s="26">
        <f t="shared" si="6"/>
        <v>355755.79</v>
      </c>
      <c r="G14" s="26">
        <f t="shared" si="6"/>
        <v>361523.58</v>
      </c>
      <c r="H14" s="26">
        <f t="shared" si="6"/>
        <v>338055.44</v>
      </c>
      <c r="I14" s="26">
        <f t="shared" si="6"/>
        <v>282450.56</v>
      </c>
      <c r="J14" s="26">
        <f t="shared" si="6"/>
        <v>289290.01</v>
      </c>
      <c r="K14" s="26">
        <f t="shared" si="6"/>
        <v>320188.62</v>
      </c>
      <c r="L14" s="26">
        <f t="shared" si="6"/>
        <v>321897.25</v>
      </c>
      <c r="M14" s="26">
        <f t="shared" si="6"/>
        <v>384539.83</v>
      </c>
      <c r="N14" s="15">
        <f t="shared" si="7"/>
        <v>3898025.87</v>
      </c>
      <c r="O14" s="27">
        <f t="shared" ref="O14:O29" si="8">N14/$N$13</f>
        <v>0.2731559752</v>
      </c>
    </row>
    <row r="15">
      <c r="A15" s="19" t="s">
        <v>21</v>
      </c>
      <c r="B15" s="78">
        <v>51330.24</v>
      </c>
      <c r="C15" s="78">
        <v>63439.76</v>
      </c>
      <c r="D15" s="17">
        <v>61760.0</v>
      </c>
      <c r="E15" s="17">
        <v>66750.0</v>
      </c>
      <c r="F15" s="17">
        <v>58410.0</v>
      </c>
      <c r="G15" s="17">
        <v>73620.0</v>
      </c>
      <c r="H15" s="17">
        <v>51020.0</v>
      </c>
      <c r="I15" s="17">
        <v>40220.0</v>
      </c>
      <c r="J15" s="17">
        <v>37450.0</v>
      </c>
      <c r="K15" s="14">
        <f>41380</f>
        <v>41380</v>
      </c>
      <c r="L15" s="17">
        <v>62640.0</v>
      </c>
      <c r="M15" s="17">
        <f>60290</f>
        <v>60290</v>
      </c>
      <c r="N15" s="15">
        <f t="shared" si="7"/>
        <v>668310</v>
      </c>
      <c r="O15" s="27">
        <f t="shared" si="8"/>
        <v>0.04683213398</v>
      </c>
    </row>
    <row r="16">
      <c r="A16" s="19" t="s">
        <v>22</v>
      </c>
      <c r="B16" s="14">
        <f t="shared" ref="B16:C16" si="9">352.82+4250/12</f>
        <v>706.9866667</v>
      </c>
      <c r="C16" s="14">
        <f t="shared" si="9"/>
        <v>706.9866667</v>
      </c>
      <c r="D16" s="14">
        <f>4250/12+352.82</f>
        <v>706.9866667</v>
      </c>
      <c r="E16" s="14">
        <f>4250/12+353</f>
        <v>707.1666667</v>
      </c>
      <c r="F16" s="14">
        <f t="shared" ref="F16:H16" si="10">4250/12+2478/4+352.82</f>
        <v>1326.486667</v>
      </c>
      <c r="G16" s="14">
        <f t="shared" si="10"/>
        <v>1326.486667</v>
      </c>
      <c r="H16" s="14">
        <f t="shared" si="10"/>
        <v>1326.486667</v>
      </c>
      <c r="I16" s="14">
        <f t="shared" ref="I16:M16" si="11">4250/12+352.82</f>
        <v>706.9866667</v>
      </c>
      <c r="J16" s="14">
        <f t="shared" si="11"/>
        <v>706.9866667</v>
      </c>
      <c r="K16" s="14">
        <f t="shared" si="11"/>
        <v>706.9866667</v>
      </c>
      <c r="L16" s="14">
        <f t="shared" si="11"/>
        <v>706.9866667</v>
      </c>
      <c r="M16" s="14">
        <f t="shared" si="11"/>
        <v>706.9866667</v>
      </c>
      <c r="N16" s="15">
        <f t="shared" si="7"/>
        <v>10342.52</v>
      </c>
      <c r="O16" s="27">
        <f t="shared" si="8"/>
        <v>0.0007247568977</v>
      </c>
    </row>
    <row r="17">
      <c r="A17" s="19" t="s">
        <v>23</v>
      </c>
      <c r="B17" s="14">
        <f>29044</f>
        <v>29044</v>
      </c>
      <c r="C17" s="17">
        <v>28756.0</v>
      </c>
      <c r="D17" s="17">
        <v>28322.0</v>
      </c>
      <c r="E17" s="17">
        <v>33789.0</v>
      </c>
      <c r="F17" s="14">
        <f>28341</f>
        <v>28341</v>
      </c>
      <c r="G17" s="17">
        <v>33528.0</v>
      </c>
      <c r="H17" s="17">
        <v>30810.0</v>
      </c>
      <c r="I17" s="17">
        <v>29146.0</v>
      </c>
      <c r="J17" s="17">
        <v>33528.0</v>
      </c>
      <c r="K17" s="17">
        <v>35970.0</v>
      </c>
      <c r="L17" s="14">
        <f>35375</f>
        <v>35375</v>
      </c>
      <c r="M17" s="14">
        <f>11368+9*3556</f>
        <v>43372</v>
      </c>
      <c r="N17" s="15">
        <f t="shared" si="7"/>
        <v>389981</v>
      </c>
      <c r="O17" s="27">
        <f t="shared" si="8"/>
        <v>0.0273280999</v>
      </c>
    </row>
    <row r="18">
      <c r="A18" s="19" t="s">
        <v>24</v>
      </c>
      <c r="B18" s="14">
        <f t="shared" ref="B18:F18" si="12">153400</f>
        <v>153400</v>
      </c>
      <c r="C18" s="14">
        <f t="shared" si="12"/>
        <v>153400</v>
      </c>
      <c r="D18" s="14">
        <f t="shared" si="12"/>
        <v>153400</v>
      </c>
      <c r="E18" s="14">
        <f t="shared" si="12"/>
        <v>153400</v>
      </c>
      <c r="F18" s="14">
        <f t="shared" si="12"/>
        <v>153400</v>
      </c>
      <c r="G18" s="14">
        <f t="shared" ref="G18:H18" si="13">153400+12272/2</f>
        <v>159536</v>
      </c>
      <c r="H18" s="14">
        <f t="shared" si="13"/>
        <v>159536</v>
      </c>
      <c r="I18" s="17">
        <v>159536.0</v>
      </c>
      <c r="J18" s="17">
        <v>159536.0</v>
      </c>
      <c r="K18" s="17">
        <v>159536.0</v>
      </c>
      <c r="L18" s="17">
        <v>159536.0</v>
      </c>
      <c r="M18" s="17">
        <v>159536.0</v>
      </c>
      <c r="N18" s="15">
        <f t="shared" si="7"/>
        <v>1883752</v>
      </c>
      <c r="O18" s="27">
        <f t="shared" si="8"/>
        <v>0.1320047972</v>
      </c>
    </row>
    <row r="19">
      <c r="A19" s="19" t="s">
        <v>25</v>
      </c>
      <c r="B19" s="17">
        <v>5767.0</v>
      </c>
      <c r="C19" s="17">
        <v>5767.0</v>
      </c>
      <c r="D19" s="17">
        <v>5767.0</v>
      </c>
      <c r="E19" s="17">
        <v>5767.0</v>
      </c>
      <c r="F19" s="17">
        <v>5767.0</v>
      </c>
      <c r="G19" s="17">
        <f t="shared" ref="G19:M19" si="14">76228/12</f>
        <v>6352.333333</v>
      </c>
      <c r="H19" s="17">
        <f t="shared" si="14"/>
        <v>6352.333333</v>
      </c>
      <c r="I19" s="17">
        <f t="shared" si="14"/>
        <v>6352.333333</v>
      </c>
      <c r="J19" s="17">
        <f t="shared" si="14"/>
        <v>6352.333333</v>
      </c>
      <c r="K19" s="17">
        <f t="shared" si="14"/>
        <v>6352.333333</v>
      </c>
      <c r="L19" s="17">
        <f t="shared" si="14"/>
        <v>6352.333333</v>
      </c>
      <c r="M19" s="17">
        <f t="shared" si="14"/>
        <v>6352.333333</v>
      </c>
      <c r="N19" s="15">
        <f t="shared" si="7"/>
        <v>73301.33333</v>
      </c>
      <c r="O19" s="27">
        <f t="shared" si="8"/>
        <v>0.005136625015</v>
      </c>
    </row>
    <row r="20">
      <c r="A20" s="20" t="s">
        <v>42</v>
      </c>
      <c r="B20" s="14">
        <f>181879.05+3100+86142/12</f>
        <v>192157.55</v>
      </c>
      <c r="C20" s="14">
        <f>195123+3100+580+86142/12</f>
        <v>205981.5</v>
      </c>
      <c r="D20" s="14">
        <f>115638.89+48039.32+3621.2+3100+86142/12</f>
        <v>177577.91</v>
      </c>
      <c r="E20" s="14">
        <f>188303+3100+86142/12</f>
        <v>198581.5</v>
      </c>
      <c r="F20" s="14">
        <f>3100+550+176634.84+86142/12</f>
        <v>187463.34</v>
      </c>
      <c r="G20" s="14">
        <f>203262+86142/12+3100</f>
        <v>213540.5</v>
      </c>
      <c r="H20" s="14">
        <f>86142/12+162254.59+3100+540</f>
        <v>173073.09</v>
      </c>
      <c r="I20" s="14">
        <f>86142/12+180584+3530</f>
        <v>191292.5</v>
      </c>
      <c r="J20" s="14">
        <f>86142/12+173716+3100</f>
        <v>183994.5</v>
      </c>
      <c r="K20" s="14">
        <f>86142/12+3100+152293</f>
        <v>162571.5</v>
      </c>
      <c r="L20" s="14">
        <f>86142/12+3100+161450</f>
        <v>171728.5</v>
      </c>
      <c r="M20" s="14">
        <f>86142/12+3100+153008</f>
        <v>163286.5</v>
      </c>
      <c r="N20" s="15">
        <f t="shared" si="7"/>
        <v>2221248.89</v>
      </c>
      <c r="O20" s="27">
        <f t="shared" si="8"/>
        <v>0.1556550487</v>
      </c>
    </row>
    <row r="21">
      <c r="A21" s="11" t="s">
        <v>27</v>
      </c>
      <c r="B21" s="17">
        <f>1200+2360+2360+18032/12</f>
        <v>7422.666667</v>
      </c>
      <c r="C21" s="17">
        <f>9840+2360+2478+18032/12</f>
        <v>16180.66667</v>
      </c>
      <c r="D21" s="14">
        <f>2478+2360+2360+1200+18032/12</f>
        <v>9900.666667</v>
      </c>
      <c r="E21" s="14">
        <f>2360+1200+2478+2360+18032/12</f>
        <v>9900.666667</v>
      </c>
      <c r="F21" s="14">
        <f>1200+2478+2360+2360+18032/12</f>
        <v>9900.666667</v>
      </c>
      <c r="G21" s="14">
        <f>18032/12+2360+2360+2478+1200</f>
        <v>9900.666667</v>
      </c>
      <c r="H21" s="14">
        <f>18032/12+2360+2478+2360</f>
        <v>8700.666667</v>
      </c>
      <c r="I21" s="14">
        <f>18032/12+2360+2360+2478</f>
        <v>8700.666667</v>
      </c>
      <c r="J21" s="14">
        <f>18032/12+1200+4838+2360</f>
        <v>9900.666667</v>
      </c>
      <c r="K21" s="14">
        <f>18032/12+2360+1200+2360+2478</f>
        <v>9900.666667</v>
      </c>
      <c r="L21" s="14">
        <f>18032/12+1200+2596+2478+2360</f>
        <v>10136.66667</v>
      </c>
      <c r="M21" s="14">
        <f>18032/12+2360+1650+2596+2478</f>
        <v>10586.66667</v>
      </c>
      <c r="N21" s="15">
        <f t="shared" si="7"/>
        <v>121132</v>
      </c>
      <c r="O21" s="27">
        <f t="shared" si="8"/>
        <v>0.00848838122</v>
      </c>
    </row>
    <row r="22">
      <c r="A22" s="32" t="s">
        <v>28</v>
      </c>
      <c r="B22" s="14">
        <f t="shared" ref="B22:D22" si="15">2124/3+9813/12+6372/12</f>
        <v>2056.75</v>
      </c>
      <c r="C22" s="14">
        <f t="shared" si="15"/>
        <v>2056.75</v>
      </c>
      <c r="D22" s="14">
        <f t="shared" si="15"/>
        <v>2056.75</v>
      </c>
      <c r="E22" s="14">
        <f>9813/12+6372/12+2124/3+9000/3</f>
        <v>5056.75</v>
      </c>
      <c r="F22" s="14">
        <f t="shared" ref="F22:J22" si="16">9813/12+6372/12+2124/3</f>
        <v>2056.75</v>
      </c>
      <c r="G22" s="14">
        <f t="shared" si="16"/>
        <v>2056.75</v>
      </c>
      <c r="H22" s="14">
        <f t="shared" si="16"/>
        <v>2056.75</v>
      </c>
      <c r="I22" s="14">
        <f t="shared" si="16"/>
        <v>2056.75</v>
      </c>
      <c r="J22" s="14">
        <f t="shared" si="16"/>
        <v>2056.75</v>
      </c>
      <c r="K22" s="14">
        <f t="shared" ref="K22:M22" si="17">9813/12+6372/12+3271.32/3+9000/3</f>
        <v>5439.19</v>
      </c>
      <c r="L22" s="14">
        <f t="shared" si="17"/>
        <v>5439.19</v>
      </c>
      <c r="M22" s="14">
        <f t="shared" si="17"/>
        <v>5439.19</v>
      </c>
      <c r="N22" s="15">
        <f t="shared" si="7"/>
        <v>37828.32</v>
      </c>
      <c r="O22" s="27">
        <f t="shared" si="8"/>
        <v>0.002650837112</v>
      </c>
    </row>
    <row r="23">
      <c r="A23" s="20" t="s">
        <v>29</v>
      </c>
      <c r="B23" s="33">
        <v>0.0</v>
      </c>
      <c r="C23" s="34">
        <f t="shared" ref="C23:M23" si="18">12930.58/12</f>
        <v>1077.548333</v>
      </c>
      <c r="D23" s="34">
        <f t="shared" si="18"/>
        <v>1077.548333</v>
      </c>
      <c r="E23" s="34">
        <f t="shared" si="18"/>
        <v>1077.548333</v>
      </c>
      <c r="F23" s="34">
        <f t="shared" si="18"/>
        <v>1077.548333</v>
      </c>
      <c r="G23" s="34">
        <f t="shared" si="18"/>
        <v>1077.548333</v>
      </c>
      <c r="H23" s="34">
        <f t="shared" si="18"/>
        <v>1077.548333</v>
      </c>
      <c r="I23" s="34">
        <f t="shared" si="18"/>
        <v>1077.548333</v>
      </c>
      <c r="J23" s="34">
        <f t="shared" si="18"/>
        <v>1077.548333</v>
      </c>
      <c r="K23" s="34">
        <f t="shared" si="18"/>
        <v>1077.548333</v>
      </c>
      <c r="L23" s="34">
        <f t="shared" si="18"/>
        <v>1077.548333</v>
      </c>
      <c r="M23" s="34">
        <f t="shared" si="18"/>
        <v>1077.548333</v>
      </c>
      <c r="N23" s="15">
        <f t="shared" si="7"/>
        <v>11853.03167</v>
      </c>
      <c r="O23" s="27">
        <f t="shared" si="8"/>
        <v>0.0008306067051</v>
      </c>
    </row>
    <row r="24">
      <c r="A24" s="19" t="s">
        <v>30</v>
      </c>
      <c r="B24" s="33">
        <v>680.0</v>
      </c>
      <c r="C24" s="33">
        <v>660.0</v>
      </c>
      <c r="D24" s="34">
        <f>25960/12+8258.38</f>
        <v>10421.71333</v>
      </c>
      <c r="E24" s="34">
        <f>25960/12</f>
        <v>2163.333333</v>
      </c>
      <c r="F24" s="34">
        <f>25960/12+700</f>
        <v>2863.333333</v>
      </c>
      <c r="G24" s="34">
        <f>25960/12+6400</f>
        <v>8563.333333</v>
      </c>
      <c r="H24" s="34">
        <f>25960/12+11760</f>
        <v>13923.33333</v>
      </c>
      <c r="I24" s="34">
        <f>25960/12+11682</f>
        <v>13845.33333</v>
      </c>
      <c r="J24" s="34">
        <f>25960/12</f>
        <v>2163.333333</v>
      </c>
      <c r="K24" s="34">
        <f>25960/12+1050</f>
        <v>3213.333333</v>
      </c>
      <c r="L24" s="34">
        <f>25960/12+4558</f>
        <v>6721.333333</v>
      </c>
      <c r="M24" s="34">
        <f>25960/12+7313</f>
        <v>9476.333333</v>
      </c>
      <c r="N24" s="15">
        <f t="shared" si="7"/>
        <v>74694.71333</v>
      </c>
      <c r="O24" s="27">
        <f t="shared" si="8"/>
        <v>0.005234266766</v>
      </c>
    </row>
    <row r="25">
      <c r="A25" s="19" t="s">
        <v>31</v>
      </c>
      <c r="B25" s="14">
        <f>5777.39</f>
        <v>5777.39</v>
      </c>
      <c r="C25" s="17">
        <v>42009.75</v>
      </c>
      <c r="D25" s="17">
        <v>13918.0</v>
      </c>
      <c r="E25" s="17">
        <v>16483.0</v>
      </c>
      <c r="F25" s="14">
        <f>8309.86</f>
        <v>8309.86</v>
      </c>
      <c r="G25" s="17">
        <v>34914.49</v>
      </c>
      <c r="H25" s="17">
        <v>31975.55</v>
      </c>
      <c r="I25" s="17">
        <v>33725.27</v>
      </c>
      <c r="J25" s="14">
        <f>30083.5</f>
        <v>30083.5</v>
      </c>
      <c r="K25" s="17">
        <v>26820.0</v>
      </c>
      <c r="L25" s="17">
        <v>10041.0</v>
      </c>
      <c r="M25" s="17">
        <f>16575</f>
        <v>16575</v>
      </c>
      <c r="N25" s="15">
        <f t="shared" si="7"/>
        <v>270632.81</v>
      </c>
      <c r="O25" s="27">
        <f t="shared" si="8"/>
        <v>0.01896471999</v>
      </c>
    </row>
    <row r="26">
      <c r="A26" s="19" t="s">
        <v>32</v>
      </c>
      <c r="B26" s="14"/>
      <c r="C26" s="14"/>
      <c r="D26" s="14"/>
      <c r="E26" s="14"/>
      <c r="F26" s="14"/>
      <c r="G26" s="14"/>
      <c r="H26" s="14"/>
      <c r="I26" s="14"/>
      <c r="J26" s="14"/>
      <c r="K26" s="14"/>
      <c r="L26" s="14"/>
      <c r="M26" s="14"/>
      <c r="N26" s="15">
        <f t="shared" si="7"/>
        <v>0</v>
      </c>
      <c r="O26" s="27">
        <f t="shared" si="8"/>
        <v>0</v>
      </c>
    </row>
    <row r="27">
      <c r="A27" s="19" t="s">
        <v>33</v>
      </c>
      <c r="B27" s="14">
        <f>HO!D34</f>
        <v>234799.149</v>
      </c>
      <c r="C27" s="14">
        <f>HO!H34</f>
        <v>226298.7677</v>
      </c>
      <c r="D27" s="14">
        <f>HO!L34</f>
        <v>235529.04</v>
      </c>
      <c r="E27" s="14">
        <f>HO!P34</f>
        <v>251451.1532</v>
      </c>
      <c r="F27" s="14">
        <f>HO!D53</f>
        <v>238913.8574</v>
      </c>
      <c r="G27" s="14">
        <f>HO!H53</f>
        <v>312502.0166</v>
      </c>
      <c r="H27" s="14">
        <f>HO!L53</f>
        <v>241422.5673</v>
      </c>
      <c r="I27" s="14">
        <f>HO!P53</f>
        <v>224505.6598</v>
      </c>
      <c r="J27" s="14">
        <f>HO!D72</f>
        <v>202336.4692</v>
      </c>
      <c r="K27" s="14">
        <f>HO!H72</f>
        <v>226485.692</v>
      </c>
      <c r="L27" s="14">
        <f>HO!L72</f>
        <v>231259.6497</v>
      </c>
      <c r="M27" s="14">
        <f>HO!P72</f>
        <v>243211.2804</v>
      </c>
      <c r="N27" s="15">
        <f t="shared" si="7"/>
        <v>2868715.302</v>
      </c>
      <c r="O27" s="27">
        <f t="shared" si="8"/>
        <v>0.2010265586</v>
      </c>
    </row>
    <row r="28">
      <c r="A28" s="35" t="s">
        <v>34</v>
      </c>
      <c r="B28" s="36">
        <f t="shared" ref="B28:M28" si="19">+SUM(B14:B27)</f>
        <v>978430.6324</v>
      </c>
      <c r="C28" s="36">
        <f t="shared" si="19"/>
        <v>1048746.599</v>
      </c>
      <c r="D28" s="36">
        <f t="shared" si="19"/>
        <v>1020171.485</v>
      </c>
      <c r="E28" s="36">
        <f t="shared" si="19"/>
        <v>1072017.268</v>
      </c>
      <c r="F28" s="37">
        <f t="shared" si="19"/>
        <v>1053585.632</v>
      </c>
      <c r="G28" s="36">
        <f t="shared" si="19"/>
        <v>1218441.705</v>
      </c>
      <c r="H28" s="36">
        <f t="shared" si="19"/>
        <v>1059329.766</v>
      </c>
      <c r="I28" s="36">
        <f t="shared" si="19"/>
        <v>993615.6081</v>
      </c>
      <c r="J28" s="36">
        <f t="shared" si="19"/>
        <v>958476.0975</v>
      </c>
      <c r="K28" s="36">
        <f t="shared" si="19"/>
        <v>999641.8703</v>
      </c>
      <c r="L28" s="36">
        <f t="shared" si="19"/>
        <v>1022911.458</v>
      </c>
      <c r="M28" s="36">
        <f t="shared" si="19"/>
        <v>1104449.669</v>
      </c>
      <c r="N28" s="36">
        <f t="shared" si="7"/>
        <v>12529817.79</v>
      </c>
      <c r="O28" s="38">
        <f t="shared" si="8"/>
        <v>0.8780328074</v>
      </c>
    </row>
    <row r="29">
      <c r="A29" s="39" t="s">
        <v>35</v>
      </c>
      <c r="B29" s="40">
        <f t="shared" ref="B29:M29" si="20">B13-B28</f>
        <v>179196.5576</v>
      </c>
      <c r="C29" s="40">
        <f t="shared" si="20"/>
        <v>77402.28059</v>
      </c>
      <c r="D29" s="40">
        <f t="shared" si="20"/>
        <v>164006.115</v>
      </c>
      <c r="E29" s="40">
        <f t="shared" si="20"/>
        <v>103564.6418</v>
      </c>
      <c r="F29" s="40">
        <f t="shared" si="20"/>
        <v>164335.0876</v>
      </c>
      <c r="G29" s="40">
        <f t="shared" si="20"/>
        <v>234541.6598</v>
      </c>
      <c r="H29" s="40">
        <f t="shared" si="20"/>
        <v>193445.6889</v>
      </c>
      <c r="I29" s="40">
        <f t="shared" si="20"/>
        <v>46983.77849</v>
      </c>
      <c r="J29" s="40">
        <f t="shared" si="20"/>
        <v>116053.8075</v>
      </c>
      <c r="K29" s="40">
        <f t="shared" si="20"/>
        <v>162407.9817</v>
      </c>
      <c r="L29" s="40">
        <f t="shared" si="20"/>
        <v>82442.02193</v>
      </c>
      <c r="M29" s="40">
        <f t="shared" si="20"/>
        <v>216132.4501</v>
      </c>
      <c r="N29" s="40">
        <f t="shared" si="7"/>
        <v>1740512.071</v>
      </c>
      <c r="O29" s="41">
        <f t="shared" si="8"/>
        <v>0.1219671926</v>
      </c>
    </row>
    <row r="30">
      <c r="A30" s="42" t="s">
        <v>36</v>
      </c>
      <c r="B30" s="43">
        <f t="shared" ref="B30:M30" si="21">(B14/B13)</f>
        <v>0.2550811717</v>
      </c>
      <c r="C30" s="43">
        <f t="shared" si="21"/>
        <v>0.2685363147</v>
      </c>
      <c r="D30" s="43">
        <f t="shared" si="21"/>
        <v>0.2700049976</v>
      </c>
      <c r="E30" s="43">
        <f t="shared" si="21"/>
        <v>0.2780666725</v>
      </c>
      <c r="F30" s="44">
        <f t="shared" si="21"/>
        <v>0.2921009423</v>
      </c>
      <c r="G30" s="43">
        <f t="shared" si="21"/>
        <v>0.2488146725</v>
      </c>
      <c r="H30" s="43">
        <f t="shared" si="21"/>
        <v>0.2698451975</v>
      </c>
      <c r="I30" s="43">
        <f t="shared" si="21"/>
        <v>0.2714306424</v>
      </c>
      <c r="J30" s="43">
        <f t="shared" si="21"/>
        <v>0.2692247174</v>
      </c>
      <c r="K30" s="43">
        <f t="shared" si="21"/>
        <v>0.2755377658</v>
      </c>
      <c r="L30" s="43">
        <f t="shared" si="21"/>
        <v>0.2912165708</v>
      </c>
      <c r="M30" s="43">
        <f t="shared" si="21"/>
        <v>0.2911896387</v>
      </c>
      <c r="N30" s="45"/>
      <c r="O30" s="45"/>
    </row>
    <row r="32">
      <c r="B32" s="46">
        <f t="shared" ref="B32:M32" si="22">B29+B27</f>
        <v>413995.7067</v>
      </c>
      <c r="C32" s="46">
        <f t="shared" si="22"/>
        <v>303701.0483</v>
      </c>
      <c r="D32" s="46">
        <f t="shared" si="22"/>
        <v>399535.155</v>
      </c>
      <c r="E32" s="46">
        <f t="shared" si="22"/>
        <v>355015.795</v>
      </c>
      <c r="F32" s="46">
        <f t="shared" si="22"/>
        <v>403248.945</v>
      </c>
      <c r="G32" s="46">
        <f t="shared" si="22"/>
        <v>547043.6765</v>
      </c>
      <c r="H32" s="46">
        <f t="shared" si="22"/>
        <v>434868.2563</v>
      </c>
      <c r="I32" s="46">
        <f t="shared" si="22"/>
        <v>271489.4383</v>
      </c>
      <c r="J32" s="46">
        <f t="shared" si="22"/>
        <v>318390.2767</v>
      </c>
      <c r="K32" s="46">
        <f t="shared" si="22"/>
        <v>388893.6737</v>
      </c>
      <c r="L32" s="46">
        <f t="shared" si="22"/>
        <v>313701.6717</v>
      </c>
      <c r="M32" s="46">
        <f t="shared" si="22"/>
        <v>459343.7305</v>
      </c>
    </row>
    <row r="33">
      <c r="A33" s="47"/>
      <c r="B33" s="48">
        <f t="shared" ref="B33:M33" si="23">B32/B13</f>
        <v>0.3576243805</v>
      </c>
      <c r="C33" s="48">
        <f t="shared" si="23"/>
        <v>0.2696810819</v>
      </c>
      <c r="D33" s="48">
        <f t="shared" si="23"/>
        <v>0.3373946231</v>
      </c>
      <c r="E33" s="48">
        <f t="shared" si="23"/>
        <v>0.3019915431</v>
      </c>
      <c r="F33" s="48">
        <f t="shared" si="23"/>
        <v>0.3310962186</v>
      </c>
      <c r="G33" s="48">
        <f t="shared" si="23"/>
        <v>0.3764968614</v>
      </c>
      <c r="H33" s="48">
        <f t="shared" si="23"/>
        <v>0.3471238638</v>
      </c>
      <c r="I33" s="48">
        <f t="shared" si="23"/>
        <v>0.2608971731</v>
      </c>
      <c r="J33" s="48">
        <f t="shared" si="23"/>
        <v>0.2963065757</v>
      </c>
      <c r="K33" s="48">
        <f t="shared" si="23"/>
        <v>0.3346617815</v>
      </c>
      <c r="L33" s="48">
        <f t="shared" si="23"/>
        <v>0.2838021297</v>
      </c>
      <c r="M33" s="48">
        <f t="shared" si="23"/>
        <v>0.34783428</v>
      </c>
    </row>
    <row r="34">
      <c r="A34" s="47"/>
      <c r="B34" s="48"/>
      <c r="C34" s="48"/>
      <c r="D34" s="48"/>
      <c r="E34" s="48"/>
    </row>
    <row r="35">
      <c r="A35" s="9"/>
      <c r="B35" s="48"/>
      <c r="C35" s="48"/>
      <c r="D35" s="48"/>
      <c r="E35" s="48"/>
    </row>
    <row r="36">
      <c r="A36" s="47"/>
      <c r="B36" s="48"/>
      <c r="C36" s="48"/>
      <c r="D36" s="48"/>
      <c r="E36" s="48"/>
    </row>
  </sheetData>
  <mergeCells count="1">
    <mergeCell ref="N1:O1"/>
  </mergeCells>
  <drawing r:id="rId4"/>
  <legacyDrawing r:id="rId5"/>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38"/>
  </cols>
  <sheetData>
    <row r="1">
      <c r="A1" s="1" t="s">
        <v>51</v>
      </c>
      <c r="B1" s="2">
        <v>45748.0</v>
      </c>
      <c r="C1" s="2">
        <v>45778.0</v>
      </c>
      <c r="D1" s="2">
        <v>45809.0</v>
      </c>
      <c r="E1" s="2">
        <v>45839.0</v>
      </c>
      <c r="F1" s="4">
        <v>45870.0</v>
      </c>
      <c r="G1" s="2">
        <v>45901.0</v>
      </c>
      <c r="H1" s="2">
        <v>45931.0</v>
      </c>
      <c r="I1" s="2">
        <v>45962.0</v>
      </c>
      <c r="J1" s="2">
        <v>45992.0</v>
      </c>
      <c r="K1" s="2">
        <v>46023.0</v>
      </c>
      <c r="L1" s="2">
        <v>46054.0</v>
      </c>
      <c r="M1" s="2">
        <v>46082.0</v>
      </c>
      <c r="N1" s="52" t="s">
        <v>5</v>
      </c>
      <c r="O1" s="6"/>
    </row>
    <row r="2">
      <c r="A2" s="7" t="s">
        <v>6</v>
      </c>
      <c r="B2" s="8"/>
      <c r="C2" s="8"/>
      <c r="D2" s="8"/>
      <c r="E2" s="8"/>
      <c r="F2" s="10"/>
      <c r="G2" s="8"/>
      <c r="H2" s="8"/>
      <c r="I2" s="8"/>
      <c r="J2" s="8"/>
      <c r="K2" s="8"/>
      <c r="L2" s="8"/>
      <c r="M2" s="8"/>
      <c r="N2" s="53"/>
      <c r="O2" s="53"/>
    </row>
    <row r="3">
      <c r="A3" s="11" t="s">
        <v>7</v>
      </c>
      <c r="B3" s="79">
        <v>36973.5</v>
      </c>
      <c r="C3" s="13">
        <f t="shared" ref="C3:M3" si="1">B7</f>
        <v>44220.46</v>
      </c>
      <c r="D3" s="14">
        <f t="shared" si="1"/>
        <v>49031.88</v>
      </c>
      <c r="E3" s="14">
        <f t="shared" si="1"/>
        <v>44276.99</v>
      </c>
      <c r="F3" s="14">
        <f t="shared" si="1"/>
        <v>50255.2</v>
      </c>
      <c r="G3" s="14">
        <f t="shared" si="1"/>
        <v>51137</v>
      </c>
      <c r="H3" s="14">
        <f t="shared" si="1"/>
        <v>72934</v>
      </c>
      <c r="I3" s="14">
        <f t="shared" si="1"/>
        <v>53953.04</v>
      </c>
      <c r="J3" s="14">
        <f t="shared" si="1"/>
        <v>47832</v>
      </c>
      <c r="K3" s="14">
        <f t="shared" si="1"/>
        <v>55399</v>
      </c>
      <c r="L3" s="14">
        <f t="shared" si="1"/>
        <v>47885.96</v>
      </c>
      <c r="M3" s="14">
        <f t="shared" si="1"/>
        <v>47420</v>
      </c>
      <c r="N3" s="15">
        <f>+SUM(J3:L3)</f>
        <v>151116.96</v>
      </c>
      <c r="O3" s="54"/>
    </row>
    <row r="4">
      <c r="A4" s="11" t="s">
        <v>9</v>
      </c>
      <c r="B4" s="16">
        <v>446235.91</v>
      </c>
      <c r="C4" s="16">
        <v>502976.96</v>
      </c>
      <c r="D4" s="17">
        <v>466449.26</v>
      </c>
      <c r="E4" s="17">
        <v>489417.49</v>
      </c>
      <c r="F4" s="17">
        <v>506977.7</v>
      </c>
      <c r="G4" s="17">
        <v>482187.6</v>
      </c>
      <c r="H4" s="17">
        <v>501251.98</v>
      </c>
      <c r="I4" s="17">
        <v>461743.19</v>
      </c>
      <c r="J4" s="17">
        <v>476528.0</v>
      </c>
      <c r="K4" s="17">
        <v>482819.0</v>
      </c>
      <c r="L4" s="17">
        <v>455132.39</v>
      </c>
      <c r="M4" s="17">
        <v>553945.51</v>
      </c>
      <c r="N4" s="15">
        <f>sum(B4:M4)</f>
        <v>5825664.99</v>
      </c>
      <c r="O4" s="54"/>
    </row>
    <row r="5">
      <c r="A5" s="11" t="s">
        <v>10</v>
      </c>
      <c r="B5" s="16">
        <v>692.32</v>
      </c>
      <c r="C5" s="16">
        <v>2206.36</v>
      </c>
      <c r="D5" s="14">
        <f>1303.62</f>
        <v>1303.62</v>
      </c>
      <c r="E5" s="17">
        <v>1073.0</v>
      </c>
      <c r="F5" s="17">
        <v>256.53</v>
      </c>
      <c r="G5" s="17">
        <v>1958.0</v>
      </c>
      <c r="H5" s="17">
        <v>528.83</v>
      </c>
      <c r="I5" s="17">
        <v>124.0</v>
      </c>
      <c r="J5" s="17">
        <v>1228.0</v>
      </c>
      <c r="K5" s="17">
        <v>1360.0</v>
      </c>
      <c r="L5" s="17">
        <v>815.11</v>
      </c>
      <c r="M5" s="17">
        <v>1264.79</v>
      </c>
      <c r="N5" s="15">
        <f t="shared" ref="N5:N6" si="2">+SUM(J5:L5)</f>
        <v>3403.11</v>
      </c>
      <c r="O5" s="54"/>
    </row>
    <row r="6">
      <c r="A6" s="11" t="s">
        <v>11</v>
      </c>
      <c r="B6" s="16">
        <v>19656.58</v>
      </c>
      <c r="C6" s="16">
        <v>20162.07</v>
      </c>
      <c r="D6" s="17">
        <v>21036.4</v>
      </c>
      <c r="E6" s="17">
        <v>24674.89</v>
      </c>
      <c r="F6" s="17">
        <v>23193.84</v>
      </c>
      <c r="G6" s="17">
        <v>21362.0</v>
      </c>
      <c r="H6" s="17">
        <v>18273.34</v>
      </c>
      <c r="I6" s="17">
        <v>19352.0</v>
      </c>
      <c r="J6" s="17">
        <v>20045.0</v>
      </c>
      <c r="K6" s="17">
        <v>18565.0</v>
      </c>
      <c r="L6" s="17">
        <v>18143.59</v>
      </c>
      <c r="M6" s="17">
        <v>22907.3</v>
      </c>
      <c r="N6" s="15">
        <f t="shared" si="2"/>
        <v>56753.59</v>
      </c>
      <c r="O6" s="54"/>
    </row>
    <row r="7">
      <c r="A7" s="11" t="s">
        <v>12</v>
      </c>
      <c r="B7" s="16">
        <v>44220.46</v>
      </c>
      <c r="C7" s="16">
        <v>49031.88</v>
      </c>
      <c r="D7" s="17">
        <v>44276.99</v>
      </c>
      <c r="E7" s="17">
        <v>50255.2</v>
      </c>
      <c r="F7" s="17">
        <v>51137.0</v>
      </c>
      <c r="G7" s="17">
        <v>72934.0</v>
      </c>
      <c r="H7" s="17">
        <v>53953.04</v>
      </c>
      <c r="I7" s="17">
        <v>47832.0</v>
      </c>
      <c r="J7" s="17">
        <v>55399.0</v>
      </c>
      <c r="K7" s="17">
        <v>47885.96</v>
      </c>
      <c r="L7" s="17">
        <v>47420.0</v>
      </c>
      <c r="M7" s="17">
        <v>42774.58</v>
      </c>
      <c r="N7" s="15">
        <f>sum(B7:M7)</f>
        <v>607120.11</v>
      </c>
      <c r="O7" s="54"/>
    </row>
    <row r="8">
      <c r="A8" s="8"/>
      <c r="B8" s="55"/>
      <c r="C8" s="55"/>
      <c r="D8" s="8"/>
      <c r="E8" s="8"/>
      <c r="F8" s="10"/>
      <c r="G8" s="8"/>
      <c r="H8" s="8"/>
      <c r="I8" s="8"/>
      <c r="J8" s="8"/>
      <c r="K8" s="8"/>
      <c r="L8" s="8"/>
      <c r="M8" s="8"/>
      <c r="N8" s="53"/>
      <c r="O8" s="53"/>
    </row>
    <row r="9">
      <c r="A9" s="19" t="s">
        <v>13</v>
      </c>
      <c r="B9" s="13">
        <f>1978916.02*1.05+30336.45*1.05</f>
        <v>2109715.094</v>
      </c>
      <c r="C9" s="13">
        <f>2187819.17*1.05+42348.06*1.05</f>
        <v>2341675.592</v>
      </c>
      <c r="D9" s="14">
        <f>2022684.26*1.05+36700.5*1.05</f>
        <v>2162353.998</v>
      </c>
      <c r="E9" s="14">
        <f>2078229.43*1.05+38733.6*1.05</f>
        <v>2222811.182</v>
      </c>
      <c r="F9" s="14">
        <f>35921.64*1.05+2086017.9*1.05</f>
        <v>2228036.517</v>
      </c>
      <c r="G9" s="14">
        <f>2170253.74*1.05</f>
        <v>2278766.427</v>
      </c>
      <c r="H9" s="14">
        <f>2249040.63*1.05+39707.18*1.05</f>
        <v>2403185.201</v>
      </c>
      <c r="I9" s="14">
        <f>2006908.1*1.05+38117.06*1.05</f>
        <v>2147276.418</v>
      </c>
      <c r="J9" s="14">
        <f>1950245.73*1.05+31534.79*1.05</f>
        <v>2080869.546</v>
      </c>
      <c r="K9" s="14">
        <f>2071379*1.05+32239.46*1.05</f>
        <v>2208799.383</v>
      </c>
      <c r="L9" s="14">
        <f>1850270.17*1.05+32154.24*1.05</f>
        <v>1976545.631</v>
      </c>
      <c r="M9" s="14">
        <f>2445470.71*1.05+34878.19*1.05</f>
        <v>2604366.345</v>
      </c>
      <c r="N9" s="15">
        <f t="shared" ref="N9:N12" si="3">+SUM(B9:M9)</f>
        <v>26764401.33</v>
      </c>
      <c r="O9" s="54"/>
    </row>
    <row r="10">
      <c r="A10" s="19" t="s">
        <v>14</v>
      </c>
      <c r="B10" s="16">
        <v>0.0</v>
      </c>
      <c r="C10" s="16">
        <v>0.0</v>
      </c>
      <c r="D10" s="16">
        <v>0.0</v>
      </c>
      <c r="E10" s="16">
        <v>0.0</v>
      </c>
      <c r="F10" s="16">
        <v>0.0</v>
      </c>
      <c r="G10" s="16">
        <v>0.0</v>
      </c>
      <c r="H10" s="16">
        <v>0.0</v>
      </c>
      <c r="I10" s="16">
        <v>0.0</v>
      </c>
      <c r="J10" s="16">
        <v>0.0</v>
      </c>
      <c r="K10" s="16">
        <v>0.0</v>
      </c>
      <c r="L10" s="16">
        <v>0.0</v>
      </c>
      <c r="M10" s="16">
        <v>0.0</v>
      </c>
      <c r="N10" s="15">
        <f t="shared" si="3"/>
        <v>0</v>
      </c>
      <c r="O10" s="54"/>
    </row>
    <row r="11">
      <c r="A11" s="19" t="s">
        <v>15</v>
      </c>
      <c r="B11" s="14">
        <f t="shared" ref="B11:M11" si="4">(B9+B10)/1.05*0.05</f>
        <v>100462.6235</v>
      </c>
      <c r="C11" s="14">
        <f t="shared" si="4"/>
        <v>111508.3615</v>
      </c>
      <c r="D11" s="14">
        <f t="shared" si="4"/>
        <v>102969.238</v>
      </c>
      <c r="E11" s="14">
        <f t="shared" si="4"/>
        <v>105848.1515</v>
      </c>
      <c r="F11" s="14">
        <f t="shared" si="4"/>
        <v>106096.977</v>
      </c>
      <c r="G11" s="14">
        <f t="shared" si="4"/>
        <v>108512.687</v>
      </c>
      <c r="H11" s="14">
        <f t="shared" si="4"/>
        <v>114437.3905</v>
      </c>
      <c r="I11" s="14">
        <f t="shared" si="4"/>
        <v>102251.258</v>
      </c>
      <c r="J11" s="14">
        <f t="shared" si="4"/>
        <v>99089.026</v>
      </c>
      <c r="K11" s="14">
        <f t="shared" si="4"/>
        <v>105180.923</v>
      </c>
      <c r="L11" s="14">
        <f t="shared" si="4"/>
        <v>94121.2205</v>
      </c>
      <c r="M11" s="14">
        <f t="shared" si="4"/>
        <v>124017.445</v>
      </c>
      <c r="N11" s="15">
        <f t="shared" si="3"/>
        <v>1274495.302</v>
      </c>
      <c r="O11" s="54"/>
    </row>
    <row r="12">
      <c r="A12" s="19" t="s">
        <v>17</v>
      </c>
      <c r="B12" s="13">
        <f>69904.08+942.27+12582.74+169.62+74066.58+13332.06+12620</f>
        <v>183617.35</v>
      </c>
      <c r="C12" s="13">
        <f>17583.94+97688.56+75896.57+13661.34+344.46+23524.74</f>
        <v>228699.61</v>
      </c>
      <c r="D12" s="17">
        <f>84962.78+15293.3+68295.72+12293+28966+5213.96</f>
        <v>215024.76</v>
      </c>
      <c r="E12" s="14">
        <f>89352.18+78452.72+14121.47+1289.21+13691+2465</f>
        <v>199371.58</v>
      </c>
      <c r="F12" s="14">
        <f>66251.17+11925.18+83180.93+14972.56+2458.75*1.18+22878.34+4118.08</f>
        <v>206227.585</v>
      </c>
      <c r="G12" s="14">
        <f>77250.5*1.18+1446.04*1.18+78476.92*1.18</f>
        <v>185464.6828</v>
      </c>
      <c r="H12" s="14">
        <f>92478*1.18+70437.69*1.18+3690.35*1.18+16107.23*1.18</f>
        <v>215601.6586</v>
      </c>
      <c r="I12" s="14">
        <f>89313.97*1.18+71989.57*1.18+2581.61*1.18</f>
        <v>193384.477</v>
      </c>
      <c r="J12" s="14">
        <f>(72834.87+1354.05)*1.18+72238.71*1.18+3720.88*1.18</f>
        <v>177175.2418</v>
      </c>
      <c r="K12" s="14">
        <f>76323*1.18+3614.04*1.18+70858.81*1.18</f>
        <v>177939.103</v>
      </c>
      <c r="L12" s="14">
        <f>87696.55+30496.69+39143.18+67.68+5489.43+12.18+3636.35*1.18+8.1*1.18</f>
        <v>167206.161</v>
      </c>
      <c r="M12" s="14">
        <f>81951.39*1.18+51183.01*1.18+4067.21*1.18+46.17*1.18+20480.12*1.18</f>
        <v>186118.922</v>
      </c>
      <c r="N12" s="15">
        <f t="shared" si="3"/>
        <v>2335831.131</v>
      </c>
      <c r="O12" s="54"/>
    </row>
    <row r="13">
      <c r="A13" s="21" t="s">
        <v>19</v>
      </c>
      <c r="B13" s="58">
        <f t="shared" ref="B13:M13" si="5">B9+B10-B11-B12</f>
        <v>1825635.12</v>
      </c>
      <c r="C13" s="58">
        <f t="shared" si="5"/>
        <v>2001467.62</v>
      </c>
      <c r="D13" s="22">
        <f t="shared" si="5"/>
        <v>1844360</v>
      </c>
      <c r="E13" s="22">
        <f t="shared" si="5"/>
        <v>1917591.45</v>
      </c>
      <c r="F13" s="23">
        <f t="shared" si="5"/>
        <v>1915711.955</v>
      </c>
      <c r="G13" s="23">
        <f t="shared" si="5"/>
        <v>1984789.057</v>
      </c>
      <c r="H13" s="22">
        <f t="shared" si="5"/>
        <v>2073146.151</v>
      </c>
      <c r="I13" s="22">
        <f t="shared" si="5"/>
        <v>1851640.683</v>
      </c>
      <c r="J13" s="22">
        <f t="shared" si="5"/>
        <v>1804605.278</v>
      </c>
      <c r="K13" s="22">
        <f t="shared" si="5"/>
        <v>1925679.357</v>
      </c>
      <c r="L13" s="22">
        <f t="shared" si="5"/>
        <v>1715218.249</v>
      </c>
      <c r="M13" s="22">
        <f t="shared" si="5"/>
        <v>2294229.978</v>
      </c>
      <c r="N13" s="22">
        <f t="shared" ref="N13:N29" si="7">sum(B13:M13)</f>
        <v>23154074.9</v>
      </c>
      <c r="O13" s="74"/>
    </row>
    <row r="14">
      <c r="A14" s="19" t="s">
        <v>20</v>
      </c>
      <c r="B14" s="60">
        <f t="shared" ref="B14:M14" si="6">+B3+B4-B5-B7</f>
        <v>438296.63</v>
      </c>
      <c r="C14" s="60">
        <f t="shared" si="6"/>
        <v>495959.18</v>
      </c>
      <c r="D14" s="26">
        <f t="shared" si="6"/>
        <v>469900.53</v>
      </c>
      <c r="E14" s="26">
        <f t="shared" si="6"/>
        <v>482366.28</v>
      </c>
      <c r="F14" s="26">
        <f t="shared" si="6"/>
        <v>505839.37</v>
      </c>
      <c r="G14" s="26">
        <f t="shared" si="6"/>
        <v>458432.6</v>
      </c>
      <c r="H14" s="26">
        <f t="shared" si="6"/>
        <v>519704.11</v>
      </c>
      <c r="I14" s="26">
        <f t="shared" si="6"/>
        <v>467740.23</v>
      </c>
      <c r="J14" s="26">
        <f t="shared" si="6"/>
        <v>467733</v>
      </c>
      <c r="K14" s="26">
        <f t="shared" si="6"/>
        <v>488972.04</v>
      </c>
      <c r="L14" s="26">
        <f t="shared" si="6"/>
        <v>454783.24</v>
      </c>
      <c r="M14" s="26">
        <f t="shared" si="6"/>
        <v>557326.14</v>
      </c>
      <c r="N14" s="15">
        <f t="shared" si="7"/>
        <v>5807053.35</v>
      </c>
      <c r="O14" s="27">
        <f t="shared" ref="O14:O29" si="8">N14/$N$13</f>
        <v>0.2508004909</v>
      </c>
    </row>
    <row r="15">
      <c r="A15" s="19" t="s">
        <v>21</v>
      </c>
      <c r="B15" s="14">
        <f>89171</f>
        <v>89171</v>
      </c>
      <c r="C15" s="14">
        <f>89358</f>
        <v>89358</v>
      </c>
      <c r="D15" s="14">
        <f>92741</f>
        <v>92741</v>
      </c>
      <c r="E15" s="17">
        <v>81325.0</v>
      </c>
      <c r="F15" s="17">
        <v>73971.0</v>
      </c>
      <c r="G15" s="17">
        <v>79350.0</v>
      </c>
      <c r="H15" s="17">
        <v>63628.0</v>
      </c>
      <c r="I15" s="14">
        <f>47160</f>
        <v>47160</v>
      </c>
      <c r="J15" s="14">
        <f>44844</f>
        <v>44844</v>
      </c>
      <c r="K15" s="14">
        <f>44579</f>
        <v>44579</v>
      </c>
      <c r="L15" s="14">
        <f>44037</f>
        <v>44037</v>
      </c>
      <c r="M15" s="17">
        <f>60740.77</f>
        <v>60740.77</v>
      </c>
      <c r="N15" s="15">
        <f t="shared" si="7"/>
        <v>810904.77</v>
      </c>
      <c r="O15" s="27">
        <f t="shared" si="8"/>
        <v>0.03502211915</v>
      </c>
    </row>
    <row r="16">
      <c r="A16" s="19" t="s">
        <v>22</v>
      </c>
      <c r="B16" s="14">
        <f t="shared" ref="B16:F16" si="9">352.82</f>
        <v>352.82</v>
      </c>
      <c r="C16" s="14">
        <f t="shared" si="9"/>
        <v>352.82</v>
      </c>
      <c r="D16" s="14">
        <f t="shared" si="9"/>
        <v>352.82</v>
      </c>
      <c r="E16" s="14">
        <f t="shared" si="9"/>
        <v>352.82</v>
      </c>
      <c r="F16" s="14">
        <f t="shared" si="9"/>
        <v>352.82</v>
      </c>
      <c r="G16" s="14">
        <f>352.82+1003</f>
        <v>1355.82</v>
      </c>
      <c r="H16" s="17">
        <f>289+352.82</f>
        <v>641.82</v>
      </c>
      <c r="I16" s="14">
        <f>352.82+8142/12</f>
        <v>1031.32</v>
      </c>
      <c r="J16" s="14">
        <f>8142/12+1294+352.82</f>
        <v>2325.32</v>
      </c>
      <c r="K16" s="14">
        <f>8142/12+352.82</f>
        <v>1031.32</v>
      </c>
      <c r="L16" s="14">
        <f t="shared" ref="L16:M16" si="10">8142/12+291+352.82</f>
        <v>1322.32</v>
      </c>
      <c r="M16" s="14">
        <f t="shared" si="10"/>
        <v>1322.32</v>
      </c>
      <c r="N16" s="15">
        <f t="shared" si="7"/>
        <v>10794.34</v>
      </c>
      <c r="O16" s="27">
        <f t="shared" si="8"/>
        <v>0.0004661961252</v>
      </c>
    </row>
    <row r="17">
      <c r="A17" s="19" t="s">
        <v>23</v>
      </c>
      <c r="B17" s="14">
        <f>49546</f>
        <v>49546</v>
      </c>
      <c r="C17" s="17">
        <v>52437.0</v>
      </c>
      <c r="D17" s="17">
        <v>51646.0</v>
      </c>
      <c r="E17" s="17">
        <v>56315.0</v>
      </c>
      <c r="F17" s="14">
        <f>50384</f>
        <v>50384</v>
      </c>
      <c r="G17" s="17">
        <v>48768.0</v>
      </c>
      <c r="H17" s="17">
        <v>50836.0</v>
      </c>
      <c r="I17" s="14">
        <f>53690</f>
        <v>53690</v>
      </c>
      <c r="J17" s="17">
        <v>45720.0</v>
      </c>
      <c r="K17" s="17">
        <v>57225.0</v>
      </c>
      <c r="L17" s="14">
        <f>52220</f>
        <v>52220</v>
      </c>
      <c r="M17" s="14">
        <f>19213+16*3556</f>
        <v>76109</v>
      </c>
      <c r="N17" s="15">
        <f t="shared" si="7"/>
        <v>644896</v>
      </c>
      <c r="O17" s="27">
        <f t="shared" si="8"/>
        <v>0.027852376</v>
      </c>
    </row>
    <row r="18">
      <c r="A18" s="19" t="s">
        <v>24</v>
      </c>
      <c r="B18" s="14">
        <f t="shared" ref="B18:F18" si="11">134520</f>
        <v>134520</v>
      </c>
      <c r="C18" s="14">
        <f t="shared" si="11"/>
        <v>134520</v>
      </c>
      <c r="D18" s="14">
        <f t="shared" si="11"/>
        <v>134520</v>
      </c>
      <c r="E18" s="14">
        <f t="shared" si="11"/>
        <v>134520</v>
      </c>
      <c r="F18" s="14">
        <f t="shared" si="11"/>
        <v>134520</v>
      </c>
      <c r="G18" s="17">
        <v>224200.0</v>
      </c>
      <c r="H18" s="17">
        <v>224200.0</v>
      </c>
      <c r="I18" s="17">
        <v>224200.0</v>
      </c>
      <c r="J18" s="17">
        <v>224200.0</v>
      </c>
      <c r="K18" s="17">
        <v>224200.0</v>
      </c>
      <c r="L18" s="17">
        <v>224200.0</v>
      </c>
      <c r="M18" s="17">
        <v>224200.0</v>
      </c>
      <c r="N18" s="15">
        <f t="shared" si="7"/>
        <v>2242000</v>
      </c>
      <c r="O18" s="27">
        <f t="shared" si="8"/>
        <v>0.09682960817</v>
      </c>
    </row>
    <row r="19">
      <c r="A19" s="19" t="s">
        <v>25</v>
      </c>
      <c r="B19" s="17">
        <v>5725.0</v>
      </c>
      <c r="C19" s="14">
        <f t="shared" ref="C19:M19" si="12">68706/12</f>
        <v>5725.5</v>
      </c>
      <c r="D19" s="14">
        <f t="shared" si="12"/>
        <v>5725.5</v>
      </c>
      <c r="E19" s="14">
        <f t="shared" si="12"/>
        <v>5725.5</v>
      </c>
      <c r="F19" s="14">
        <f t="shared" si="12"/>
        <v>5725.5</v>
      </c>
      <c r="G19" s="14">
        <f t="shared" si="12"/>
        <v>5725.5</v>
      </c>
      <c r="H19" s="14">
        <f t="shared" si="12"/>
        <v>5725.5</v>
      </c>
      <c r="I19" s="14">
        <f t="shared" si="12"/>
        <v>5725.5</v>
      </c>
      <c r="J19" s="14">
        <f t="shared" si="12"/>
        <v>5725.5</v>
      </c>
      <c r="K19" s="14">
        <f t="shared" si="12"/>
        <v>5725.5</v>
      </c>
      <c r="L19" s="14">
        <f t="shared" si="12"/>
        <v>5725.5</v>
      </c>
      <c r="M19" s="14">
        <f t="shared" si="12"/>
        <v>5725.5</v>
      </c>
      <c r="N19" s="15">
        <f t="shared" si="7"/>
        <v>68705.5</v>
      </c>
      <c r="O19" s="27">
        <f t="shared" si="8"/>
        <v>0.002967317861</v>
      </c>
    </row>
    <row r="20" ht="17.25" customHeight="1">
      <c r="A20" s="20" t="s">
        <v>26</v>
      </c>
      <c r="B20" s="14">
        <f>279018.01+163837/12</f>
        <v>292671.0933</v>
      </c>
      <c r="C20" s="17">
        <f>281415+163837/12</f>
        <v>295068.0833</v>
      </c>
      <c r="D20" s="14">
        <f>215647+74254+4986.72++163837/12</f>
        <v>308540.8033</v>
      </c>
      <c r="E20" s="17">
        <f>290113++163837/12</f>
        <v>303766.0833</v>
      </c>
      <c r="F20" s="14">
        <f>301615.68+163837/12</f>
        <v>315268.7633</v>
      </c>
      <c r="G20" s="17">
        <f>287787.21+163837/12</f>
        <v>301440.2933</v>
      </c>
      <c r="H20" s="14">
        <f>163837/12+291293.75</f>
        <v>304946.8333</v>
      </c>
      <c r="I20" s="14">
        <f>163837/12+299468</f>
        <v>313121.0833</v>
      </c>
      <c r="J20" s="14">
        <f>163837/12+285280</f>
        <v>298933.0833</v>
      </c>
      <c r="K20" s="14">
        <f>163837/12+284171+4796</f>
        <v>302620.0833</v>
      </c>
      <c r="L20" s="14">
        <f>163837/12+292669+7417</f>
        <v>313739.0833</v>
      </c>
      <c r="M20" s="14">
        <f>163837/12+8500+314919</f>
        <v>337072.0833</v>
      </c>
      <c r="N20" s="15">
        <f t="shared" si="7"/>
        <v>3687187.37</v>
      </c>
      <c r="O20" s="27">
        <f t="shared" si="8"/>
        <v>0.1592457218</v>
      </c>
    </row>
    <row r="21">
      <c r="A21" s="11" t="s">
        <v>27</v>
      </c>
      <c r="B21" s="14">
        <f>2850+2360+2950+21362/12</f>
        <v>9940.166667</v>
      </c>
      <c r="C21" s="17">
        <f>2400+2360+2478+2950+21362/12</f>
        <v>11968.16667</v>
      </c>
      <c r="D21" s="17">
        <f>2400+2360+2950+21362/12</f>
        <v>9490.166667</v>
      </c>
      <c r="E21" s="17">
        <f>2400+2360+2478+2950+21362/12</f>
        <v>11968.16667</v>
      </c>
      <c r="F21" s="14">
        <f>21362/12+2950+2478+2360+2400</f>
        <v>11968.16667</v>
      </c>
      <c r="G21" s="14">
        <f t="shared" ref="G21:H21" si="13">21362/12+2950+3750+2360+2478</f>
        <v>13318.16667</v>
      </c>
      <c r="H21" s="14">
        <f t="shared" si="13"/>
        <v>13318.16667</v>
      </c>
      <c r="I21" s="14">
        <f>21362/12+2950+2400+2478+2360</f>
        <v>11968.16667</v>
      </c>
      <c r="J21" s="14">
        <f>21362/12+2400+4838+2950</f>
        <v>11968.16667</v>
      </c>
      <c r="K21" s="14">
        <f>21362/12+2950+2400+2360+2478</f>
        <v>11968.16667</v>
      </c>
      <c r="L21" s="14">
        <f>21362/12+3000+2478+2596+2950</f>
        <v>12804.16667</v>
      </c>
      <c r="M21" s="14">
        <f>21362/12+2950+2850+2596+2478</f>
        <v>12654.16667</v>
      </c>
      <c r="N21" s="15">
        <f t="shared" si="7"/>
        <v>143334</v>
      </c>
      <c r="O21" s="27">
        <f t="shared" si="8"/>
        <v>0.006190443826</v>
      </c>
    </row>
    <row r="22">
      <c r="A22" s="32" t="s">
        <v>28</v>
      </c>
      <c r="B22" s="14">
        <f t="shared" ref="B22:D22" si="14">9000/3+2124/3+9813/12+6372/12</f>
        <v>5056.75</v>
      </c>
      <c r="C22" s="14">
        <f t="shared" si="14"/>
        <v>5056.75</v>
      </c>
      <c r="D22" s="14">
        <f t="shared" si="14"/>
        <v>5056.75</v>
      </c>
      <c r="E22" s="14">
        <f t="shared" ref="E22:G22" si="15">9813/12+6372/12+2124/3+9000/3</f>
        <v>5056.75</v>
      </c>
      <c r="F22" s="14">
        <f t="shared" si="15"/>
        <v>5056.75</v>
      </c>
      <c r="G22" s="14">
        <f t="shared" si="15"/>
        <v>5056.75</v>
      </c>
      <c r="H22" s="14">
        <f t="shared" ref="H22:J22" si="16">9813/12+6372/12+2124/3</f>
        <v>2056.75</v>
      </c>
      <c r="I22" s="14">
        <f t="shared" si="16"/>
        <v>2056.75</v>
      </c>
      <c r="J22" s="14">
        <f t="shared" si="16"/>
        <v>2056.75</v>
      </c>
      <c r="K22" s="14">
        <f t="shared" ref="K22:M22" si="17">9813/12+6372/12+3271.32/3</f>
        <v>2439.19</v>
      </c>
      <c r="L22" s="14">
        <f t="shared" si="17"/>
        <v>2439.19</v>
      </c>
      <c r="M22" s="14">
        <f t="shared" si="17"/>
        <v>2439.19</v>
      </c>
      <c r="N22" s="54">
        <f t="shared" si="7"/>
        <v>43828.32</v>
      </c>
      <c r="O22" s="27">
        <f t="shared" si="8"/>
        <v>0.001892898774</v>
      </c>
    </row>
    <row r="23">
      <c r="A23" s="20" t="s">
        <v>29</v>
      </c>
      <c r="B23" s="33">
        <v>0.0</v>
      </c>
      <c r="C23" s="73">
        <v>878.51</v>
      </c>
      <c r="D23" s="73">
        <v>878.51</v>
      </c>
      <c r="E23" s="73">
        <v>878.51</v>
      </c>
      <c r="F23" s="73">
        <v>878.51</v>
      </c>
      <c r="G23" s="73">
        <v>878.51</v>
      </c>
      <c r="H23" s="73">
        <v>878.51</v>
      </c>
      <c r="I23" s="73">
        <v>878.51</v>
      </c>
      <c r="J23" s="73">
        <v>878.51</v>
      </c>
      <c r="K23" s="73">
        <v>878.51</v>
      </c>
      <c r="L23" s="73">
        <v>878.51</v>
      </c>
      <c r="M23" s="73">
        <v>878.51</v>
      </c>
      <c r="N23" s="77">
        <f t="shared" si="7"/>
        <v>9663.61</v>
      </c>
      <c r="O23" s="27">
        <f t="shared" si="8"/>
        <v>0.0004173610927</v>
      </c>
    </row>
    <row r="24">
      <c r="A24" s="19" t="s">
        <v>30</v>
      </c>
      <c r="B24" s="33">
        <v>2000.0</v>
      </c>
      <c r="C24" s="33">
        <v>2000.0</v>
      </c>
      <c r="D24" s="34">
        <f>35400/12+6478</f>
        <v>9428</v>
      </c>
      <c r="E24" s="34">
        <f>35400/12+2500</f>
        <v>5450</v>
      </c>
      <c r="F24" s="34">
        <f>35400/12+10575</f>
        <v>13525</v>
      </c>
      <c r="G24" s="34">
        <f>35400/12+11471</f>
        <v>14421</v>
      </c>
      <c r="H24" s="34">
        <f>35400/12+5910</f>
        <v>8860</v>
      </c>
      <c r="I24" s="34">
        <f>35400/12+2900</f>
        <v>5850</v>
      </c>
      <c r="J24" s="34">
        <f>35400/12+7310</f>
        <v>10260</v>
      </c>
      <c r="K24" s="34">
        <f>35400/12+7861</f>
        <v>10811</v>
      </c>
      <c r="L24" s="34">
        <f>35400/12+6660</f>
        <v>9610</v>
      </c>
      <c r="M24" s="34">
        <f>35400/12+10638</f>
        <v>13588</v>
      </c>
      <c r="N24" s="15">
        <f t="shared" si="7"/>
        <v>105803</v>
      </c>
      <c r="O24" s="27">
        <f t="shared" si="8"/>
        <v>0.00456951964</v>
      </c>
    </row>
    <row r="25">
      <c r="A25" s="19" t="s">
        <v>31</v>
      </c>
      <c r="B25" s="17">
        <v>9044.0</v>
      </c>
      <c r="C25" s="17">
        <v>29855.81</v>
      </c>
      <c r="D25" s="17">
        <v>27732.55</v>
      </c>
      <c r="E25" s="14">
        <f>22125</f>
        <v>22125</v>
      </c>
      <c r="F25" s="17">
        <v>18047.0</v>
      </c>
      <c r="G25" s="17">
        <v>18239.5</v>
      </c>
      <c r="H25" s="17">
        <v>21364.15</v>
      </c>
      <c r="I25" s="17">
        <v>11737.73</v>
      </c>
      <c r="J25" s="17">
        <v>17291.0</v>
      </c>
      <c r="K25" s="17">
        <v>15854.0</v>
      </c>
      <c r="L25" s="17">
        <v>5856.0</v>
      </c>
      <c r="M25" s="14">
        <f>43240</f>
        <v>43240</v>
      </c>
      <c r="N25" s="15">
        <f t="shared" si="7"/>
        <v>240386.74</v>
      </c>
      <c r="O25" s="27">
        <f t="shared" si="8"/>
        <v>0.01038204899</v>
      </c>
    </row>
    <row r="26">
      <c r="A26" s="19" t="s">
        <v>32</v>
      </c>
      <c r="B26" s="14"/>
      <c r="C26" s="14"/>
      <c r="D26" s="14"/>
      <c r="E26" s="14"/>
      <c r="F26" s="14"/>
      <c r="G26" s="14"/>
      <c r="H26" s="14"/>
      <c r="I26" s="14"/>
      <c r="J26" s="14"/>
      <c r="K26" s="14"/>
      <c r="L26" s="14"/>
      <c r="M26" s="14"/>
      <c r="N26" s="15">
        <f t="shared" si="7"/>
        <v>0</v>
      </c>
      <c r="O26" s="27">
        <f t="shared" si="8"/>
        <v>0</v>
      </c>
    </row>
    <row r="27">
      <c r="A27" s="19" t="s">
        <v>33</v>
      </c>
      <c r="B27" s="14">
        <f>HO!D38</f>
        <v>370289.8276</v>
      </c>
      <c r="C27" s="14">
        <f>HO!H38</f>
        <v>402193.4081</v>
      </c>
      <c r="D27" s="14">
        <f>HO!L38</f>
        <v>366837.1537</v>
      </c>
      <c r="E27" s="14">
        <f>HO!P38</f>
        <v>410163.322</v>
      </c>
      <c r="F27" s="14">
        <f>HO!D57</f>
        <v>375796.3267</v>
      </c>
      <c r="G27" s="14">
        <f>HO!H57</f>
        <v>426880.7187</v>
      </c>
      <c r="H27" s="14">
        <f>HO!L57</f>
        <v>399516.3415</v>
      </c>
      <c r="I27" s="14">
        <f>HO!P57</f>
        <v>399484.9685</v>
      </c>
      <c r="J27" s="14">
        <f>HO!D76</f>
        <v>339811.3524</v>
      </c>
      <c r="K27" s="14">
        <f>HO!H76</f>
        <v>375318.5123</v>
      </c>
      <c r="L27" s="14">
        <f>HO!L76</f>
        <v>358854.2296</v>
      </c>
      <c r="M27" s="14">
        <f>HO!P76</f>
        <v>422527.7645</v>
      </c>
      <c r="N27" s="15">
        <f t="shared" si="7"/>
        <v>4647673.926</v>
      </c>
      <c r="O27" s="27">
        <f t="shared" si="8"/>
        <v>0.20072812</v>
      </c>
    </row>
    <row r="28">
      <c r="A28" s="35" t="s">
        <v>34</v>
      </c>
      <c r="B28" s="36">
        <f t="shared" ref="B28:M28" si="18">+SUM(B14:B27)</f>
        <v>1406613.288</v>
      </c>
      <c r="C28" s="36">
        <f t="shared" si="18"/>
        <v>1525373.228</v>
      </c>
      <c r="D28" s="36">
        <f t="shared" si="18"/>
        <v>1482849.784</v>
      </c>
      <c r="E28" s="36">
        <f t="shared" si="18"/>
        <v>1520012.432</v>
      </c>
      <c r="F28" s="36">
        <f t="shared" si="18"/>
        <v>1511333.207</v>
      </c>
      <c r="G28" s="36">
        <f t="shared" si="18"/>
        <v>1598066.859</v>
      </c>
      <c r="H28" s="36">
        <f t="shared" si="18"/>
        <v>1615676.182</v>
      </c>
      <c r="I28" s="36">
        <f t="shared" si="18"/>
        <v>1544644.259</v>
      </c>
      <c r="J28" s="36">
        <f t="shared" si="18"/>
        <v>1471746.682</v>
      </c>
      <c r="K28" s="36">
        <f t="shared" si="18"/>
        <v>1541622.322</v>
      </c>
      <c r="L28" s="36">
        <f t="shared" si="18"/>
        <v>1486469.24</v>
      </c>
      <c r="M28" s="36">
        <f t="shared" si="18"/>
        <v>1757823.444</v>
      </c>
      <c r="N28" s="36">
        <f t="shared" si="7"/>
        <v>18462230.93</v>
      </c>
      <c r="O28" s="38">
        <f t="shared" si="8"/>
        <v>0.7973642223</v>
      </c>
    </row>
    <row r="29">
      <c r="A29" s="39" t="s">
        <v>35</v>
      </c>
      <c r="B29" s="40">
        <f t="shared" ref="B29:M29" si="19">B13-B28</f>
        <v>419021.8324</v>
      </c>
      <c r="C29" s="40">
        <f t="shared" si="19"/>
        <v>476094.3919</v>
      </c>
      <c r="D29" s="40">
        <f t="shared" si="19"/>
        <v>361510.2163</v>
      </c>
      <c r="E29" s="40">
        <f t="shared" si="19"/>
        <v>397579.018</v>
      </c>
      <c r="F29" s="40">
        <f t="shared" si="19"/>
        <v>404378.7483</v>
      </c>
      <c r="G29" s="40">
        <f t="shared" si="19"/>
        <v>386722.1985</v>
      </c>
      <c r="H29" s="40">
        <f t="shared" si="19"/>
        <v>457469.9699</v>
      </c>
      <c r="I29" s="40">
        <f t="shared" si="19"/>
        <v>306996.4245</v>
      </c>
      <c r="J29" s="40">
        <f t="shared" si="19"/>
        <v>332858.5958</v>
      </c>
      <c r="K29" s="40">
        <f t="shared" si="19"/>
        <v>384057.0347</v>
      </c>
      <c r="L29" s="40">
        <f t="shared" si="19"/>
        <v>228749.0094</v>
      </c>
      <c r="M29" s="40">
        <f t="shared" si="19"/>
        <v>536406.5335</v>
      </c>
      <c r="N29" s="40">
        <f t="shared" si="7"/>
        <v>4691843.973</v>
      </c>
      <c r="O29" s="41">
        <f t="shared" si="8"/>
        <v>0.2026357777</v>
      </c>
    </row>
    <row r="30">
      <c r="A30" s="42" t="s">
        <v>36</v>
      </c>
      <c r="B30" s="43">
        <f t="shared" ref="B30:M30" si="20">(B14/B13)</f>
        <v>0.2400789869</v>
      </c>
      <c r="C30" s="43">
        <f t="shared" si="20"/>
        <v>0.2477977535</v>
      </c>
      <c r="D30" s="43">
        <f t="shared" si="20"/>
        <v>0.2547770121</v>
      </c>
      <c r="E30" s="43">
        <f t="shared" si="20"/>
        <v>0.2515479927</v>
      </c>
      <c r="F30" s="44">
        <f t="shared" si="20"/>
        <v>0.264047718</v>
      </c>
      <c r="G30" s="43">
        <f t="shared" si="20"/>
        <v>0.2309729582</v>
      </c>
      <c r="H30" s="43">
        <f t="shared" si="20"/>
        <v>0.2506837782</v>
      </c>
      <c r="I30" s="43">
        <f t="shared" si="20"/>
        <v>0.2526085294</v>
      </c>
      <c r="J30" s="43">
        <f t="shared" si="20"/>
        <v>0.2591885359</v>
      </c>
      <c r="K30" s="43">
        <f t="shared" si="20"/>
        <v>0.2539218371</v>
      </c>
      <c r="L30" s="43">
        <f t="shared" si="20"/>
        <v>0.2651459896</v>
      </c>
      <c r="M30" s="43">
        <f t="shared" si="20"/>
        <v>0.2429251406</v>
      </c>
      <c r="N30" s="70"/>
      <c r="O30" s="70"/>
    </row>
    <row r="32">
      <c r="B32" s="46">
        <f t="shared" ref="B32:M32" si="21">B29+B27</f>
        <v>789311.66</v>
      </c>
      <c r="C32" s="46">
        <f t="shared" si="21"/>
        <v>878287.8</v>
      </c>
      <c r="D32" s="46">
        <f t="shared" si="21"/>
        <v>728347.37</v>
      </c>
      <c r="E32" s="46">
        <f t="shared" si="21"/>
        <v>807742.34</v>
      </c>
      <c r="F32" s="46">
        <f t="shared" si="21"/>
        <v>780175.075</v>
      </c>
      <c r="G32" s="46">
        <f t="shared" si="21"/>
        <v>813602.9172</v>
      </c>
      <c r="H32" s="46">
        <f t="shared" si="21"/>
        <v>856986.3114</v>
      </c>
      <c r="I32" s="46">
        <f t="shared" si="21"/>
        <v>706481.393</v>
      </c>
      <c r="J32" s="46">
        <f t="shared" si="21"/>
        <v>672669.9482</v>
      </c>
      <c r="K32" s="46">
        <f t="shared" si="21"/>
        <v>759375.547</v>
      </c>
      <c r="L32" s="46">
        <f t="shared" si="21"/>
        <v>587603.239</v>
      </c>
      <c r="M32" s="46">
        <f t="shared" si="21"/>
        <v>958934.298</v>
      </c>
    </row>
    <row r="33">
      <c r="A33" s="47"/>
      <c r="B33" s="48">
        <f t="shared" ref="B33:M33" si="22">B32/B13</f>
        <v>0.4323490775</v>
      </c>
      <c r="C33" s="48">
        <f t="shared" si="22"/>
        <v>0.4388218881</v>
      </c>
      <c r="D33" s="48">
        <f t="shared" si="22"/>
        <v>0.3949052083</v>
      </c>
      <c r="E33" s="48">
        <f t="shared" si="22"/>
        <v>0.4212275456</v>
      </c>
      <c r="F33" s="48">
        <f t="shared" si="22"/>
        <v>0.4072507211</v>
      </c>
      <c r="G33" s="48">
        <f t="shared" si="22"/>
        <v>0.4099190865</v>
      </c>
      <c r="H33" s="48">
        <f t="shared" si="22"/>
        <v>0.413374769</v>
      </c>
      <c r="I33" s="48">
        <f t="shared" si="22"/>
        <v>0.3815434601</v>
      </c>
      <c r="J33" s="48">
        <f t="shared" si="22"/>
        <v>0.3727518457</v>
      </c>
      <c r="K33" s="48">
        <f t="shared" si="22"/>
        <v>0.3943416355</v>
      </c>
      <c r="L33" s="48">
        <f t="shared" si="22"/>
        <v>0.3425821987</v>
      </c>
      <c r="M33" s="48">
        <f t="shared" si="22"/>
        <v>0.4179765356</v>
      </c>
    </row>
    <row r="34">
      <c r="A34" s="47"/>
      <c r="B34" s="48"/>
      <c r="C34" s="48"/>
      <c r="D34" s="48"/>
      <c r="E34" s="48"/>
    </row>
    <row r="35">
      <c r="A35" s="9"/>
      <c r="B35" s="48"/>
      <c r="C35" s="48"/>
      <c r="D35" s="48"/>
      <c r="E35" s="48"/>
    </row>
    <row r="36">
      <c r="A36" s="47"/>
      <c r="B36" s="48"/>
      <c r="C36" s="48"/>
      <c r="D36" s="48"/>
      <c r="E36" s="48"/>
    </row>
  </sheetData>
  <mergeCells count="1">
    <mergeCell ref="N1:O1"/>
  </mergeCells>
  <drawing r:id="rId4"/>
  <legacyDrawing r:id="rId5"/>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38"/>
    <col customWidth="1" min="15" max="15" width="9.88"/>
  </cols>
  <sheetData>
    <row r="1">
      <c r="A1" s="1" t="s">
        <v>52</v>
      </c>
      <c r="B1" s="2">
        <v>45748.0</v>
      </c>
      <c r="C1" s="2">
        <v>45778.0</v>
      </c>
      <c r="D1" s="2">
        <v>45809.0</v>
      </c>
      <c r="E1" s="2">
        <v>45839.0</v>
      </c>
      <c r="F1" s="4">
        <v>45870.0</v>
      </c>
      <c r="G1" s="2">
        <v>45901.0</v>
      </c>
      <c r="H1" s="2">
        <v>45931.0</v>
      </c>
      <c r="I1" s="2">
        <v>45962.0</v>
      </c>
      <c r="J1" s="2">
        <v>45992.0</v>
      </c>
      <c r="K1" s="2">
        <v>46023.0</v>
      </c>
      <c r="L1" s="2">
        <v>46054.0</v>
      </c>
      <c r="M1" s="2">
        <v>46082.0</v>
      </c>
      <c r="N1" s="5" t="s">
        <v>5</v>
      </c>
      <c r="O1" s="6"/>
    </row>
    <row r="2">
      <c r="A2" s="7" t="s">
        <v>6</v>
      </c>
      <c r="B2" s="8"/>
      <c r="C2" s="8"/>
      <c r="D2" s="8"/>
      <c r="E2" s="8"/>
      <c r="F2" s="10"/>
      <c r="G2" s="8"/>
      <c r="H2" s="8"/>
      <c r="I2" s="8"/>
      <c r="J2" s="8"/>
      <c r="K2" s="8"/>
      <c r="L2" s="8"/>
      <c r="M2" s="8"/>
      <c r="N2" s="8"/>
      <c r="O2" s="8"/>
    </row>
    <row r="3">
      <c r="A3" s="11" t="s">
        <v>7</v>
      </c>
      <c r="B3" s="79">
        <v>35790.75</v>
      </c>
      <c r="C3" s="13">
        <f t="shared" ref="C3:M3" si="1">B7</f>
        <v>35819.27</v>
      </c>
      <c r="D3" s="13">
        <f t="shared" si="1"/>
        <v>42257.23</v>
      </c>
      <c r="E3" s="14">
        <f t="shared" si="1"/>
        <v>40083.86</v>
      </c>
      <c r="F3" s="14">
        <f t="shared" si="1"/>
        <v>44361</v>
      </c>
      <c r="G3" s="14">
        <f t="shared" si="1"/>
        <v>34807.62</v>
      </c>
      <c r="H3" s="14">
        <f t="shared" si="1"/>
        <v>36647.52</v>
      </c>
      <c r="I3" s="14">
        <f t="shared" si="1"/>
        <v>45512</v>
      </c>
      <c r="J3" s="14">
        <f t="shared" si="1"/>
        <v>35369.11</v>
      </c>
      <c r="K3" s="14">
        <f t="shared" si="1"/>
        <v>29636</v>
      </c>
      <c r="L3" s="14">
        <f t="shared" si="1"/>
        <v>38743</v>
      </c>
      <c r="M3" s="14">
        <f t="shared" si="1"/>
        <v>33144</v>
      </c>
      <c r="N3" s="15">
        <f>+SUM(J3:L3)</f>
        <v>103748.11</v>
      </c>
      <c r="O3" s="18"/>
    </row>
    <row r="4">
      <c r="A4" s="11" t="s">
        <v>9</v>
      </c>
      <c r="B4" s="16">
        <v>221851.81</v>
      </c>
      <c r="C4" s="16">
        <v>270594.55</v>
      </c>
      <c r="D4" s="16">
        <v>257666.86</v>
      </c>
      <c r="E4" s="17">
        <v>266556.77</v>
      </c>
      <c r="F4" s="17">
        <v>265528.46</v>
      </c>
      <c r="G4" s="17">
        <v>283795.0</v>
      </c>
      <c r="H4" s="17">
        <v>272178.0</v>
      </c>
      <c r="I4" s="17">
        <v>258151.0</v>
      </c>
      <c r="J4" s="17">
        <v>254793.0</v>
      </c>
      <c r="K4" s="17">
        <v>285193.78</v>
      </c>
      <c r="L4" s="17">
        <v>258537.36</v>
      </c>
      <c r="M4" s="17">
        <v>295202.51</v>
      </c>
      <c r="N4" s="15">
        <f>sum(B4:M4)</f>
        <v>3190049.1</v>
      </c>
      <c r="O4" s="18"/>
    </row>
    <row r="5">
      <c r="A5" s="11" t="s">
        <v>10</v>
      </c>
      <c r="B5" s="16">
        <v>815.76</v>
      </c>
      <c r="C5" s="16">
        <v>654.29</v>
      </c>
      <c r="D5" s="16">
        <v>926.78</v>
      </c>
      <c r="E5" s="17">
        <v>30.62</v>
      </c>
      <c r="F5" s="17">
        <v>121.0</v>
      </c>
      <c r="G5" s="17">
        <v>873.06</v>
      </c>
      <c r="H5" s="17">
        <v>2102.0</v>
      </c>
      <c r="I5" s="17">
        <v>2516.83</v>
      </c>
      <c r="J5" s="17">
        <v>1020.0</v>
      </c>
      <c r="K5" s="17">
        <v>858.75</v>
      </c>
      <c r="L5" s="17">
        <v>200.0</v>
      </c>
      <c r="M5" s="17">
        <v>581.06</v>
      </c>
      <c r="N5" s="15">
        <f t="shared" ref="N5:N6" si="2">+SUM(J5:L5)</f>
        <v>2078.75</v>
      </c>
      <c r="O5" s="18"/>
    </row>
    <row r="6">
      <c r="A6" s="11" t="s">
        <v>11</v>
      </c>
      <c r="B6" s="16">
        <v>5497.6</v>
      </c>
      <c r="C6" s="16">
        <v>5973.96</v>
      </c>
      <c r="D6" s="16">
        <v>6915.0</v>
      </c>
      <c r="E6" s="17">
        <v>9045.0</v>
      </c>
      <c r="F6" s="17">
        <v>11579.0</v>
      </c>
      <c r="G6" s="17">
        <v>10278.0</v>
      </c>
      <c r="H6" s="17">
        <v>14177.54</v>
      </c>
      <c r="I6" s="17">
        <v>16394.17</v>
      </c>
      <c r="J6" s="17">
        <v>19699.0</v>
      </c>
      <c r="K6" s="17">
        <v>10684.0</v>
      </c>
      <c r="L6" s="17">
        <v>7844.65</v>
      </c>
      <c r="M6" s="17">
        <v>9355.78</v>
      </c>
      <c r="N6" s="15">
        <f t="shared" si="2"/>
        <v>38227.65</v>
      </c>
      <c r="O6" s="18"/>
    </row>
    <row r="7">
      <c r="A7" s="11" t="s">
        <v>12</v>
      </c>
      <c r="B7" s="16">
        <v>35819.27</v>
      </c>
      <c r="C7" s="16">
        <v>42257.23</v>
      </c>
      <c r="D7" s="13">
        <f>40083.86</f>
        <v>40083.86</v>
      </c>
      <c r="E7" s="17">
        <v>44361.0</v>
      </c>
      <c r="F7" s="17">
        <v>34807.62</v>
      </c>
      <c r="G7" s="17">
        <v>36647.52</v>
      </c>
      <c r="H7" s="17">
        <v>45512.0</v>
      </c>
      <c r="I7" s="17">
        <v>35369.11</v>
      </c>
      <c r="J7" s="17">
        <v>29636.0</v>
      </c>
      <c r="K7" s="17">
        <v>38743.0</v>
      </c>
      <c r="L7" s="17">
        <v>33144.0</v>
      </c>
      <c r="M7" s="17">
        <v>27909.5</v>
      </c>
      <c r="N7" s="15">
        <f>sum(B7:M7)</f>
        <v>444290.11</v>
      </c>
      <c r="O7" s="18"/>
    </row>
    <row r="8">
      <c r="A8" s="8"/>
      <c r="B8" s="8"/>
      <c r="C8" s="8"/>
      <c r="D8" s="8"/>
      <c r="E8" s="8"/>
      <c r="F8" s="10"/>
      <c r="G8" s="8"/>
      <c r="H8" s="8"/>
      <c r="I8" s="8"/>
      <c r="J8" s="8"/>
      <c r="K8" s="8"/>
      <c r="L8" s="8"/>
      <c r="M8" s="8"/>
      <c r="N8" s="8"/>
      <c r="O8" s="8"/>
    </row>
    <row r="9">
      <c r="A9" s="19" t="s">
        <v>13</v>
      </c>
      <c r="B9" s="14">
        <f>965878.32*1.05+14744.43*1.05</f>
        <v>1029653.888</v>
      </c>
      <c r="C9" s="14">
        <f>1156845.24*1.05+23631.36*1.05</f>
        <v>1239500.43</v>
      </c>
      <c r="D9" s="14">
        <f>1128986.75*1.05+23635.4*1.05</f>
        <v>1210253.258</v>
      </c>
      <c r="E9" s="14">
        <f>1077244.62*1.05+21918.89*1.05</f>
        <v>1154121.686</v>
      </c>
      <c r="F9" s="14">
        <f>1126367.91*1.05+23745.13*1.05</f>
        <v>1207618.692</v>
      </c>
      <c r="G9" s="14">
        <f>1193024.76*1.05</f>
        <v>1252675.998</v>
      </c>
      <c r="H9" s="14">
        <f>1096294.12*1.05+28499.55*1.05</f>
        <v>1181033.354</v>
      </c>
      <c r="I9" s="14">
        <f>1013886.59*1.05+27330.08*1.05</f>
        <v>1093277.504</v>
      </c>
      <c r="J9" s="14">
        <f>985351.84*1.05+25585.47*1.05</f>
        <v>1061484.176</v>
      </c>
      <c r="K9" s="14">
        <f>1042741.12*1.05+25389.68*1.05</f>
        <v>1121537.34</v>
      </c>
      <c r="L9" s="14">
        <f>955199*1.05+25864.26*1.05</f>
        <v>1030116.423</v>
      </c>
      <c r="M9" s="14">
        <f>1175673.48*1.05+29694.96*1.05</f>
        <v>1265636.862</v>
      </c>
      <c r="N9" s="15">
        <f t="shared" ref="N9:N12" si="3">+SUM(B9:M9)</f>
        <v>13846909.61</v>
      </c>
      <c r="O9" s="18"/>
    </row>
    <row r="10">
      <c r="A10" s="19" t="s">
        <v>14</v>
      </c>
      <c r="B10" s="17">
        <v>0.0</v>
      </c>
      <c r="C10" s="17">
        <v>0.0</v>
      </c>
      <c r="D10" s="17">
        <v>0.0</v>
      </c>
      <c r="E10" s="17">
        <v>0.0</v>
      </c>
      <c r="F10" s="17">
        <v>0.0</v>
      </c>
      <c r="G10" s="17">
        <v>0.0</v>
      </c>
      <c r="H10" s="17">
        <v>0.0</v>
      </c>
      <c r="I10" s="17">
        <v>0.0</v>
      </c>
      <c r="J10" s="17">
        <v>0.0</v>
      </c>
      <c r="K10" s="17">
        <v>0.0</v>
      </c>
      <c r="L10" s="17">
        <v>0.0</v>
      </c>
      <c r="M10" s="17">
        <v>0.0</v>
      </c>
      <c r="N10" s="15">
        <f t="shared" si="3"/>
        <v>0</v>
      </c>
      <c r="O10" s="18"/>
    </row>
    <row r="11">
      <c r="A11" s="19" t="s">
        <v>15</v>
      </c>
      <c r="B11" s="14">
        <f t="shared" ref="B11:M11" si="4">(B9+B10)/1.05*0.05</f>
        <v>49031.1375</v>
      </c>
      <c r="C11" s="14">
        <f t="shared" si="4"/>
        <v>59023.83</v>
      </c>
      <c r="D11" s="14">
        <f t="shared" si="4"/>
        <v>57631.1075</v>
      </c>
      <c r="E11" s="14">
        <f t="shared" si="4"/>
        <v>54958.1755</v>
      </c>
      <c r="F11" s="14">
        <f t="shared" si="4"/>
        <v>57505.652</v>
      </c>
      <c r="G11" s="14">
        <f t="shared" si="4"/>
        <v>59651.238</v>
      </c>
      <c r="H11" s="14">
        <f t="shared" si="4"/>
        <v>56239.6835</v>
      </c>
      <c r="I11" s="14">
        <f t="shared" si="4"/>
        <v>52060.8335</v>
      </c>
      <c r="J11" s="14">
        <f t="shared" si="4"/>
        <v>50546.8655</v>
      </c>
      <c r="K11" s="14">
        <f t="shared" si="4"/>
        <v>53406.54</v>
      </c>
      <c r="L11" s="14">
        <f t="shared" si="4"/>
        <v>49053.163</v>
      </c>
      <c r="M11" s="14">
        <f t="shared" si="4"/>
        <v>60268.422</v>
      </c>
      <c r="N11" s="15">
        <f t="shared" si="3"/>
        <v>659376.648</v>
      </c>
      <c r="O11" s="18"/>
    </row>
    <row r="12">
      <c r="A12" s="19" t="s">
        <v>17</v>
      </c>
      <c r="B12" s="17">
        <f>34058.87+112.5+6130.6+20.24+52233.57+9402.03+9068.53</f>
        <v>111026.34</v>
      </c>
      <c r="C12" s="17">
        <f>9807.72+54487.3+57800.45+10404.13+37.66+11333.48+2040.03</f>
        <v>145910.77</v>
      </c>
      <c r="D12" s="14">
        <f>54676.98+9841.86+49006.48+8821+19758.96+3556.61</f>
        <v>145661.89</v>
      </c>
      <c r="E12" s="14">
        <f>50812.64+9146.28+59025.58+10624.6+243.76+9731+1751</f>
        <v>141334.86</v>
      </c>
      <c r="F12" s="14">
        <f>50684.24+9123.17+54932.07+9887.77+243.22*1.18+19390.07+3490.19</f>
        <v>147794.5096</v>
      </c>
      <c r="G12" s="14">
        <f>60066.17*1.18+314.93*1.18+62761.94*1.18</f>
        <v>145308.7872</v>
      </c>
      <c r="H12" s="14">
        <f>65738.57*1.18+49043.28*1.18+163.39*1.18+8364.01*1.18</f>
        <v>145504.915</v>
      </c>
      <c r="I12" s="14">
        <f>63077.27*1.18+51249.11*1.18+90.93*1.18</f>
        <v>135012.4258</v>
      </c>
      <c r="J12" s="14">
        <f>(59115.65+423.48)*1.18+53043.34*1.18+339.89*1.18</f>
        <v>133248.3848</v>
      </c>
      <c r="K12" s="14">
        <f>58862.39*1.18+842.14*1.18+56083.59*1.18</f>
        <v>136629.9816</v>
      </c>
      <c r="L12" s="14">
        <f>70224+23801.88+33901+29.58+4284.38+5.32+322.1*1.18</f>
        <v>132626.238</v>
      </c>
      <c r="M12" s="14">
        <f>68614.82*1.18+43705.76*1.18+396.87*1.18+14.6*1.18+24288.66*1.18</f>
        <v>161684.4378</v>
      </c>
      <c r="N12" s="15">
        <f t="shared" si="3"/>
        <v>1681743.54</v>
      </c>
      <c r="O12" s="18"/>
    </row>
    <row r="13">
      <c r="A13" s="21" t="s">
        <v>19</v>
      </c>
      <c r="B13" s="22">
        <f t="shared" ref="B13:M13" si="5">B9+B10-B11-B12</f>
        <v>869596.41</v>
      </c>
      <c r="C13" s="22">
        <f t="shared" si="5"/>
        <v>1034565.83</v>
      </c>
      <c r="D13" s="22">
        <f t="shared" si="5"/>
        <v>1006960.26</v>
      </c>
      <c r="E13" s="22">
        <f t="shared" si="5"/>
        <v>957828.65</v>
      </c>
      <c r="F13" s="23">
        <f t="shared" si="5"/>
        <v>1002318.53</v>
      </c>
      <c r="G13" s="23">
        <f t="shared" si="5"/>
        <v>1047715.973</v>
      </c>
      <c r="H13" s="22">
        <f t="shared" si="5"/>
        <v>979288.755</v>
      </c>
      <c r="I13" s="22">
        <f t="shared" si="5"/>
        <v>906204.2442</v>
      </c>
      <c r="J13" s="22">
        <f t="shared" si="5"/>
        <v>877688.9252</v>
      </c>
      <c r="K13" s="22">
        <f t="shared" si="5"/>
        <v>931500.8184</v>
      </c>
      <c r="L13" s="22">
        <f t="shared" si="5"/>
        <v>848437.022</v>
      </c>
      <c r="M13" s="22">
        <f t="shared" si="5"/>
        <v>1043684.002</v>
      </c>
      <c r="N13" s="22">
        <f t="shared" ref="N13:N29" si="7">sum(B13:M13)</f>
        <v>11505789.42</v>
      </c>
      <c r="O13" s="24"/>
    </row>
    <row r="14">
      <c r="A14" s="19" t="s">
        <v>20</v>
      </c>
      <c r="B14" s="26">
        <f t="shared" ref="B14:M14" si="6">+B3+B4-B5-B7</f>
        <v>221007.53</v>
      </c>
      <c r="C14" s="26">
        <f t="shared" si="6"/>
        <v>263502.3</v>
      </c>
      <c r="D14" s="26">
        <f t="shared" si="6"/>
        <v>258913.45</v>
      </c>
      <c r="E14" s="26">
        <f t="shared" si="6"/>
        <v>262249.01</v>
      </c>
      <c r="F14" s="26">
        <f t="shared" si="6"/>
        <v>274960.84</v>
      </c>
      <c r="G14" s="26">
        <f t="shared" si="6"/>
        <v>281082.04</v>
      </c>
      <c r="H14" s="26">
        <f t="shared" si="6"/>
        <v>261211.52</v>
      </c>
      <c r="I14" s="26">
        <f t="shared" si="6"/>
        <v>265777.06</v>
      </c>
      <c r="J14" s="26">
        <f t="shared" si="6"/>
        <v>259506.11</v>
      </c>
      <c r="K14" s="26">
        <f t="shared" si="6"/>
        <v>275228.03</v>
      </c>
      <c r="L14" s="26">
        <f t="shared" si="6"/>
        <v>263936.36</v>
      </c>
      <c r="M14" s="26">
        <f t="shared" si="6"/>
        <v>299855.95</v>
      </c>
      <c r="N14" s="15">
        <f t="shared" si="7"/>
        <v>3187230.2</v>
      </c>
      <c r="O14" s="27">
        <f t="shared" ref="O14:O27" si="8">N14/$N$13</f>
        <v>0.2770109971</v>
      </c>
    </row>
    <row r="15">
      <c r="A15" s="19" t="s">
        <v>21</v>
      </c>
      <c r="B15" s="17">
        <f>49609+1557</f>
        <v>51166</v>
      </c>
      <c r="C15" s="17">
        <f>47160.79+6512.11</f>
        <v>53672.9</v>
      </c>
      <c r="D15" s="17">
        <f>40820+6260</f>
        <v>47080</v>
      </c>
      <c r="E15" s="17">
        <f>7300+44100</f>
        <v>51400</v>
      </c>
      <c r="F15" s="17">
        <v>47440.0</v>
      </c>
      <c r="G15" s="14">
        <f>53770+7730</f>
        <v>61500</v>
      </c>
      <c r="H15" s="17">
        <f>47170+7140</f>
        <v>54310</v>
      </c>
      <c r="I15" s="14">
        <f>31660+7110</f>
        <v>38770</v>
      </c>
      <c r="J15" s="17">
        <f>26190+7160</f>
        <v>33350</v>
      </c>
      <c r="K15" s="14">
        <f>25710+7210</f>
        <v>32920</v>
      </c>
      <c r="L15" s="17">
        <f>31530+6930</f>
        <v>38460</v>
      </c>
      <c r="M15" s="17">
        <f>50240+7910</f>
        <v>58150</v>
      </c>
      <c r="N15" s="15">
        <f t="shared" si="7"/>
        <v>568218.9</v>
      </c>
      <c r="O15" s="27">
        <f t="shared" si="8"/>
        <v>0.04938547711</v>
      </c>
    </row>
    <row r="16">
      <c r="A16" s="19" t="s">
        <v>22</v>
      </c>
      <c r="B16" s="14">
        <f t="shared" ref="B16:D16" si="9">352.82</f>
        <v>352.82</v>
      </c>
      <c r="C16" s="14">
        <f t="shared" si="9"/>
        <v>352.82</v>
      </c>
      <c r="D16" s="14">
        <f t="shared" si="9"/>
        <v>352.82</v>
      </c>
      <c r="E16" s="14">
        <f>6018/12+352</f>
        <v>853.5</v>
      </c>
      <c r="F16" s="14">
        <f t="shared" ref="F16:M16" si="10">6018/12+352.82</f>
        <v>854.32</v>
      </c>
      <c r="G16" s="14">
        <f t="shared" si="10"/>
        <v>854.32</v>
      </c>
      <c r="H16" s="14">
        <f t="shared" si="10"/>
        <v>854.32</v>
      </c>
      <c r="I16" s="14">
        <f t="shared" si="10"/>
        <v>854.32</v>
      </c>
      <c r="J16" s="14">
        <f t="shared" si="10"/>
        <v>854.32</v>
      </c>
      <c r="K16" s="14">
        <f t="shared" si="10"/>
        <v>854.32</v>
      </c>
      <c r="L16" s="14">
        <f t="shared" si="10"/>
        <v>854.32</v>
      </c>
      <c r="M16" s="14">
        <f t="shared" si="10"/>
        <v>854.32</v>
      </c>
      <c r="N16" s="15">
        <f t="shared" si="7"/>
        <v>8746.52</v>
      </c>
      <c r="O16" s="27">
        <f t="shared" si="8"/>
        <v>0.0007601842586</v>
      </c>
    </row>
    <row r="17">
      <c r="A17" s="19" t="s">
        <v>23</v>
      </c>
      <c r="B17" s="14">
        <f>17085</f>
        <v>17085</v>
      </c>
      <c r="C17" s="17">
        <v>21990.0</v>
      </c>
      <c r="D17" s="17">
        <v>19992.0</v>
      </c>
      <c r="E17" s="14">
        <f>25744</f>
        <v>25744</v>
      </c>
      <c r="F17" s="17">
        <v>20468.0</v>
      </c>
      <c r="G17" s="17">
        <v>30480.0</v>
      </c>
      <c r="H17" s="17">
        <v>20026.0</v>
      </c>
      <c r="I17" s="14">
        <f>27612</f>
        <v>27612</v>
      </c>
      <c r="J17" s="17">
        <v>27432.0</v>
      </c>
      <c r="K17" s="17">
        <v>31065.0</v>
      </c>
      <c r="L17" s="14">
        <f>25268</f>
        <v>25268</v>
      </c>
      <c r="M17" s="14">
        <f>9378+12*3556</f>
        <v>52050</v>
      </c>
      <c r="N17" s="15">
        <f t="shared" si="7"/>
        <v>319212</v>
      </c>
      <c r="O17" s="27">
        <f t="shared" si="8"/>
        <v>0.02774359832</v>
      </c>
    </row>
    <row r="18">
      <c r="A18" s="19" t="s">
        <v>24</v>
      </c>
      <c r="B18" s="14">
        <f>34125+34125</f>
        <v>68250</v>
      </c>
      <c r="C18" s="14">
        <f>(34125+34125)*1.18</f>
        <v>80535</v>
      </c>
      <c r="D18" s="14">
        <f t="shared" ref="D18:G18" si="11">40268+40268</f>
        <v>80536</v>
      </c>
      <c r="E18" s="14">
        <f t="shared" si="11"/>
        <v>80536</v>
      </c>
      <c r="F18" s="14">
        <f t="shared" si="11"/>
        <v>80536</v>
      </c>
      <c r="G18" s="14">
        <f t="shared" si="11"/>
        <v>80536</v>
      </c>
      <c r="H18" s="14">
        <f t="shared" ref="H18:M18" si="12">42280.58+42280.5</f>
        <v>84561.08</v>
      </c>
      <c r="I18" s="14">
        <f t="shared" si="12"/>
        <v>84561.08</v>
      </c>
      <c r="J18" s="14">
        <f t="shared" si="12"/>
        <v>84561.08</v>
      </c>
      <c r="K18" s="14">
        <f t="shared" si="12"/>
        <v>84561.08</v>
      </c>
      <c r="L18" s="14">
        <f t="shared" si="12"/>
        <v>84561.08</v>
      </c>
      <c r="M18" s="14">
        <f t="shared" si="12"/>
        <v>84561.08</v>
      </c>
      <c r="N18" s="15">
        <f t="shared" si="7"/>
        <v>978295.48</v>
      </c>
      <c r="O18" s="27">
        <f t="shared" si="8"/>
        <v>0.08502636753</v>
      </c>
    </row>
    <row r="19">
      <c r="A19" s="19" t="s">
        <v>25</v>
      </c>
      <c r="B19" s="17">
        <v>5767.0</v>
      </c>
      <c r="C19" s="17">
        <v>5767.0</v>
      </c>
      <c r="D19" s="17">
        <v>5767.0</v>
      </c>
      <c r="E19" s="17">
        <v>5767.0</v>
      </c>
      <c r="F19" s="17">
        <v>5767.0</v>
      </c>
      <c r="G19" s="17">
        <v>5767.0</v>
      </c>
      <c r="H19" s="17">
        <v>5767.0</v>
      </c>
      <c r="I19" s="17">
        <f>69207/12</f>
        <v>5767.25</v>
      </c>
      <c r="J19" s="17">
        <v>5767.0</v>
      </c>
      <c r="K19" s="17">
        <v>5767.0</v>
      </c>
      <c r="L19" s="17">
        <v>5767.0</v>
      </c>
      <c r="M19" s="17">
        <v>5767.0</v>
      </c>
      <c r="N19" s="15">
        <f t="shared" si="7"/>
        <v>69204.25</v>
      </c>
      <c r="O19" s="27">
        <f t="shared" si="8"/>
        <v>0.006014732886</v>
      </c>
    </row>
    <row r="20">
      <c r="A20" s="20" t="s">
        <v>26</v>
      </c>
      <c r="B20" s="14">
        <f>187946+55972/12</f>
        <v>192610.3333</v>
      </c>
      <c r="C20" s="14">
        <f>198594.19+55972/12</f>
        <v>203258.5233</v>
      </c>
      <c r="D20" s="14">
        <f>131993.71+54755.82+3422.99+55972/12</f>
        <v>194836.8533</v>
      </c>
      <c r="E20" s="14">
        <f>187261+55972/12</f>
        <v>191925.3333</v>
      </c>
      <c r="F20" s="14">
        <f>188860.65+55972/12</f>
        <v>193524.9833</v>
      </c>
      <c r="G20" s="14">
        <f>187437+55972/12</f>
        <v>192101.3333</v>
      </c>
      <c r="H20" s="14">
        <f>55972/12+167684.48</f>
        <v>172348.8133</v>
      </c>
      <c r="I20" s="14">
        <f>55972/12+208239</f>
        <v>212903.3333</v>
      </c>
      <c r="J20" s="14">
        <f>55972/12+195399</f>
        <v>200063.3333</v>
      </c>
      <c r="K20" s="14">
        <f>55972/12+207275</f>
        <v>211939.3333</v>
      </c>
      <c r="L20" s="14">
        <f>55972/12+190084</f>
        <v>194748.3333</v>
      </c>
      <c r="M20" s="14">
        <f>55972/12+179345</f>
        <v>184009.3333</v>
      </c>
      <c r="N20" s="15">
        <f t="shared" si="7"/>
        <v>2344269.84</v>
      </c>
      <c r="O20" s="27">
        <f t="shared" si="8"/>
        <v>0.2037469794</v>
      </c>
    </row>
    <row r="21">
      <c r="A21" s="11" t="s">
        <v>27</v>
      </c>
      <c r="B21" s="17">
        <f>3540+2360+5145+18032/12</f>
        <v>12547.66667</v>
      </c>
      <c r="C21" s="17">
        <f t="shared" ref="C21:D21" si="13">3717+2360+5145+18032/12</f>
        <v>12724.66667</v>
      </c>
      <c r="D21" s="17">
        <f t="shared" si="13"/>
        <v>12724.66667</v>
      </c>
      <c r="E21" s="14">
        <f>5145+2360+3717+18032/12</f>
        <v>12724.66667</v>
      </c>
      <c r="F21" s="72">
        <f>3717+2360+5145+18032/12</f>
        <v>12724.66667</v>
      </c>
      <c r="G21" s="14">
        <f>18032/12+5145+2360+3717+1160</f>
        <v>13884.66667</v>
      </c>
      <c r="H21" s="14">
        <f>18032/12+5145+3717+2360</f>
        <v>12724.66667</v>
      </c>
      <c r="I21" s="14">
        <f>18032/12+5145+1400+2360+3717</f>
        <v>14124.66667</v>
      </c>
      <c r="J21" s="14">
        <f>18032/12+6077+5145</f>
        <v>12724.66667</v>
      </c>
      <c r="K21" s="14">
        <f>18032/12+5145+2360+3717</f>
        <v>12724.66667</v>
      </c>
      <c r="L21" s="14">
        <f>18032/12+2596+3717+5145</f>
        <v>12960.66667</v>
      </c>
      <c r="M21" s="14">
        <f>18032/12+5145+3717+2956+450</f>
        <v>13770.66667</v>
      </c>
      <c r="N21" s="15">
        <f t="shared" si="7"/>
        <v>156361</v>
      </c>
      <c r="O21" s="27">
        <f t="shared" si="8"/>
        <v>0.01358976723</v>
      </c>
    </row>
    <row r="22">
      <c r="A22" s="32" t="s">
        <v>28</v>
      </c>
      <c r="B22" s="14">
        <f t="shared" ref="B22:D22" si="14">9000/3+2124/3+9813/12+6372/12</f>
        <v>5056.75</v>
      </c>
      <c r="C22" s="14">
        <f t="shared" si="14"/>
        <v>5056.75</v>
      </c>
      <c r="D22" s="14">
        <f t="shared" si="14"/>
        <v>5056.75</v>
      </c>
      <c r="E22" s="14">
        <f t="shared" ref="E22:J22" si="15">9813/12+6372/12+2124/3+9000/3</f>
        <v>5056.75</v>
      </c>
      <c r="F22" s="14">
        <f t="shared" si="15"/>
        <v>5056.75</v>
      </c>
      <c r="G22" s="14">
        <f t="shared" si="15"/>
        <v>5056.75</v>
      </c>
      <c r="H22" s="14">
        <f t="shared" si="15"/>
        <v>5056.75</v>
      </c>
      <c r="I22" s="14">
        <f t="shared" si="15"/>
        <v>5056.75</v>
      </c>
      <c r="J22" s="14">
        <f t="shared" si="15"/>
        <v>5056.75</v>
      </c>
      <c r="K22" s="14">
        <f t="shared" ref="K22:M22" si="16">9813/12+6372/12+3271.32/3</f>
        <v>2439.19</v>
      </c>
      <c r="L22" s="14">
        <f t="shared" si="16"/>
        <v>2439.19</v>
      </c>
      <c r="M22" s="14">
        <f t="shared" si="16"/>
        <v>2439.19</v>
      </c>
      <c r="N22" s="15">
        <f t="shared" si="7"/>
        <v>52828.32</v>
      </c>
      <c r="O22" s="27">
        <f t="shared" si="8"/>
        <v>0.00459145549</v>
      </c>
    </row>
    <row r="23">
      <c r="A23" s="20" t="s">
        <v>29</v>
      </c>
      <c r="B23" s="33"/>
      <c r="C23" s="34"/>
      <c r="D23" s="34"/>
      <c r="E23" s="34"/>
      <c r="F23" s="14"/>
      <c r="G23" s="14"/>
      <c r="H23" s="14"/>
      <c r="I23" s="14"/>
      <c r="J23" s="14"/>
      <c r="K23" s="14"/>
      <c r="L23" s="14"/>
      <c r="M23" s="14"/>
      <c r="N23" s="15">
        <f t="shared" si="7"/>
        <v>0</v>
      </c>
      <c r="O23" s="27">
        <f t="shared" si="8"/>
        <v>0</v>
      </c>
    </row>
    <row r="24">
      <c r="A24" s="19" t="s">
        <v>30</v>
      </c>
      <c r="B24" s="33">
        <v>1300.0</v>
      </c>
      <c r="C24" s="34">
        <f>4600</f>
        <v>4600</v>
      </c>
      <c r="D24" s="34">
        <f>43660/12+6915</f>
        <v>10553.33333</v>
      </c>
      <c r="E24" s="34">
        <f>43660/12+1610</f>
        <v>5248.333333</v>
      </c>
      <c r="F24" s="34">
        <f>43660/12+8750</f>
        <v>12388.33333</v>
      </c>
      <c r="G24" s="34">
        <f>43660/12+5685</f>
        <v>9323.333333</v>
      </c>
      <c r="H24" s="34">
        <f>43660/12+6586</f>
        <v>10224.33333</v>
      </c>
      <c r="I24" s="34">
        <f>43660/12+8185</f>
        <v>11823.33333</v>
      </c>
      <c r="J24" s="34">
        <f>43660/12+16130</f>
        <v>19768.33333</v>
      </c>
      <c r="K24" s="34">
        <f>43660/12+14110</f>
        <v>17748.33333</v>
      </c>
      <c r="L24" s="34">
        <f>43660/12+28190</f>
        <v>31828.33333</v>
      </c>
      <c r="M24" s="34">
        <f>43660/12+3400</f>
        <v>7038.333333</v>
      </c>
      <c r="N24" s="15">
        <f t="shared" si="7"/>
        <v>141844.3333</v>
      </c>
      <c r="O24" s="27">
        <f t="shared" si="8"/>
        <v>0.01232808355</v>
      </c>
    </row>
    <row r="25">
      <c r="A25" s="19" t="s">
        <v>31</v>
      </c>
      <c r="B25" s="17">
        <v>18964.0</v>
      </c>
      <c r="C25" s="17">
        <v>4873.43</v>
      </c>
      <c r="D25" s="17">
        <v>5088.0</v>
      </c>
      <c r="E25" s="14">
        <f>7185</f>
        <v>7185</v>
      </c>
      <c r="F25" s="14">
        <f>3037.53</f>
        <v>3037.53</v>
      </c>
      <c r="G25" s="17">
        <v>13594.75</v>
      </c>
      <c r="H25" s="17">
        <v>13008.91</v>
      </c>
      <c r="I25" s="14">
        <f>12615.7</f>
        <v>12615.7</v>
      </c>
      <c r="J25" s="14">
        <f>4031</f>
        <v>4031</v>
      </c>
      <c r="K25" s="17">
        <v>10615.0</v>
      </c>
      <c r="L25" s="17">
        <v>5954.88</v>
      </c>
      <c r="M25" s="17">
        <v>22287.0</v>
      </c>
      <c r="N25" s="15">
        <f t="shared" si="7"/>
        <v>121255.2</v>
      </c>
      <c r="O25" s="27">
        <f t="shared" si="8"/>
        <v>0.010538625</v>
      </c>
    </row>
    <row r="26">
      <c r="A26" s="19" t="s">
        <v>32</v>
      </c>
      <c r="B26" s="14"/>
      <c r="C26" s="14"/>
      <c r="D26" s="14"/>
      <c r="E26" s="14"/>
      <c r="F26" s="14"/>
      <c r="G26" s="14"/>
      <c r="H26" s="14"/>
      <c r="I26" s="14"/>
      <c r="J26" s="14"/>
      <c r="K26" s="14"/>
      <c r="L26" s="14"/>
      <c r="M26" s="14"/>
      <c r="N26" s="15">
        <f t="shared" si="7"/>
        <v>0</v>
      </c>
      <c r="O26" s="27">
        <f t="shared" si="8"/>
        <v>0</v>
      </c>
    </row>
    <row r="27">
      <c r="A27" s="19" t="s">
        <v>33</v>
      </c>
      <c r="B27" s="14">
        <f>HO!D36</f>
        <v>176378.4566</v>
      </c>
      <c r="C27" s="14">
        <f>HO!H36</f>
        <v>207895.2229</v>
      </c>
      <c r="D27" s="14">
        <f>HO!L36</f>
        <v>200281.0924</v>
      </c>
      <c r="E27" s="14">
        <f>HO!P36</f>
        <v>204874.8085</v>
      </c>
      <c r="F27" s="14">
        <f>HO!D55</f>
        <v>196620.1761</v>
      </c>
      <c r="G27" s="14">
        <f>HO!H55</f>
        <v>225338.6806</v>
      </c>
      <c r="H27" s="14">
        <f>HO!L55</f>
        <v>188718.8997</v>
      </c>
      <c r="I27" s="14">
        <f>HO!P55</f>
        <v>195510.3802</v>
      </c>
      <c r="J27" s="14">
        <f>HO!D74</f>
        <v>165270.8569</v>
      </c>
      <c r="K27" s="14">
        <f>HO!H74</f>
        <v>181551.2537</v>
      </c>
      <c r="L27" s="14">
        <f>HO!L74</f>
        <v>177508.1475</v>
      </c>
      <c r="M27" s="14">
        <f>HO!P74</f>
        <v>192215.0231</v>
      </c>
      <c r="N27" s="15">
        <f t="shared" si="7"/>
        <v>2312162.998</v>
      </c>
      <c r="O27" s="27">
        <f t="shared" si="8"/>
        <v>0.2009564849</v>
      </c>
    </row>
    <row r="28">
      <c r="A28" s="35" t="s">
        <v>34</v>
      </c>
      <c r="B28" s="36">
        <f t="shared" ref="B28:M28" si="17">+SUM(B14:B27)</f>
        <v>770485.5566</v>
      </c>
      <c r="C28" s="36">
        <f t="shared" si="17"/>
        <v>864228.6129</v>
      </c>
      <c r="D28" s="36">
        <f t="shared" si="17"/>
        <v>841181.9658</v>
      </c>
      <c r="E28" s="36">
        <f t="shared" si="17"/>
        <v>853564.4018</v>
      </c>
      <c r="F28" s="37">
        <f t="shared" si="17"/>
        <v>853378.5994</v>
      </c>
      <c r="G28" s="36">
        <f t="shared" si="17"/>
        <v>919518.8739</v>
      </c>
      <c r="H28" s="36">
        <f t="shared" si="17"/>
        <v>828812.2931</v>
      </c>
      <c r="I28" s="36">
        <f t="shared" si="17"/>
        <v>875375.8736</v>
      </c>
      <c r="J28" s="36">
        <f t="shared" si="17"/>
        <v>818385.4502</v>
      </c>
      <c r="K28" s="36">
        <f t="shared" si="17"/>
        <v>867413.207</v>
      </c>
      <c r="L28" s="36">
        <f t="shared" si="17"/>
        <v>844286.3108</v>
      </c>
      <c r="M28" s="36">
        <f t="shared" si="17"/>
        <v>922997.8965</v>
      </c>
      <c r="N28" s="36">
        <f t="shared" si="7"/>
        <v>10259629.04</v>
      </c>
      <c r="O28" s="38">
        <f>N28/N13</f>
        <v>0.8916927528</v>
      </c>
    </row>
    <row r="29">
      <c r="A29" s="39" t="s">
        <v>35</v>
      </c>
      <c r="B29" s="40">
        <f t="shared" ref="B29:M29" si="18">B13-B28</f>
        <v>99110.85341</v>
      </c>
      <c r="C29" s="40">
        <f t="shared" si="18"/>
        <v>170337.2171</v>
      </c>
      <c r="D29" s="40">
        <f t="shared" si="18"/>
        <v>165778.2942</v>
      </c>
      <c r="E29" s="40">
        <f t="shared" si="18"/>
        <v>104264.2482</v>
      </c>
      <c r="F29" s="40">
        <f t="shared" si="18"/>
        <v>148939.931</v>
      </c>
      <c r="G29" s="40">
        <f t="shared" si="18"/>
        <v>128197.0989</v>
      </c>
      <c r="H29" s="40">
        <f t="shared" si="18"/>
        <v>150476.4619</v>
      </c>
      <c r="I29" s="40">
        <f t="shared" si="18"/>
        <v>30828.37064</v>
      </c>
      <c r="J29" s="40">
        <f t="shared" si="18"/>
        <v>59303.47497</v>
      </c>
      <c r="K29" s="40">
        <f t="shared" si="18"/>
        <v>64087.61141</v>
      </c>
      <c r="L29" s="40">
        <f t="shared" si="18"/>
        <v>4150.711203</v>
      </c>
      <c r="M29" s="40">
        <f t="shared" si="18"/>
        <v>120686.1057</v>
      </c>
      <c r="N29" s="40">
        <f t="shared" si="7"/>
        <v>1246160.379</v>
      </c>
      <c r="O29" s="41">
        <f>N29/N13</f>
        <v>0.1083072472</v>
      </c>
    </row>
    <row r="30">
      <c r="A30" s="42" t="s">
        <v>36</v>
      </c>
      <c r="B30" s="43">
        <f t="shared" ref="B30:M30" si="19">(B14/B13)</f>
        <v>0.2541495428</v>
      </c>
      <c r="C30" s="43">
        <f t="shared" si="19"/>
        <v>0.2546984371</v>
      </c>
      <c r="D30" s="43">
        <f t="shared" si="19"/>
        <v>0.2571238015</v>
      </c>
      <c r="E30" s="43">
        <f t="shared" si="19"/>
        <v>0.2737953286</v>
      </c>
      <c r="F30" s="44">
        <f t="shared" si="19"/>
        <v>0.2743248096</v>
      </c>
      <c r="G30" s="43">
        <f t="shared" si="19"/>
        <v>0.2682807624</v>
      </c>
      <c r="H30" s="43">
        <f t="shared" si="19"/>
        <v>0.2667359537</v>
      </c>
      <c r="I30" s="43">
        <f t="shared" si="19"/>
        <v>0.2932860464</v>
      </c>
      <c r="J30" s="43">
        <f t="shared" si="19"/>
        <v>0.2956698012</v>
      </c>
      <c r="K30" s="43">
        <f t="shared" si="19"/>
        <v>0.2954672981</v>
      </c>
      <c r="L30" s="43">
        <f t="shared" si="19"/>
        <v>0.3110853878</v>
      </c>
      <c r="M30" s="43">
        <f t="shared" si="19"/>
        <v>0.2873053044</v>
      </c>
      <c r="N30" s="45"/>
      <c r="O30" s="45"/>
    </row>
    <row r="32">
      <c r="B32" s="46">
        <f t="shared" ref="B32:M32" si="20">B29+B27</f>
        <v>275489.31</v>
      </c>
      <c r="C32" s="46">
        <f t="shared" si="20"/>
        <v>378232.44</v>
      </c>
      <c r="D32" s="46">
        <f t="shared" si="20"/>
        <v>366059.3867</v>
      </c>
      <c r="E32" s="46">
        <f t="shared" si="20"/>
        <v>309139.0567</v>
      </c>
      <c r="F32" s="46">
        <f t="shared" si="20"/>
        <v>345560.1071</v>
      </c>
      <c r="G32" s="46">
        <f t="shared" si="20"/>
        <v>353535.7795</v>
      </c>
      <c r="H32" s="46">
        <f t="shared" si="20"/>
        <v>339195.3617</v>
      </c>
      <c r="I32" s="46">
        <f t="shared" si="20"/>
        <v>226338.7509</v>
      </c>
      <c r="J32" s="46">
        <f t="shared" si="20"/>
        <v>224574.3319</v>
      </c>
      <c r="K32" s="46">
        <f t="shared" si="20"/>
        <v>245638.8651</v>
      </c>
      <c r="L32" s="46">
        <f t="shared" si="20"/>
        <v>181658.8587</v>
      </c>
      <c r="M32" s="46">
        <f t="shared" si="20"/>
        <v>312901.1289</v>
      </c>
    </row>
    <row r="33">
      <c r="A33" s="47"/>
      <c r="B33" s="48">
        <f t="shared" ref="B33:M33" si="21">B32/B13</f>
        <v>0.3168013424</v>
      </c>
      <c r="C33" s="48">
        <f t="shared" si="21"/>
        <v>0.3655953338</v>
      </c>
      <c r="D33" s="48">
        <f t="shared" si="21"/>
        <v>0.3635291294</v>
      </c>
      <c r="E33" s="48">
        <f t="shared" si="21"/>
        <v>0.3227498537</v>
      </c>
      <c r="F33" s="48">
        <f t="shared" si="21"/>
        <v>0.3447607687</v>
      </c>
      <c r="G33" s="48">
        <f t="shared" si="21"/>
        <v>0.337434752</v>
      </c>
      <c r="H33" s="48">
        <f t="shared" si="21"/>
        <v>0.3463690969</v>
      </c>
      <c r="I33" s="48">
        <f t="shared" si="21"/>
        <v>0.2497657149</v>
      </c>
      <c r="J33" s="48">
        <f t="shared" si="21"/>
        <v>0.2558700759</v>
      </c>
      <c r="K33" s="48">
        <f t="shared" si="21"/>
        <v>0.2637022536</v>
      </c>
      <c r="L33" s="48">
        <f t="shared" si="21"/>
        <v>0.2141100093</v>
      </c>
      <c r="M33" s="48">
        <f t="shared" si="21"/>
        <v>0.2998044698</v>
      </c>
    </row>
    <row r="34">
      <c r="A34" s="47"/>
      <c r="B34" s="48"/>
      <c r="C34" s="48"/>
      <c r="D34" s="48"/>
      <c r="E34" s="48"/>
    </row>
    <row r="35">
      <c r="A35" s="9"/>
      <c r="B35" s="48"/>
      <c r="C35" s="48"/>
      <c r="D35" s="48"/>
      <c r="E35" s="48"/>
    </row>
    <row r="36">
      <c r="A36" s="47"/>
      <c r="B36" s="48"/>
      <c r="C36" s="48"/>
      <c r="D36" s="48"/>
      <c r="E36" s="48"/>
    </row>
  </sheetData>
  <mergeCells count="1">
    <mergeCell ref="N1:O1"/>
  </mergeCells>
  <drawing r:id="rId4"/>
  <legacyDrawing r:id="rId5"/>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38"/>
    <col customWidth="1" min="15" max="15" width="8.5"/>
  </cols>
  <sheetData>
    <row r="1">
      <c r="A1" s="1" t="s">
        <v>55</v>
      </c>
      <c r="B1" s="2">
        <v>45748.0</v>
      </c>
      <c r="C1" s="2">
        <v>45778.0</v>
      </c>
      <c r="D1" s="2">
        <v>45809.0</v>
      </c>
      <c r="E1" s="2">
        <v>45839.0</v>
      </c>
      <c r="F1" s="4">
        <v>45870.0</v>
      </c>
      <c r="G1" s="2">
        <v>45901.0</v>
      </c>
      <c r="H1" s="2">
        <v>45931.0</v>
      </c>
      <c r="I1" s="2">
        <v>45962.0</v>
      </c>
      <c r="J1" s="2">
        <v>45992.0</v>
      </c>
      <c r="K1" s="2">
        <v>46023.0</v>
      </c>
      <c r="L1" s="2">
        <v>46054.0</v>
      </c>
      <c r="M1" s="2">
        <v>46082.0</v>
      </c>
      <c r="N1" s="5" t="s">
        <v>5</v>
      </c>
      <c r="O1" s="6"/>
    </row>
    <row r="2">
      <c r="A2" s="7" t="s">
        <v>6</v>
      </c>
      <c r="B2" s="8"/>
      <c r="C2" s="8"/>
      <c r="D2" s="8"/>
      <c r="E2" s="8"/>
      <c r="F2" s="10"/>
      <c r="G2" s="8"/>
      <c r="H2" s="8"/>
      <c r="I2" s="8"/>
      <c r="J2" s="8"/>
      <c r="K2" s="8"/>
      <c r="L2" s="8"/>
      <c r="M2" s="8"/>
      <c r="N2" s="22"/>
      <c r="O2" s="22"/>
    </row>
    <row r="3">
      <c r="A3" s="11" t="s">
        <v>7</v>
      </c>
      <c r="B3" s="79">
        <v>21194.92</v>
      </c>
      <c r="C3" s="13">
        <f t="shared" ref="C3:M3" si="1">B7</f>
        <v>21050</v>
      </c>
      <c r="D3" s="13">
        <f t="shared" si="1"/>
        <v>20124.19</v>
      </c>
      <c r="E3" s="13">
        <f t="shared" si="1"/>
        <v>20673</v>
      </c>
      <c r="F3" s="13">
        <f t="shared" si="1"/>
        <v>20106</v>
      </c>
      <c r="G3" s="13">
        <f t="shared" si="1"/>
        <v>18750.26</v>
      </c>
      <c r="H3" s="13">
        <f t="shared" si="1"/>
        <v>26751.92</v>
      </c>
      <c r="I3" s="13">
        <f t="shared" si="1"/>
        <v>26621.51</v>
      </c>
      <c r="J3" s="13">
        <f t="shared" si="1"/>
        <v>19499.95</v>
      </c>
      <c r="K3" s="13">
        <f t="shared" si="1"/>
        <v>24585</v>
      </c>
      <c r="L3" s="13">
        <f t="shared" si="1"/>
        <v>21039.91</v>
      </c>
      <c r="M3" s="13">
        <f t="shared" si="1"/>
        <v>17507.71</v>
      </c>
      <c r="N3" s="15">
        <f>+SUM(J3:L3)</f>
        <v>65124.86</v>
      </c>
      <c r="O3" s="18"/>
    </row>
    <row r="4">
      <c r="A4" s="11" t="s">
        <v>9</v>
      </c>
      <c r="B4" s="16">
        <v>125825.06</v>
      </c>
      <c r="C4" s="16">
        <v>154923.55</v>
      </c>
      <c r="D4" s="17">
        <v>144937.6</v>
      </c>
      <c r="E4" s="17">
        <v>164200.72</v>
      </c>
      <c r="F4" s="17">
        <v>159612.0</v>
      </c>
      <c r="G4" s="17">
        <v>183936.0</v>
      </c>
      <c r="H4" s="14">
        <f>187759.26</f>
        <v>187759.26</v>
      </c>
      <c r="I4" s="17">
        <v>162872.58</v>
      </c>
      <c r="J4" s="17">
        <v>181868.83</v>
      </c>
      <c r="K4" s="17">
        <v>162489.0</v>
      </c>
      <c r="L4" s="14">
        <f>169946.16</f>
        <v>169946.16</v>
      </c>
      <c r="M4" s="17">
        <v>226082.33</v>
      </c>
      <c r="N4" s="15">
        <f>sum(B4:M4)</f>
        <v>2024453.09</v>
      </c>
      <c r="O4" s="18"/>
    </row>
    <row r="5">
      <c r="A5" s="11" t="s">
        <v>10</v>
      </c>
      <c r="B5" s="16">
        <v>368.17</v>
      </c>
      <c r="C5" s="16">
        <v>548.1</v>
      </c>
      <c r="D5" s="17">
        <v>635.58</v>
      </c>
      <c r="E5" s="17">
        <v>578.0</v>
      </c>
      <c r="F5" s="17">
        <v>297.0</v>
      </c>
      <c r="G5" s="17">
        <v>309.33</v>
      </c>
      <c r="H5" s="17">
        <v>606.6</v>
      </c>
      <c r="I5" s="17">
        <v>843.62</v>
      </c>
      <c r="J5" s="17">
        <v>848.0</v>
      </c>
      <c r="K5" s="17">
        <v>59.0</v>
      </c>
      <c r="L5" s="17">
        <v>31.13</v>
      </c>
      <c r="M5" s="17">
        <v>0.0</v>
      </c>
      <c r="N5" s="15">
        <f t="shared" ref="N5:N6" si="2">+SUM(J5:L5)</f>
        <v>938.13</v>
      </c>
      <c r="O5" s="18"/>
    </row>
    <row r="6">
      <c r="A6" s="11" t="s">
        <v>11</v>
      </c>
      <c r="B6" s="16">
        <v>6637.47</v>
      </c>
      <c r="C6" s="16">
        <v>6124.53</v>
      </c>
      <c r="D6" s="17">
        <v>6901.46</v>
      </c>
      <c r="E6" s="17">
        <v>5118.28</v>
      </c>
      <c r="F6" s="17">
        <v>5208.0</v>
      </c>
      <c r="G6" s="17">
        <v>5073.82</v>
      </c>
      <c r="H6" s="17">
        <v>5293.62</v>
      </c>
      <c r="I6" s="17">
        <v>4818.84</v>
      </c>
      <c r="J6" s="17">
        <v>4708.0</v>
      </c>
      <c r="K6" s="17">
        <v>4687.0</v>
      </c>
      <c r="L6" s="17">
        <v>3450.55</v>
      </c>
      <c r="M6" s="17">
        <v>5412.21</v>
      </c>
      <c r="N6" s="15">
        <f t="shared" si="2"/>
        <v>12845.55</v>
      </c>
      <c r="O6" s="18"/>
    </row>
    <row r="7">
      <c r="A7" s="11" t="s">
        <v>12</v>
      </c>
      <c r="B7" s="16">
        <v>21050.0</v>
      </c>
      <c r="C7" s="16">
        <v>20124.19</v>
      </c>
      <c r="D7" s="17">
        <v>20673.0</v>
      </c>
      <c r="E7" s="17">
        <v>20106.0</v>
      </c>
      <c r="F7" s="17">
        <v>18750.26</v>
      </c>
      <c r="G7" s="17">
        <v>26751.92</v>
      </c>
      <c r="H7" s="17">
        <v>26621.51</v>
      </c>
      <c r="I7" s="17">
        <v>19499.95</v>
      </c>
      <c r="J7" s="17">
        <v>24585.0</v>
      </c>
      <c r="K7" s="17">
        <v>21039.91</v>
      </c>
      <c r="L7" s="14">
        <f>17507.71</f>
        <v>17507.71</v>
      </c>
      <c r="M7" s="17">
        <v>19436.14</v>
      </c>
      <c r="N7" s="15">
        <f>sum(B7:M7)</f>
        <v>256145.59</v>
      </c>
      <c r="O7" s="18"/>
    </row>
    <row r="8">
      <c r="A8" s="8"/>
      <c r="B8" s="55"/>
      <c r="C8" s="55"/>
      <c r="D8" s="8"/>
      <c r="E8" s="8"/>
      <c r="F8" s="10"/>
      <c r="G8" s="8"/>
      <c r="H8" s="8"/>
      <c r="I8" s="8"/>
      <c r="J8" s="8"/>
      <c r="K8" s="8"/>
      <c r="L8" s="8"/>
      <c r="M8" s="8"/>
      <c r="N8" s="22"/>
      <c r="O8" s="22"/>
    </row>
    <row r="9">
      <c r="A9" s="19" t="s">
        <v>13</v>
      </c>
      <c r="B9" s="13">
        <f>441871.49*1.05+19714.69*1.05</f>
        <v>484665.489</v>
      </c>
      <c r="C9" s="13">
        <f>500069.72*1.05+21974.12*1.05+50*1.05</f>
        <v>548198.532</v>
      </c>
      <c r="D9" s="14">
        <f>537670*1.05+25815.55*1.05</f>
        <v>591659.8275</v>
      </c>
      <c r="E9" s="17">
        <f>553869.55*1.05+24114*1.05</f>
        <v>606882.7275</v>
      </c>
      <c r="F9" s="14">
        <f>562265.38*1.05+26957*1.05</f>
        <v>618683.499</v>
      </c>
      <c r="G9" s="14">
        <f>670058.61*1.05</f>
        <v>703561.5405</v>
      </c>
      <c r="H9" s="14">
        <f>669654.65*1.05+33287.61*1.05+20*1.05</f>
        <v>738110.373</v>
      </c>
      <c r="I9" s="14">
        <f>604108.71*1.05+34205.39*1.05</f>
        <v>670229.805</v>
      </c>
      <c r="J9" s="14">
        <f>642876.88*1.05+32078.13*1.05</f>
        <v>708702.7605</v>
      </c>
      <c r="K9" s="14">
        <f>577898.61*1.05+28161.08*1.05</f>
        <v>636362.6745</v>
      </c>
      <c r="L9" s="14">
        <f>595497.01*1.05+32204*1.05</f>
        <v>659086.0605</v>
      </c>
      <c r="M9" s="14">
        <f>785753.56*1.05+40292.38*1.05</f>
        <v>867348.237</v>
      </c>
      <c r="N9" s="15">
        <f t="shared" ref="N9:N12" si="3">+SUM(B9:M9)</f>
        <v>7833491.526</v>
      </c>
      <c r="O9" s="18"/>
    </row>
    <row r="10">
      <c r="A10" s="19" t="s">
        <v>14</v>
      </c>
      <c r="B10" s="16">
        <v>0.0</v>
      </c>
      <c r="C10" s="16">
        <v>0.0</v>
      </c>
      <c r="D10" s="16">
        <v>0.0</v>
      </c>
      <c r="E10" s="16">
        <v>0.0</v>
      </c>
      <c r="F10" s="16">
        <v>0.0</v>
      </c>
      <c r="G10" s="16">
        <v>0.0</v>
      </c>
      <c r="H10" s="16">
        <v>0.0</v>
      </c>
      <c r="I10" s="16">
        <v>0.0</v>
      </c>
      <c r="J10" s="16">
        <v>0.0</v>
      </c>
      <c r="K10" s="16">
        <v>0.0</v>
      </c>
      <c r="L10" s="16">
        <v>0.0</v>
      </c>
      <c r="M10" s="16">
        <v>0.0</v>
      </c>
      <c r="N10" s="15">
        <f t="shared" si="3"/>
        <v>0</v>
      </c>
      <c r="O10" s="18"/>
    </row>
    <row r="11">
      <c r="A11" s="19" t="s">
        <v>15</v>
      </c>
      <c r="B11" s="14">
        <f t="shared" ref="B11:M11" si="4">(B9+B10)/1.05*0.05</f>
        <v>23079.309</v>
      </c>
      <c r="C11" s="14">
        <f t="shared" si="4"/>
        <v>26104.692</v>
      </c>
      <c r="D11" s="14">
        <f t="shared" si="4"/>
        <v>28174.2775</v>
      </c>
      <c r="E11" s="14">
        <f t="shared" si="4"/>
        <v>28899.1775</v>
      </c>
      <c r="F11" s="14">
        <f t="shared" si="4"/>
        <v>29461.119</v>
      </c>
      <c r="G11" s="14">
        <f t="shared" si="4"/>
        <v>33502.9305</v>
      </c>
      <c r="H11" s="14">
        <f t="shared" si="4"/>
        <v>35148.113</v>
      </c>
      <c r="I11" s="14">
        <f t="shared" si="4"/>
        <v>31915.705</v>
      </c>
      <c r="J11" s="14">
        <f t="shared" si="4"/>
        <v>33747.7505</v>
      </c>
      <c r="K11" s="14">
        <f t="shared" si="4"/>
        <v>30302.9845</v>
      </c>
      <c r="L11" s="14">
        <f t="shared" si="4"/>
        <v>31385.0505</v>
      </c>
      <c r="M11" s="14">
        <f t="shared" si="4"/>
        <v>41302.297</v>
      </c>
      <c r="N11" s="15">
        <f t="shared" si="3"/>
        <v>373023.406</v>
      </c>
      <c r="O11" s="18"/>
    </row>
    <row r="12">
      <c r="A12" s="19" t="s">
        <v>17</v>
      </c>
      <c r="B12" s="13">
        <f>45473.44+8185.22+38976.97+7015.86+6951</f>
        <v>106602.49</v>
      </c>
      <c r="C12" s="16">
        <f>9123.24+50684.68+44101.49+7938.27+2141.16</f>
        <v>113988.84</v>
      </c>
      <c r="D12" s="17">
        <f>59427.36+10696+36440.27+8700.4+19009.83+3421.77</f>
        <v>137695.63</v>
      </c>
      <c r="E12" s="14">
        <f>55325.06+9958.51+49294.52+8873.02+10117+1821</f>
        <v>135389.11</v>
      </c>
      <c r="F12" s="14">
        <f>42396.87+7631.43+61859.29+11134.67+16534.39+3346.56+2976.19</f>
        <v>145879.4</v>
      </c>
      <c r="G12" s="14">
        <f>72869.69*1.18+61895.6*1.18</f>
        <v>159023.0422</v>
      </c>
      <c r="H12" s="14">
        <f>76344.11*1.18+54219.99*1.18+11312.78*1.18</f>
        <v>167414.7184</v>
      </c>
      <c r="I12" s="14">
        <f>78477.63*1.18+49415.82*1.18</f>
        <v>150914.271</v>
      </c>
      <c r="J12" s="14">
        <f>73737.51*1.18+59909.74*1.18</f>
        <v>157703.755</v>
      </c>
      <c r="K12" s="14">
        <f>64927.89*1.18+52944*1.18</f>
        <v>139088.8302</v>
      </c>
      <c r="L12" s="14">
        <f>86725+24148.35+26689.84+4346.71+1269.72*1.18</f>
        <v>143408.1696</v>
      </c>
      <c r="M12" s="14">
        <f>92825.42*1.18+43815.96*1.18+23945.05*1.18</f>
        <v>189491.9874</v>
      </c>
      <c r="N12" s="15">
        <f t="shared" si="3"/>
        <v>1746600.244</v>
      </c>
      <c r="O12" s="18"/>
    </row>
    <row r="13">
      <c r="A13" s="21" t="s">
        <v>19</v>
      </c>
      <c r="B13" s="58">
        <f t="shared" ref="B13:M13" si="5">B9+B10-B11-B12</f>
        <v>354983.69</v>
      </c>
      <c r="C13" s="58">
        <f t="shared" si="5"/>
        <v>408105</v>
      </c>
      <c r="D13" s="22">
        <f t="shared" si="5"/>
        <v>425789.92</v>
      </c>
      <c r="E13" s="22">
        <f t="shared" si="5"/>
        <v>442594.44</v>
      </c>
      <c r="F13" s="23">
        <f t="shared" si="5"/>
        <v>443342.98</v>
      </c>
      <c r="G13" s="23">
        <f t="shared" si="5"/>
        <v>511035.5678</v>
      </c>
      <c r="H13" s="22">
        <f t="shared" si="5"/>
        <v>535547.5416</v>
      </c>
      <c r="I13" s="22">
        <f t="shared" si="5"/>
        <v>487399.829</v>
      </c>
      <c r="J13" s="22">
        <f t="shared" si="5"/>
        <v>517251.255</v>
      </c>
      <c r="K13" s="22">
        <f t="shared" si="5"/>
        <v>466970.8598</v>
      </c>
      <c r="L13" s="22">
        <f t="shared" si="5"/>
        <v>484292.8404</v>
      </c>
      <c r="M13" s="22">
        <f t="shared" si="5"/>
        <v>636553.9526</v>
      </c>
      <c r="N13" s="22">
        <f t="shared" ref="N13:N29" si="7">sum(B13:M13)</f>
        <v>5713867.876</v>
      </c>
      <c r="O13" s="22"/>
    </row>
    <row r="14">
      <c r="A14" s="19" t="s">
        <v>20</v>
      </c>
      <c r="B14" s="60">
        <f t="shared" ref="B14:M14" si="6">+B3+B4-B5-B7</f>
        <v>125601.81</v>
      </c>
      <c r="C14" s="60">
        <f t="shared" si="6"/>
        <v>155301.26</v>
      </c>
      <c r="D14" s="26">
        <f t="shared" si="6"/>
        <v>143753.21</v>
      </c>
      <c r="E14" s="26">
        <f t="shared" si="6"/>
        <v>164189.72</v>
      </c>
      <c r="F14" s="26">
        <f t="shared" si="6"/>
        <v>160670.74</v>
      </c>
      <c r="G14" s="26">
        <f t="shared" si="6"/>
        <v>175625.01</v>
      </c>
      <c r="H14" s="26">
        <f t="shared" si="6"/>
        <v>187283.07</v>
      </c>
      <c r="I14" s="26">
        <f t="shared" si="6"/>
        <v>169150.52</v>
      </c>
      <c r="J14" s="26">
        <f t="shared" si="6"/>
        <v>175935.78</v>
      </c>
      <c r="K14" s="26">
        <f t="shared" si="6"/>
        <v>165975.09</v>
      </c>
      <c r="L14" s="26">
        <f t="shared" si="6"/>
        <v>173447.23</v>
      </c>
      <c r="M14" s="26">
        <f t="shared" si="6"/>
        <v>224153.9</v>
      </c>
      <c r="N14" s="15">
        <f t="shared" si="7"/>
        <v>2021087.34</v>
      </c>
      <c r="O14" s="27">
        <f t="shared" ref="O14:O27" si="8">N14/$N$13</f>
        <v>0.3537161488</v>
      </c>
    </row>
    <row r="15">
      <c r="A15" s="19" t="s">
        <v>21</v>
      </c>
      <c r="B15" s="60">
        <v>31605.0</v>
      </c>
      <c r="C15" s="17">
        <v>33618.0</v>
      </c>
      <c r="D15" s="14">
        <f>33281</f>
        <v>33281</v>
      </c>
      <c r="E15" s="17">
        <v>34991.0</v>
      </c>
      <c r="F15" s="14">
        <f>34258</f>
        <v>34258</v>
      </c>
      <c r="G15" s="17">
        <v>39546.0</v>
      </c>
      <c r="H15" s="17">
        <v>38298.0</v>
      </c>
      <c r="I15" s="17">
        <v>33976.8</v>
      </c>
      <c r="J15" s="17">
        <v>32494.0</v>
      </c>
      <c r="K15" s="14">
        <f>31777</f>
        <v>31777</v>
      </c>
      <c r="L15" s="17">
        <v>31340.0</v>
      </c>
      <c r="M15" s="17">
        <v>41776.8</v>
      </c>
      <c r="N15" s="15">
        <f t="shared" si="7"/>
        <v>416961.6</v>
      </c>
      <c r="O15" s="27">
        <f t="shared" si="8"/>
        <v>0.07297361595</v>
      </c>
    </row>
    <row r="16">
      <c r="A16" s="19" t="s">
        <v>22</v>
      </c>
      <c r="B16" s="14">
        <f t="shared" ref="B16:C16" si="9">1003+352.82</f>
        <v>1355.82</v>
      </c>
      <c r="C16" s="14">
        <f t="shared" si="9"/>
        <v>1355.82</v>
      </c>
      <c r="D16" s="14">
        <f t="shared" ref="D16:E16" si="10">1003.25+352.82</f>
        <v>1356.07</v>
      </c>
      <c r="E16" s="14">
        <f t="shared" si="10"/>
        <v>1356.07</v>
      </c>
      <c r="F16" s="14">
        <f t="shared" ref="F16:H16" si="11">1003+352.82</f>
        <v>1355.82</v>
      </c>
      <c r="G16" s="14">
        <f t="shared" si="11"/>
        <v>1355.82</v>
      </c>
      <c r="H16" s="14">
        <f t="shared" si="11"/>
        <v>1355.82</v>
      </c>
      <c r="I16" s="14">
        <f t="shared" ref="I16:J16" si="12">352.82</f>
        <v>352.82</v>
      </c>
      <c r="J16" s="14">
        <f t="shared" si="12"/>
        <v>352.82</v>
      </c>
      <c r="K16" s="17">
        <f t="shared" ref="K16:M16" si="13">1003+352.82</f>
        <v>1355.82</v>
      </c>
      <c r="L16" s="14">
        <f t="shared" si="13"/>
        <v>1355.82</v>
      </c>
      <c r="M16" s="72">
        <f t="shared" si="13"/>
        <v>1355.82</v>
      </c>
      <c r="N16" s="15">
        <f t="shared" si="7"/>
        <v>14264.34</v>
      </c>
      <c r="O16" s="27">
        <f t="shared" si="8"/>
        <v>0.002496442044</v>
      </c>
    </row>
    <row r="17">
      <c r="A17" s="19" t="s">
        <v>23</v>
      </c>
      <c r="B17" s="14"/>
      <c r="C17" s="14"/>
      <c r="D17" s="14"/>
      <c r="E17" s="14"/>
      <c r="F17" s="14"/>
      <c r="G17" s="14"/>
      <c r="H17" s="14"/>
      <c r="I17" s="14"/>
      <c r="J17" s="14"/>
      <c r="K17" s="14"/>
      <c r="L17" s="14"/>
      <c r="M17" s="14"/>
      <c r="N17" s="15">
        <f t="shared" si="7"/>
        <v>0</v>
      </c>
      <c r="O17" s="27">
        <f t="shared" si="8"/>
        <v>0</v>
      </c>
    </row>
    <row r="18">
      <c r="A18" s="19" t="s">
        <v>24</v>
      </c>
      <c r="B18" s="17">
        <v>16000.0</v>
      </c>
      <c r="C18" s="17">
        <f t="shared" ref="C18:M18" si="14">16000*1.18</f>
        <v>18880</v>
      </c>
      <c r="D18" s="17">
        <f t="shared" si="14"/>
        <v>18880</v>
      </c>
      <c r="E18" s="17">
        <f t="shared" si="14"/>
        <v>18880</v>
      </c>
      <c r="F18" s="17">
        <f t="shared" si="14"/>
        <v>18880</v>
      </c>
      <c r="G18" s="17">
        <f t="shared" si="14"/>
        <v>18880</v>
      </c>
      <c r="H18" s="17">
        <f t="shared" si="14"/>
        <v>18880</v>
      </c>
      <c r="I18" s="17">
        <f t="shared" si="14"/>
        <v>18880</v>
      </c>
      <c r="J18" s="17">
        <f t="shared" si="14"/>
        <v>18880</v>
      </c>
      <c r="K18" s="17">
        <f t="shared" si="14"/>
        <v>18880</v>
      </c>
      <c r="L18" s="17">
        <f t="shared" si="14"/>
        <v>18880</v>
      </c>
      <c r="M18" s="17">
        <f t="shared" si="14"/>
        <v>18880</v>
      </c>
      <c r="N18" s="15">
        <f t="shared" si="7"/>
        <v>223680</v>
      </c>
      <c r="O18" s="27">
        <f t="shared" si="8"/>
        <v>0.03914686248</v>
      </c>
    </row>
    <row r="19">
      <c r="A19" s="19" t="s">
        <v>25</v>
      </c>
      <c r="B19" s="14">
        <f t="shared" ref="B19:G19" si="15">3343</f>
        <v>3343</v>
      </c>
      <c r="C19" s="14">
        <f t="shared" si="15"/>
        <v>3343</v>
      </c>
      <c r="D19" s="14">
        <f t="shared" si="15"/>
        <v>3343</v>
      </c>
      <c r="E19" s="14">
        <f t="shared" si="15"/>
        <v>3343</v>
      </c>
      <c r="F19" s="14">
        <f t="shared" si="15"/>
        <v>3343</v>
      </c>
      <c r="G19" s="14">
        <f t="shared" si="15"/>
        <v>3343</v>
      </c>
      <c r="H19" s="14">
        <f t="shared" ref="H19:M19" si="16">45135/12</f>
        <v>3761.25</v>
      </c>
      <c r="I19" s="14">
        <f t="shared" si="16"/>
        <v>3761.25</v>
      </c>
      <c r="J19" s="14">
        <f t="shared" si="16"/>
        <v>3761.25</v>
      </c>
      <c r="K19" s="14">
        <f t="shared" si="16"/>
        <v>3761.25</v>
      </c>
      <c r="L19" s="14">
        <f t="shared" si="16"/>
        <v>3761.25</v>
      </c>
      <c r="M19" s="14">
        <f t="shared" si="16"/>
        <v>3761.25</v>
      </c>
      <c r="N19" s="15">
        <f t="shared" si="7"/>
        <v>42625.5</v>
      </c>
      <c r="O19" s="27">
        <f t="shared" si="8"/>
        <v>0.007460007988</v>
      </c>
    </row>
    <row r="20">
      <c r="A20" s="20" t="s">
        <v>26</v>
      </c>
      <c r="B20" s="17">
        <f>90230+55386/12</f>
        <v>94845.5</v>
      </c>
      <c r="C20" s="14">
        <f>91630+55386/12</f>
        <v>96245.5</v>
      </c>
      <c r="D20" s="14">
        <f>64117.08+23938.42+1639.51+55386/12</f>
        <v>94310.51</v>
      </c>
      <c r="E20" s="14">
        <f>89945.01+55386/12</f>
        <v>94560.51</v>
      </c>
      <c r="F20" s="14">
        <f>109545.01+55386/12</f>
        <v>114160.51</v>
      </c>
      <c r="G20" s="14">
        <f>109545+55386/12</f>
        <v>114160.5</v>
      </c>
      <c r="H20" s="14">
        <f>55386/12+95635.98</f>
        <v>100251.48</v>
      </c>
      <c r="I20" s="14">
        <f>55386/12+89040</f>
        <v>93655.5</v>
      </c>
      <c r="J20" s="14">
        <f t="shared" ref="J20:M20" si="17">55386/12+88541</f>
        <v>93156.5</v>
      </c>
      <c r="K20" s="14">
        <f t="shared" si="17"/>
        <v>93156.5</v>
      </c>
      <c r="L20" s="14">
        <f t="shared" si="17"/>
        <v>93156.5</v>
      </c>
      <c r="M20" s="14">
        <f t="shared" si="17"/>
        <v>93156.5</v>
      </c>
      <c r="N20" s="15">
        <f t="shared" si="7"/>
        <v>1174816.01</v>
      </c>
      <c r="O20" s="27">
        <f t="shared" si="8"/>
        <v>0.2056078361</v>
      </c>
    </row>
    <row r="21">
      <c r="A21" s="11" t="s">
        <v>27</v>
      </c>
      <c r="B21" s="17">
        <f t="shared" ref="B21:F21" si="18">1239+2360+13587/12</f>
        <v>4731.25</v>
      </c>
      <c r="C21" s="17">
        <f t="shared" si="18"/>
        <v>4731.25</v>
      </c>
      <c r="D21" s="17">
        <f t="shared" si="18"/>
        <v>4731.25</v>
      </c>
      <c r="E21" s="17">
        <f t="shared" si="18"/>
        <v>4731.25</v>
      </c>
      <c r="F21" s="14">
        <f t="shared" si="18"/>
        <v>4731.25</v>
      </c>
      <c r="G21" s="14">
        <f t="shared" ref="G21:I21" si="19">13587/12+2360+1239</f>
        <v>4731.25</v>
      </c>
      <c r="H21" s="14">
        <f t="shared" si="19"/>
        <v>4731.25</v>
      </c>
      <c r="I21" s="14">
        <f t="shared" si="19"/>
        <v>4731.25</v>
      </c>
      <c r="J21" s="14">
        <f>13587/12+1239+2360</f>
        <v>4731.25</v>
      </c>
      <c r="K21" s="14">
        <f>13587/12+2360+1239</f>
        <v>4731.25</v>
      </c>
      <c r="L21" s="14">
        <f>13587/12+1239+2360</f>
        <v>4731.25</v>
      </c>
      <c r="M21" s="14">
        <f>13587/12+2360+1239</f>
        <v>4731.25</v>
      </c>
      <c r="N21" s="15">
        <f t="shared" si="7"/>
        <v>56775</v>
      </c>
      <c r="O21" s="27">
        <f t="shared" si="8"/>
        <v>0.009936351563</v>
      </c>
    </row>
    <row r="22">
      <c r="A22" s="32" t="s">
        <v>28</v>
      </c>
      <c r="B22" s="14">
        <f t="shared" ref="B22:J22" si="20">2124/3</f>
        <v>708</v>
      </c>
      <c r="C22" s="14">
        <f t="shared" si="20"/>
        <v>708</v>
      </c>
      <c r="D22" s="14">
        <f t="shared" si="20"/>
        <v>708</v>
      </c>
      <c r="E22" s="14">
        <f t="shared" si="20"/>
        <v>708</v>
      </c>
      <c r="F22" s="14">
        <f t="shared" si="20"/>
        <v>708</v>
      </c>
      <c r="G22" s="14">
        <f t="shared" si="20"/>
        <v>708</v>
      </c>
      <c r="H22" s="14">
        <f t="shared" si="20"/>
        <v>708</v>
      </c>
      <c r="I22" s="14">
        <f t="shared" si="20"/>
        <v>708</v>
      </c>
      <c r="J22" s="14">
        <f t="shared" si="20"/>
        <v>708</v>
      </c>
      <c r="K22" s="14">
        <f t="shared" ref="K22:M22" si="21">3271.32/3</f>
        <v>1090.44</v>
      </c>
      <c r="L22" s="14">
        <f t="shared" si="21"/>
        <v>1090.44</v>
      </c>
      <c r="M22" s="14">
        <f t="shared" si="21"/>
        <v>1090.44</v>
      </c>
      <c r="N22" s="15">
        <f t="shared" si="7"/>
        <v>9643.32</v>
      </c>
      <c r="O22" s="27">
        <f t="shared" si="8"/>
        <v>0.001687704408</v>
      </c>
    </row>
    <row r="23">
      <c r="A23" s="20" t="s">
        <v>29</v>
      </c>
      <c r="B23" s="33">
        <v>0.0</v>
      </c>
      <c r="C23" s="73">
        <v>804.53</v>
      </c>
      <c r="D23" s="73">
        <v>804.53</v>
      </c>
      <c r="E23" s="73">
        <v>804.53</v>
      </c>
      <c r="F23" s="73">
        <v>804.53</v>
      </c>
      <c r="G23" s="73">
        <v>804.53</v>
      </c>
      <c r="H23" s="73">
        <v>804.53</v>
      </c>
      <c r="I23" s="73">
        <v>804.53</v>
      </c>
      <c r="J23" s="73">
        <v>804.53</v>
      </c>
      <c r="K23" s="73">
        <v>804.53</v>
      </c>
      <c r="L23" s="73">
        <v>804.53</v>
      </c>
      <c r="M23" s="73">
        <v>804.53</v>
      </c>
      <c r="N23" s="15">
        <f t="shared" si="7"/>
        <v>8849.83</v>
      </c>
      <c r="O23" s="27">
        <f t="shared" si="8"/>
        <v>0.001548833503</v>
      </c>
    </row>
    <row r="24">
      <c r="A24" s="19" t="s">
        <v>30</v>
      </c>
      <c r="B24" s="33">
        <v>0.0</v>
      </c>
      <c r="C24" s="33">
        <v>0.0</v>
      </c>
      <c r="D24" s="34"/>
      <c r="E24" s="33">
        <v>700.0</v>
      </c>
      <c r="F24" s="14">
        <f>7100</f>
        <v>7100</v>
      </c>
      <c r="G24" s="17">
        <v>934.0</v>
      </c>
      <c r="H24" s="17">
        <v>5900.0</v>
      </c>
      <c r="I24" s="17">
        <v>288.0</v>
      </c>
      <c r="J24" s="17">
        <v>0.0</v>
      </c>
      <c r="K24" s="17">
        <v>220.0</v>
      </c>
      <c r="L24" s="14">
        <f>360</f>
        <v>360</v>
      </c>
      <c r="M24" s="17">
        <f>220+14360</f>
        <v>14580</v>
      </c>
      <c r="N24" s="15">
        <f t="shared" si="7"/>
        <v>30082</v>
      </c>
      <c r="O24" s="27">
        <f t="shared" si="8"/>
        <v>0.005264734966</v>
      </c>
    </row>
    <row r="25">
      <c r="A25" s="19" t="s">
        <v>31</v>
      </c>
      <c r="B25" s="17">
        <v>683.0</v>
      </c>
      <c r="C25" s="17">
        <v>1118.02</v>
      </c>
      <c r="D25" s="14">
        <f>2066</f>
        <v>2066</v>
      </c>
      <c r="E25" s="14">
        <f>3435</f>
        <v>3435</v>
      </c>
      <c r="F25" s="71">
        <v>1986.0</v>
      </c>
      <c r="G25" s="17">
        <v>5105.35</v>
      </c>
      <c r="H25" s="14">
        <f>5436.4</f>
        <v>5436.4</v>
      </c>
      <c r="I25" s="17">
        <v>2465.52</v>
      </c>
      <c r="J25" s="17">
        <v>2488.0</v>
      </c>
      <c r="K25" s="17">
        <v>5090.0</v>
      </c>
      <c r="L25" s="17">
        <v>6024.84</v>
      </c>
      <c r="M25" s="17">
        <v>13904.0</v>
      </c>
      <c r="N25" s="15">
        <f t="shared" si="7"/>
        <v>49802.13</v>
      </c>
      <c r="O25" s="27">
        <f t="shared" si="8"/>
        <v>0.008716010079</v>
      </c>
    </row>
    <row r="26">
      <c r="A26" s="19" t="s">
        <v>32</v>
      </c>
      <c r="B26" s="14"/>
      <c r="C26" s="14"/>
      <c r="D26" s="14"/>
      <c r="E26" s="14"/>
      <c r="F26" s="14"/>
      <c r="G26" s="14"/>
      <c r="H26" s="14"/>
      <c r="I26" s="14"/>
      <c r="J26" s="14"/>
      <c r="K26" s="14"/>
      <c r="L26" s="14"/>
      <c r="M26" s="14"/>
      <c r="N26" s="15">
        <f t="shared" si="7"/>
        <v>0</v>
      </c>
      <c r="O26" s="27">
        <f t="shared" si="8"/>
        <v>0</v>
      </c>
    </row>
    <row r="27">
      <c r="A27" s="19" t="s">
        <v>33</v>
      </c>
      <c r="B27" s="14">
        <f>HO!D37</f>
        <v>72000.61389</v>
      </c>
      <c r="C27" s="14">
        <f>HO!H37</f>
        <v>82008.39183</v>
      </c>
      <c r="D27" s="14">
        <f>HO!L37</f>
        <v>84688.21831</v>
      </c>
      <c r="E27" s="14">
        <f>HO!P37</f>
        <v>94668.76055</v>
      </c>
      <c r="F27" s="14">
        <f>HO!D56</f>
        <v>86968.53559</v>
      </c>
      <c r="G27" s="14">
        <f>HO!H56</f>
        <v>109911.5443</v>
      </c>
      <c r="H27" s="14">
        <f>HO!L56</f>
        <v>103205.4563</v>
      </c>
      <c r="I27" s="14">
        <f>HO!P56</f>
        <v>105154.7998</v>
      </c>
      <c r="J27" s="14">
        <f>HO!D75</f>
        <v>97399.60901</v>
      </c>
      <c r="K27" s="14">
        <f>HO!H75</f>
        <v>91013.49494</v>
      </c>
      <c r="L27" s="14">
        <f>HO!L75</f>
        <v>101322.6942</v>
      </c>
      <c r="M27" s="14">
        <f>HO!P75</f>
        <v>117233.9831</v>
      </c>
      <c r="N27" s="15">
        <f t="shared" si="7"/>
        <v>1145576.102</v>
      </c>
      <c r="O27" s="27">
        <f t="shared" si="8"/>
        <v>0.200490478</v>
      </c>
    </row>
    <row r="28">
      <c r="A28" s="35" t="s">
        <v>34</v>
      </c>
      <c r="B28" s="36">
        <f t="shared" ref="B28:M28" si="22">+SUM(B14:B27)</f>
        <v>350873.9939</v>
      </c>
      <c r="C28" s="36">
        <f t="shared" si="22"/>
        <v>398113.7718</v>
      </c>
      <c r="D28" s="36">
        <f t="shared" si="22"/>
        <v>387921.7883</v>
      </c>
      <c r="E28" s="36">
        <f t="shared" si="22"/>
        <v>422367.8406</v>
      </c>
      <c r="F28" s="37">
        <f t="shared" si="22"/>
        <v>434966.3856</v>
      </c>
      <c r="G28" s="36">
        <f t="shared" si="22"/>
        <v>475105.0043</v>
      </c>
      <c r="H28" s="36">
        <f t="shared" si="22"/>
        <v>470615.2563</v>
      </c>
      <c r="I28" s="36">
        <f t="shared" si="22"/>
        <v>433928.9898</v>
      </c>
      <c r="J28" s="36">
        <f t="shared" si="22"/>
        <v>430711.739</v>
      </c>
      <c r="K28" s="36">
        <f t="shared" si="22"/>
        <v>417855.3749</v>
      </c>
      <c r="L28" s="36">
        <f t="shared" si="22"/>
        <v>436274.5542</v>
      </c>
      <c r="M28" s="36">
        <f t="shared" si="22"/>
        <v>535428.4731</v>
      </c>
      <c r="N28" s="36">
        <f t="shared" si="7"/>
        <v>5194163.172</v>
      </c>
      <c r="O28" s="38">
        <f>N28/N13</f>
        <v>0.909045026</v>
      </c>
    </row>
    <row r="29">
      <c r="A29" s="39" t="s">
        <v>35</v>
      </c>
      <c r="B29" s="40">
        <f t="shared" ref="B29:M29" si="23">B13-B28</f>
        <v>4109.69611</v>
      </c>
      <c r="C29" s="40">
        <f t="shared" si="23"/>
        <v>9991.228172</v>
      </c>
      <c r="D29" s="40">
        <f t="shared" si="23"/>
        <v>37868.13169</v>
      </c>
      <c r="E29" s="40">
        <f t="shared" si="23"/>
        <v>20226.59945</v>
      </c>
      <c r="F29" s="40">
        <f t="shared" si="23"/>
        <v>8376.594406</v>
      </c>
      <c r="G29" s="40">
        <f t="shared" si="23"/>
        <v>35930.56347</v>
      </c>
      <c r="H29" s="40">
        <f t="shared" si="23"/>
        <v>64932.2853</v>
      </c>
      <c r="I29" s="40">
        <f t="shared" si="23"/>
        <v>53470.83918</v>
      </c>
      <c r="J29" s="40">
        <f t="shared" si="23"/>
        <v>86539.51599</v>
      </c>
      <c r="K29" s="40">
        <f t="shared" si="23"/>
        <v>49115.48486</v>
      </c>
      <c r="L29" s="40">
        <f t="shared" si="23"/>
        <v>48018.2862</v>
      </c>
      <c r="M29" s="40">
        <f t="shared" si="23"/>
        <v>101125.4795</v>
      </c>
      <c r="N29" s="40">
        <f t="shared" si="7"/>
        <v>519704.7043</v>
      </c>
      <c r="O29" s="41">
        <f>N29/N13</f>
        <v>0.09095497403</v>
      </c>
    </row>
    <row r="30">
      <c r="A30" s="42" t="s">
        <v>36</v>
      </c>
      <c r="B30" s="43">
        <f t="shared" ref="B30:M30" si="24">(B14/B13)</f>
        <v>0.3538241715</v>
      </c>
      <c r="C30" s="43">
        <f t="shared" si="24"/>
        <v>0.3805424094</v>
      </c>
      <c r="D30" s="43">
        <f t="shared" si="24"/>
        <v>0.3376153433</v>
      </c>
      <c r="E30" s="43">
        <f t="shared" si="24"/>
        <v>0.3709710407</v>
      </c>
      <c r="F30" s="44">
        <f t="shared" si="24"/>
        <v>0.3624073172</v>
      </c>
      <c r="G30" s="43">
        <f t="shared" si="24"/>
        <v>0.3436649444</v>
      </c>
      <c r="H30" s="43">
        <f t="shared" si="24"/>
        <v>0.3497039113</v>
      </c>
      <c r="I30" s="43">
        <f t="shared" si="24"/>
        <v>0.3470467364</v>
      </c>
      <c r="J30" s="43">
        <f t="shared" si="24"/>
        <v>0.3401360138</v>
      </c>
      <c r="K30" s="43">
        <f t="shared" si="24"/>
        <v>0.3554292233</v>
      </c>
      <c r="L30" s="43">
        <f t="shared" si="24"/>
        <v>0.3581453524</v>
      </c>
      <c r="M30" s="43">
        <f t="shared" si="24"/>
        <v>0.35213653</v>
      </c>
      <c r="N30" s="45"/>
      <c r="O30" s="45"/>
    </row>
    <row r="32">
      <c r="B32" s="46">
        <f t="shared" ref="B32:M32" si="25">B29+B27</f>
        <v>76110.31</v>
      </c>
      <c r="C32" s="46">
        <f t="shared" si="25"/>
        <v>91999.62</v>
      </c>
      <c r="D32" s="46">
        <f t="shared" si="25"/>
        <v>122556.35</v>
      </c>
      <c r="E32" s="46">
        <f t="shared" si="25"/>
        <v>114895.36</v>
      </c>
      <c r="F32" s="46">
        <f t="shared" si="25"/>
        <v>95345.13</v>
      </c>
      <c r="G32" s="46">
        <f t="shared" si="25"/>
        <v>145842.1078</v>
      </c>
      <c r="H32" s="46">
        <f t="shared" si="25"/>
        <v>168137.7416</v>
      </c>
      <c r="I32" s="46">
        <f t="shared" si="25"/>
        <v>158625.639</v>
      </c>
      <c r="J32" s="46">
        <f t="shared" si="25"/>
        <v>183939.125</v>
      </c>
      <c r="K32" s="46">
        <f t="shared" si="25"/>
        <v>140128.9798</v>
      </c>
      <c r="L32" s="46">
        <f t="shared" si="25"/>
        <v>149340.9804</v>
      </c>
      <c r="M32" s="46">
        <f t="shared" si="25"/>
        <v>218359.4626</v>
      </c>
    </row>
    <row r="33">
      <c r="A33" s="47"/>
      <c r="B33" s="48">
        <f t="shared" ref="B33:M33" si="26">B32/B13</f>
        <v>0.21440509</v>
      </c>
      <c r="C33" s="48">
        <f t="shared" si="26"/>
        <v>0.2254312493</v>
      </c>
      <c r="D33" s="48">
        <f t="shared" si="26"/>
        <v>0.287832906</v>
      </c>
      <c r="E33" s="48">
        <f t="shared" si="26"/>
        <v>0.2595951273</v>
      </c>
      <c r="F33" s="48">
        <f t="shared" si="26"/>
        <v>0.2150595234</v>
      </c>
      <c r="G33" s="48">
        <f t="shared" si="26"/>
        <v>0.285385435</v>
      </c>
      <c r="H33" s="48">
        <f t="shared" si="26"/>
        <v>0.3139548379</v>
      </c>
      <c r="I33" s="48">
        <f t="shared" si="26"/>
        <v>0.3254527999</v>
      </c>
      <c r="J33" s="48">
        <f t="shared" si="26"/>
        <v>0.355608852</v>
      </c>
      <c r="K33" s="48">
        <f t="shared" si="26"/>
        <v>0.3000807799</v>
      </c>
      <c r="L33" s="48">
        <f t="shared" si="26"/>
        <v>0.3083691683</v>
      </c>
      <c r="M33" s="48">
        <f t="shared" si="26"/>
        <v>0.3430337078</v>
      </c>
    </row>
    <row r="34">
      <c r="A34" s="47"/>
      <c r="B34" s="48"/>
      <c r="C34" s="48"/>
      <c r="D34" s="48"/>
      <c r="E34" s="48"/>
    </row>
    <row r="35">
      <c r="A35" s="9"/>
      <c r="B35" s="48"/>
      <c r="C35" s="48"/>
      <c r="D35" s="48"/>
      <c r="E35" s="48"/>
    </row>
    <row r="36">
      <c r="A36" s="47"/>
      <c r="B36" s="48"/>
      <c r="C36" s="48"/>
      <c r="D36" s="48"/>
      <c r="E36" s="48"/>
    </row>
  </sheetData>
  <mergeCells count="1">
    <mergeCell ref="N1:O1"/>
  </mergeCells>
  <drawing r:id="rId4"/>
  <legacyDrawing r:id="rId5"/>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38"/>
    <col customWidth="1" min="15" max="15" width="9.88"/>
  </cols>
  <sheetData>
    <row r="1">
      <c r="A1" s="1" t="s">
        <v>56</v>
      </c>
      <c r="B1" s="2">
        <v>45748.0</v>
      </c>
      <c r="C1" s="2">
        <v>45778.0</v>
      </c>
      <c r="D1" s="2">
        <v>45809.0</v>
      </c>
      <c r="E1" s="2">
        <v>45839.0</v>
      </c>
      <c r="F1" s="4">
        <v>45870.0</v>
      </c>
      <c r="G1" s="2">
        <v>45901.0</v>
      </c>
      <c r="H1" s="2">
        <v>45931.0</v>
      </c>
      <c r="I1" s="2">
        <v>45962.0</v>
      </c>
      <c r="J1" s="2">
        <v>45992.0</v>
      </c>
      <c r="K1" s="2">
        <v>46023.0</v>
      </c>
      <c r="L1" s="2">
        <v>46054.0</v>
      </c>
      <c r="M1" s="2">
        <v>46082.0</v>
      </c>
      <c r="N1" s="5" t="s">
        <v>5</v>
      </c>
      <c r="O1" s="6"/>
    </row>
    <row r="2">
      <c r="A2" s="7" t="s">
        <v>6</v>
      </c>
      <c r="B2" s="8"/>
      <c r="C2" s="8"/>
      <c r="D2" s="8"/>
      <c r="E2" s="8"/>
      <c r="F2" s="10"/>
      <c r="G2" s="8"/>
      <c r="H2" s="8"/>
      <c r="I2" s="8"/>
      <c r="J2" s="8"/>
      <c r="K2" s="8"/>
      <c r="L2" s="8"/>
      <c r="M2" s="8"/>
      <c r="N2" s="8"/>
      <c r="O2" s="8"/>
    </row>
    <row r="3">
      <c r="A3" s="11" t="s">
        <v>7</v>
      </c>
      <c r="B3" s="82">
        <v>29866.0</v>
      </c>
      <c r="C3" s="83">
        <f t="shared" ref="C3:M3" si="1">B7</f>
        <v>32472.42</v>
      </c>
      <c r="D3" s="14">
        <f t="shared" si="1"/>
        <v>28173.19</v>
      </c>
      <c r="E3" s="14">
        <f t="shared" si="1"/>
        <v>33118</v>
      </c>
      <c r="F3" s="14">
        <f t="shared" si="1"/>
        <v>31377.75</v>
      </c>
      <c r="G3" s="14">
        <f t="shared" si="1"/>
        <v>27861</v>
      </c>
      <c r="H3" s="14">
        <f t="shared" si="1"/>
        <v>48998.9</v>
      </c>
      <c r="I3" s="14">
        <f t="shared" si="1"/>
        <v>30238.84</v>
      </c>
      <c r="J3" s="14">
        <f t="shared" si="1"/>
        <v>32329</v>
      </c>
      <c r="K3" s="14">
        <f t="shared" si="1"/>
        <v>28568.63</v>
      </c>
      <c r="L3" s="14">
        <f t="shared" si="1"/>
        <v>24695</v>
      </c>
      <c r="M3" s="14">
        <f t="shared" si="1"/>
        <v>28405</v>
      </c>
      <c r="N3" s="15">
        <f>+SUM(J3:L3)</f>
        <v>85592.63</v>
      </c>
      <c r="O3" s="18"/>
    </row>
    <row r="4">
      <c r="A4" s="11" t="s">
        <v>9</v>
      </c>
      <c r="B4" s="84">
        <v>265318.52</v>
      </c>
      <c r="C4" s="84">
        <v>273327.95</v>
      </c>
      <c r="D4" s="17">
        <v>263235.87</v>
      </c>
      <c r="E4" s="17">
        <v>278184.33</v>
      </c>
      <c r="F4" s="17">
        <v>272651.0</v>
      </c>
      <c r="G4" s="17">
        <v>308609.86</v>
      </c>
      <c r="H4" s="17">
        <v>256493.0</v>
      </c>
      <c r="I4" s="17">
        <v>245206.11</v>
      </c>
      <c r="J4" s="17">
        <v>230836.72</v>
      </c>
      <c r="K4" s="17">
        <f>260620-2443</f>
        <v>258177</v>
      </c>
      <c r="L4" s="17">
        <v>253834.34</v>
      </c>
      <c r="M4" s="17">
        <v>300505.94</v>
      </c>
      <c r="N4" s="15">
        <f>sum(B4:M4)</f>
        <v>3206380.64</v>
      </c>
      <c r="O4" s="18"/>
    </row>
    <row r="5">
      <c r="A5" s="11" t="s">
        <v>10</v>
      </c>
      <c r="B5" s="84">
        <v>1635.63</v>
      </c>
      <c r="C5" s="84">
        <v>1041.25</v>
      </c>
      <c r="D5" s="17">
        <v>557.0</v>
      </c>
      <c r="E5" s="17">
        <v>0.0</v>
      </c>
      <c r="F5" s="17">
        <v>343.0</v>
      </c>
      <c r="G5" s="17">
        <v>442.05</v>
      </c>
      <c r="H5" s="17">
        <v>2228.73</v>
      </c>
      <c r="I5" s="17">
        <v>968.16</v>
      </c>
      <c r="J5" s="17">
        <v>1245.63</v>
      </c>
      <c r="K5" s="17">
        <v>2420.0</v>
      </c>
      <c r="L5" s="17">
        <v>897.76</v>
      </c>
      <c r="M5" s="17">
        <v>1470.64</v>
      </c>
      <c r="N5" s="15">
        <f t="shared" ref="N5:N6" si="2">+SUM(J5:L5)</f>
        <v>4563.39</v>
      </c>
      <c r="O5" s="18"/>
    </row>
    <row r="6">
      <c r="A6" s="11" t="s">
        <v>11</v>
      </c>
      <c r="B6" s="84">
        <v>12144.96</v>
      </c>
      <c r="C6" s="84">
        <v>10757.21</v>
      </c>
      <c r="D6" s="17">
        <v>8511.0</v>
      </c>
      <c r="E6" s="17">
        <v>7613.0</v>
      </c>
      <c r="F6" s="17">
        <v>9087.64</v>
      </c>
      <c r="G6" s="17">
        <v>8383.0</v>
      </c>
      <c r="H6" s="17">
        <v>9430.0</v>
      </c>
      <c r="I6" s="17">
        <v>11391.0</v>
      </c>
      <c r="J6" s="17">
        <v>14263.0</v>
      </c>
      <c r="K6" s="17">
        <v>13754.0</v>
      </c>
      <c r="L6" s="17">
        <v>10817.0</v>
      </c>
      <c r="M6" s="17">
        <v>11961.11</v>
      </c>
      <c r="N6" s="15">
        <f t="shared" si="2"/>
        <v>38834</v>
      </c>
      <c r="O6" s="18"/>
    </row>
    <row r="7">
      <c r="A7" s="11" t="s">
        <v>12</v>
      </c>
      <c r="B7" s="84">
        <v>32472.42</v>
      </c>
      <c r="C7" s="84">
        <v>28173.19</v>
      </c>
      <c r="D7" s="14">
        <f>33118</f>
        <v>33118</v>
      </c>
      <c r="E7" s="17">
        <v>31377.75</v>
      </c>
      <c r="F7" s="17">
        <v>27861.0</v>
      </c>
      <c r="G7" s="17">
        <v>48998.9</v>
      </c>
      <c r="H7" s="17">
        <v>30238.84</v>
      </c>
      <c r="I7" s="17">
        <v>32329.0</v>
      </c>
      <c r="J7" s="17">
        <v>28568.63</v>
      </c>
      <c r="K7" s="17">
        <v>24695.0</v>
      </c>
      <c r="L7" s="17">
        <v>28405.0</v>
      </c>
      <c r="M7" s="17">
        <v>23040.24</v>
      </c>
      <c r="N7" s="15">
        <f>sum(B7:M7)</f>
        <v>369277.97</v>
      </c>
      <c r="O7" s="18"/>
    </row>
    <row r="8">
      <c r="A8" s="8"/>
      <c r="B8" s="85"/>
      <c r="C8" s="85"/>
      <c r="D8" s="8"/>
      <c r="E8" s="8"/>
      <c r="F8" s="10"/>
      <c r="G8" s="8"/>
      <c r="H8" s="8"/>
      <c r="I8" s="8"/>
      <c r="J8" s="8"/>
      <c r="K8" s="8"/>
      <c r="L8" s="8"/>
      <c r="M8" s="8"/>
      <c r="N8" s="8"/>
      <c r="O8" s="8"/>
    </row>
    <row r="9">
      <c r="A9" s="19" t="s">
        <v>13</v>
      </c>
      <c r="B9" s="83">
        <f>1078422.05*1.05+12880.52*1.05</f>
        <v>1145867.699</v>
      </c>
      <c r="C9" s="83">
        <f>1115761.96*1.05+13541.86*1.05</f>
        <v>1185769.011</v>
      </c>
      <c r="D9" s="14">
        <f>1089820.66*1.05+17514.45*1.05</f>
        <v>1162701.866</v>
      </c>
      <c r="E9" s="14">
        <f>1165237.37*1.05+18419.35*1.05</f>
        <v>1242839.556</v>
      </c>
      <c r="F9" s="14">
        <f>1180123.29*1.05+20350.24*1.05</f>
        <v>1260497.207</v>
      </c>
      <c r="G9" s="14">
        <f>1306884.89*1.05</f>
        <v>1372229.135</v>
      </c>
      <c r="H9" s="14">
        <f>1137189.74*1.05+25346.75*1.05</f>
        <v>1220663.315</v>
      </c>
      <c r="I9" s="14">
        <f>987377.02*1.05+22148.11*1.05</f>
        <v>1060001.387</v>
      </c>
      <c r="J9" s="14">
        <f>955270.98*1.05+15316.67*1.05</f>
        <v>1019117.033</v>
      </c>
      <c r="K9" s="14">
        <f>1005073.38*1.05+18295.87*1.05</f>
        <v>1074537.713</v>
      </c>
      <c r="L9" s="14">
        <f>987523.03*1.05+17547.25*1.05</f>
        <v>1055323.794</v>
      </c>
      <c r="M9" s="14">
        <f>1220863.62*1.05+25427.99*1.05</f>
        <v>1308606.191</v>
      </c>
      <c r="N9" s="15">
        <f t="shared" ref="N9:N12" si="3">+SUM(B9:M9)</f>
        <v>14108153.9</v>
      </c>
      <c r="O9" s="18"/>
    </row>
    <row r="10">
      <c r="A10" s="19" t="s">
        <v>14</v>
      </c>
      <c r="B10" s="16">
        <v>0.0</v>
      </c>
      <c r="C10" s="16">
        <v>0.0</v>
      </c>
      <c r="D10" s="16">
        <v>0.0</v>
      </c>
      <c r="E10" s="16">
        <v>0.0</v>
      </c>
      <c r="F10" s="16">
        <v>0.0</v>
      </c>
      <c r="G10" s="16">
        <v>0.0</v>
      </c>
      <c r="H10" s="17">
        <v>0.0</v>
      </c>
      <c r="I10" s="17">
        <v>0.0</v>
      </c>
      <c r="J10" s="17">
        <v>0.0</v>
      </c>
      <c r="K10" s="17">
        <v>0.0</v>
      </c>
      <c r="L10" s="17">
        <v>0.0</v>
      </c>
      <c r="M10" s="17">
        <v>0.0</v>
      </c>
      <c r="N10" s="15">
        <f t="shared" si="3"/>
        <v>0</v>
      </c>
      <c r="O10" s="18"/>
    </row>
    <row r="11">
      <c r="A11" s="19" t="s">
        <v>15</v>
      </c>
      <c r="B11" s="14">
        <f t="shared" ref="B11:M11" si="4">(B9+B10)/1.05*0.05</f>
        <v>54565.1285</v>
      </c>
      <c r="C11" s="14">
        <f t="shared" si="4"/>
        <v>56465.191</v>
      </c>
      <c r="D11" s="14">
        <f t="shared" si="4"/>
        <v>55366.7555</v>
      </c>
      <c r="E11" s="14">
        <f t="shared" si="4"/>
        <v>59182.836</v>
      </c>
      <c r="F11" s="14">
        <f t="shared" si="4"/>
        <v>60023.6765</v>
      </c>
      <c r="G11" s="14">
        <f t="shared" si="4"/>
        <v>65344.2445</v>
      </c>
      <c r="H11" s="14">
        <f t="shared" si="4"/>
        <v>58126.8245</v>
      </c>
      <c r="I11" s="14">
        <f t="shared" si="4"/>
        <v>50476.2565</v>
      </c>
      <c r="J11" s="14">
        <f t="shared" si="4"/>
        <v>48529.3825</v>
      </c>
      <c r="K11" s="14">
        <f t="shared" si="4"/>
        <v>51168.4625</v>
      </c>
      <c r="L11" s="14">
        <f t="shared" si="4"/>
        <v>50253.514</v>
      </c>
      <c r="M11" s="14">
        <f t="shared" si="4"/>
        <v>62314.5805</v>
      </c>
      <c r="N11" s="15">
        <f t="shared" si="3"/>
        <v>671816.8525</v>
      </c>
      <c r="O11" s="18"/>
    </row>
    <row r="12">
      <c r="A12" s="19" t="s">
        <v>17</v>
      </c>
      <c r="B12" s="16">
        <f>29753.41+259.89+5355.62+46.78+34821.93+6267.95+4753</f>
        <v>81258.58</v>
      </c>
      <c r="C12" s="83">
        <f>5647.46+31374.7+40222.1+7239.99+86.67+9325.19+1678</f>
        <v>95574.11</v>
      </c>
      <c r="D12" s="14">
        <f>40670.01+7320.6+29467.77+5304.19+15359.68+2764.74</f>
        <v>100886.99</v>
      </c>
      <c r="E12" s="14">
        <f>42804+7704.73+46351.49+8343.27+402.36+11252+2025</f>
        <v>118882.85</v>
      </c>
      <c r="F12" s="14">
        <f>40061.28+7211.03+47222.66+8500.08+319.91*1.18+14003.62+2520.65</f>
        <v>119896.8138</v>
      </c>
      <c r="G12" s="14">
        <f>54942.35*1.18+1190.6*1.18+53563.36*1.18</f>
        <v>129441.6458</v>
      </c>
      <c r="H12" s="14">
        <f>59178*1.18+42296.16*1.18+892.84*1.18+5957.63*1.18</f>
        <v>127823.0634</v>
      </c>
      <c r="I12" s="14">
        <f>50884*1.18+30356.76*1.18+85.12*1.18</f>
        <v>95964.5384</v>
      </c>
      <c r="J12" s="14">
        <f>(35336.4+691.52)*1.18+40648.58*1.18+458.9*1.18</f>
        <v>91019.772</v>
      </c>
      <c r="K12" s="14">
        <f>42468.07*1.18+35984.27*1.18</f>
        <v>92573.7612</v>
      </c>
      <c r="L12" s="14">
        <f>47786.86+18038.4+22508.44+3246.91+85.49*1.18</f>
        <v>91681.4882</v>
      </c>
      <c r="M12" s="14">
        <f>58929.76*1.18+29726.74*1.18+17077.47*1.18+33258.4*1.18</f>
        <v>164010.9966</v>
      </c>
      <c r="N12" s="15">
        <f t="shared" si="3"/>
        <v>1309014.609</v>
      </c>
      <c r="O12" s="18"/>
    </row>
    <row r="13">
      <c r="A13" s="21" t="s">
        <v>19</v>
      </c>
      <c r="B13" s="89">
        <f t="shared" ref="B13:M13" si="5">B9+B10-B11-B12</f>
        <v>1010043.99</v>
      </c>
      <c r="C13" s="89">
        <f t="shared" si="5"/>
        <v>1033729.71</v>
      </c>
      <c r="D13" s="22">
        <f t="shared" si="5"/>
        <v>1006448.12</v>
      </c>
      <c r="E13" s="22">
        <f t="shared" si="5"/>
        <v>1064773.87</v>
      </c>
      <c r="F13" s="23">
        <f t="shared" si="5"/>
        <v>1080576.716</v>
      </c>
      <c r="G13" s="23">
        <f t="shared" si="5"/>
        <v>1177443.244</v>
      </c>
      <c r="H13" s="22">
        <f t="shared" si="5"/>
        <v>1034713.427</v>
      </c>
      <c r="I13" s="22">
        <f t="shared" si="5"/>
        <v>913560.5916</v>
      </c>
      <c r="J13" s="22">
        <f t="shared" si="5"/>
        <v>879567.878</v>
      </c>
      <c r="K13" s="22">
        <f t="shared" si="5"/>
        <v>930795.4888</v>
      </c>
      <c r="L13" s="22">
        <f t="shared" si="5"/>
        <v>913388.7918</v>
      </c>
      <c r="M13" s="22">
        <f t="shared" si="5"/>
        <v>1082280.613</v>
      </c>
      <c r="N13" s="22">
        <f t="shared" ref="N13:N29" si="7">sum(B13:M13)</f>
        <v>12127322.44</v>
      </c>
      <c r="O13" s="24">
        <f>N13/$N$7</f>
        <v>32.84063341</v>
      </c>
    </row>
    <row r="14">
      <c r="A14" s="19" t="s">
        <v>20</v>
      </c>
      <c r="B14" s="91">
        <f t="shared" ref="B14:M14" si="6">+B3+B4-B5-B7</f>
        <v>261076.47</v>
      </c>
      <c r="C14" s="91">
        <f t="shared" si="6"/>
        <v>276585.93</v>
      </c>
      <c r="D14" s="26">
        <f t="shared" si="6"/>
        <v>257734.06</v>
      </c>
      <c r="E14" s="26">
        <f t="shared" si="6"/>
        <v>279924.58</v>
      </c>
      <c r="F14" s="26">
        <f t="shared" si="6"/>
        <v>275824.75</v>
      </c>
      <c r="G14" s="26">
        <f t="shared" si="6"/>
        <v>287029.91</v>
      </c>
      <c r="H14" s="26">
        <f t="shared" si="6"/>
        <v>273024.33</v>
      </c>
      <c r="I14" s="26">
        <f t="shared" si="6"/>
        <v>242147.79</v>
      </c>
      <c r="J14" s="26">
        <f t="shared" si="6"/>
        <v>233351.46</v>
      </c>
      <c r="K14" s="26">
        <f t="shared" si="6"/>
        <v>259630.63</v>
      </c>
      <c r="L14" s="26">
        <f t="shared" si="6"/>
        <v>249226.58</v>
      </c>
      <c r="M14" s="26">
        <f t="shared" si="6"/>
        <v>304400.06</v>
      </c>
      <c r="N14" s="15">
        <f t="shared" si="7"/>
        <v>3199956.55</v>
      </c>
      <c r="O14" s="27">
        <f t="shared" ref="O14:O27" si="8">N14/$N$13</f>
        <v>0.2638634015</v>
      </c>
    </row>
    <row r="15">
      <c r="A15" s="19" t="s">
        <v>21</v>
      </c>
      <c r="B15" s="84">
        <v>63090.0</v>
      </c>
      <c r="C15" s="84">
        <v>67110.0</v>
      </c>
      <c r="D15" s="17">
        <v>69470.0</v>
      </c>
      <c r="E15" s="17">
        <v>61930.0</v>
      </c>
      <c r="F15" s="17">
        <v>62250.0</v>
      </c>
      <c r="G15" s="17">
        <v>79500.0</v>
      </c>
      <c r="H15" s="17">
        <v>57288.0</v>
      </c>
      <c r="I15" s="17">
        <v>48920.0</v>
      </c>
      <c r="J15" s="17">
        <v>44780.0</v>
      </c>
      <c r="K15" s="17">
        <f>48300</f>
        <v>48300</v>
      </c>
      <c r="L15" s="17">
        <f>61210</f>
        <v>61210</v>
      </c>
      <c r="M15" s="30">
        <v>63000.0</v>
      </c>
      <c r="N15" s="15">
        <f t="shared" si="7"/>
        <v>726848</v>
      </c>
      <c r="O15" s="27">
        <f t="shared" si="8"/>
        <v>0.05993474681</v>
      </c>
    </row>
    <row r="16">
      <c r="A16" s="19" t="s">
        <v>22</v>
      </c>
      <c r="B16" s="67"/>
      <c r="C16" s="67"/>
      <c r="D16" s="67"/>
      <c r="E16" s="67"/>
      <c r="F16" s="67"/>
      <c r="G16" s="14"/>
      <c r="H16" s="14"/>
      <c r="I16" s="14"/>
      <c r="J16" s="14">
        <f>2478/4</f>
        <v>619.5</v>
      </c>
      <c r="K16" s="14">
        <f>2478/4+1748/12</f>
        <v>765.1666667</v>
      </c>
      <c r="L16" s="14">
        <f t="shared" ref="L16:M16" si="9">2478/4+1748/12+262.22</f>
        <v>1027.386667</v>
      </c>
      <c r="M16" s="14">
        <f t="shared" si="9"/>
        <v>1027.386667</v>
      </c>
      <c r="N16" s="15">
        <f t="shared" si="7"/>
        <v>3439.44</v>
      </c>
      <c r="O16" s="27">
        <f t="shared" si="8"/>
        <v>0.0002836108314</v>
      </c>
    </row>
    <row r="17">
      <c r="A17" s="19" t="s">
        <v>23</v>
      </c>
      <c r="B17" s="14"/>
      <c r="C17" s="14"/>
      <c r="D17" s="14"/>
      <c r="E17" s="14"/>
      <c r="F17" s="14"/>
      <c r="G17" s="14"/>
      <c r="H17" s="14"/>
      <c r="I17" s="14"/>
      <c r="J17" s="14"/>
      <c r="K17" s="14"/>
      <c r="L17" s="14"/>
      <c r="M17" s="14"/>
      <c r="N17" s="15">
        <f t="shared" si="7"/>
        <v>0</v>
      </c>
      <c r="O17" s="27">
        <f t="shared" si="8"/>
        <v>0</v>
      </c>
    </row>
    <row r="18">
      <c r="A18" s="19" t="s">
        <v>24</v>
      </c>
      <c r="B18" s="14">
        <f t="shared" ref="B18:M18" si="10">74340</f>
        <v>74340</v>
      </c>
      <c r="C18" s="14">
        <f t="shared" si="10"/>
        <v>74340</v>
      </c>
      <c r="D18" s="14">
        <f t="shared" si="10"/>
        <v>74340</v>
      </c>
      <c r="E18" s="14">
        <f t="shared" si="10"/>
        <v>74340</v>
      </c>
      <c r="F18" s="14">
        <f t="shared" si="10"/>
        <v>74340</v>
      </c>
      <c r="G18" s="14">
        <f t="shared" si="10"/>
        <v>74340</v>
      </c>
      <c r="H18" s="14">
        <f t="shared" si="10"/>
        <v>74340</v>
      </c>
      <c r="I18" s="14">
        <f t="shared" si="10"/>
        <v>74340</v>
      </c>
      <c r="J18" s="14">
        <f t="shared" si="10"/>
        <v>74340</v>
      </c>
      <c r="K18" s="14">
        <f t="shared" si="10"/>
        <v>74340</v>
      </c>
      <c r="L18" s="14">
        <f t="shared" si="10"/>
        <v>74340</v>
      </c>
      <c r="M18" s="14">
        <f t="shared" si="10"/>
        <v>74340</v>
      </c>
      <c r="N18" s="15">
        <f t="shared" si="7"/>
        <v>892080</v>
      </c>
      <c r="O18" s="27">
        <f t="shared" si="8"/>
        <v>0.07355951855</v>
      </c>
    </row>
    <row r="19">
      <c r="A19" s="19" t="s">
        <v>25</v>
      </c>
      <c r="B19" s="17">
        <v>7355.0</v>
      </c>
      <c r="C19" s="17">
        <v>7355.0</v>
      </c>
      <c r="D19" s="17">
        <v>7355.0</v>
      </c>
      <c r="E19" s="17">
        <v>7355.0</v>
      </c>
      <c r="F19" s="17">
        <v>7355.0</v>
      </c>
      <c r="G19" s="17">
        <v>7355.0</v>
      </c>
      <c r="H19" s="17">
        <v>7355.0</v>
      </c>
      <c r="I19" s="17">
        <v>7355.0</v>
      </c>
      <c r="J19" s="17">
        <v>7355.0</v>
      </c>
      <c r="K19" s="17">
        <v>7355.0</v>
      </c>
      <c r="L19" s="17">
        <v>7355.0</v>
      </c>
      <c r="M19" s="17">
        <v>7355.0</v>
      </c>
      <c r="N19" s="15">
        <f t="shared" si="7"/>
        <v>88260</v>
      </c>
      <c r="O19" s="27">
        <f t="shared" si="8"/>
        <v>0.007277781261</v>
      </c>
    </row>
    <row r="20">
      <c r="A20" s="20" t="s">
        <v>26</v>
      </c>
      <c r="B20" s="14">
        <f>177375+3304+60211/12</f>
        <v>185696.5833</v>
      </c>
      <c r="C20" s="14">
        <f>181724+60211/12</f>
        <v>186741.5833</v>
      </c>
      <c r="D20" s="14">
        <f>131809.74+48658.84+3443.42+60211/12</f>
        <v>188929.5833</v>
      </c>
      <c r="E20" s="17">
        <f>184683+60211/12</f>
        <v>189700.5833</v>
      </c>
      <c r="F20" s="14">
        <f>184683++60211/12</f>
        <v>189700.5833</v>
      </c>
      <c r="G20" s="14">
        <f>184683+60211/12</f>
        <v>189700.5833</v>
      </c>
      <c r="H20" s="14">
        <f>60211/12+173688.81</f>
        <v>178706.3933</v>
      </c>
      <c r="I20" s="14">
        <f>60211/12+182681</f>
        <v>187698.5833</v>
      </c>
      <c r="J20" s="14">
        <f>60211/12+194032</f>
        <v>199049.5833</v>
      </c>
      <c r="K20" s="14">
        <f>60211/12+193629</f>
        <v>198646.5833</v>
      </c>
      <c r="L20" s="14">
        <f>60211/12+183078</f>
        <v>188095.5833</v>
      </c>
      <c r="M20" s="14">
        <f>60211/12+191614</f>
        <v>196631.5833</v>
      </c>
      <c r="N20" s="15">
        <f t="shared" si="7"/>
        <v>2279297.81</v>
      </c>
      <c r="O20" s="27">
        <f t="shared" si="8"/>
        <v>0.1879473248</v>
      </c>
    </row>
    <row r="21">
      <c r="A21" s="11" t="s">
        <v>27</v>
      </c>
      <c r="B21" s="17">
        <f>3540+2478+2360</f>
        <v>8378</v>
      </c>
      <c r="C21" s="17">
        <f>3540+2478+3717</f>
        <v>9735</v>
      </c>
      <c r="D21" s="17">
        <f>3540+2478+2360</f>
        <v>8378</v>
      </c>
      <c r="E21" s="14">
        <f>2360+2478+3717</f>
        <v>8555</v>
      </c>
      <c r="F21" s="14">
        <f>3717+2478+2360</f>
        <v>8555</v>
      </c>
      <c r="G21" s="14">
        <f>2360+2478+3717</f>
        <v>8555</v>
      </c>
      <c r="H21" s="14">
        <f>2360+3717+2478</f>
        <v>8555</v>
      </c>
      <c r="I21" s="14">
        <f>2360+2478+3717</f>
        <v>8555</v>
      </c>
      <c r="J21" s="14">
        <f>6195+2360</f>
        <v>8555</v>
      </c>
      <c r="K21" s="14">
        <f>2360+2478+3717</f>
        <v>8555</v>
      </c>
      <c r="L21" s="14">
        <f>2478+3717+2360</f>
        <v>8555</v>
      </c>
      <c r="M21" s="14">
        <f>2360+3717+2478</f>
        <v>8555</v>
      </c>
      <c r="N21" s="15">
        <f t="shared" si="7"/>
        <v>103486</v>
      </c>
      <c r="O21" s="27">
        <f t="shared" si="8"/>
        <v>0.008533293355</v>
      </c>
    </row>
    <row r="22">
      <c r="A22" s="32" t="s">
        <v>28</v>
      </c>
      <c r="B22" s="14">
        <f t="shared" ref="B22:D22" si="11">7500/3+2124/3+9813/12+6372/12</f>
        <v>4556.75</v>
      </c>
      <c r="C22" s="14">
        <f t="shared" si="11"/>
        <v>4556.75</v>
      </c>
      <c r="D22" s="14">
        <f t="shared" si="11"/>
        <v>4556.75</v>
      </c>
      <c r="E22" s="14">
        <f>9813/12+6372/12+2124/3+7500/3</f>
        <v>4556.75</v>
      </c>
      <c r="F22" s="14">
        <f t="shared" ref="F22:J22" si="12">9813/12+6372/12+2124/3</f>
        <v>2056.75</v>
      </c>
      <c r="G22" s="14">
        <f t="shared" si="12"/>
        <v>2056.75</v>
      </c>
      <c r="H22" s="14">
        <f t="shared" si="12"/>
        <v>2056.75</v>
      </c>
      <c r="I22" s="14">
        <f t="shared" si="12"/>
        <v>2056.75</v>
      </c>
      <c r="J22" s="14">
        <f t="shared" si="12"/>
        <v>2056.75</v>
      </c>
      <c r="K22" s="14">
        <f t="shared" ref="K22:M22" si="13">9813/12+6372/12+3271.32/3</f>
        <v>2439.19</v>
      </c>
      <c r="L22" s="14">
        <f t="shared" si="13"/>
        <v>2439.19</v>
      </c>
      <c r="M22" s="14">
        <f t="shared" si="13"/>
        <v>2439.19</v>
      </c>
      <c r="N22" s="15">
        <f t="shared" si="7"/>
        <v>35828.32</v>
      </c>
      <c r="O22" s="27">
        <f t="shared" si="8"/>
        <v>0.00295434711</v>
      </c>
    </row>
    <row r="23">
      <c r="A23" s="20" t="s">
        <v>29</v>
      </c>
      <c r="B23" s="33">
        <v>0.0</v>
      </c>
      <c r="C23" s="91">
        <v>1160.3</v>
      </c>
      <c r="D23" s="91">
        <v>1160.3</v>
      </c>
      <c r="E23" s="91">
        <v>1160.3</v>
      </c>
      <c r="F23" s="91">
        <v>1160.3</v>
      </c>
      <c r="G23" s="91">
        <v>1160.3</v>
      </c>
      <c r="H23" s="91">
        <v>1160.3</v>
      </c>
      <c r="I23" s="91">
        <v>1160.3</v>
      </c>
      <c r="J23" s="91">
        <v>1160.3</v>
      </c>
      <c r="K23" s="91">
        <v>1160.3</v>
      </c>
      <c r="L23" s="91">
        <v>1160.3</v>
      </c>
      <c r="M23" s="91">
        <v>1160.3</v>
      </c>
      <c r="N23" s="15">
        <f t="shared" si="7"/>
        <v>12763.3</v>
      </c>
      <c r="O23" s="27">
        <f t="shared" si="8"/>
        <v>0.001052441713</v>
      </c>
    </row>
    <row r="24">
      <c r="A24" s="19" t="s">
        <v>30</v>
      </c>
      <c r="B24" s="33">
        <v>600.0</v>
      </c>
      <c r="C24" s="33">
        <v>600.0</v>
      </c>
      <c r="D24" s="34">
        <f>25960/12</f>
        <v>2163.333333</v>
      </c>
      <c r="E24" s="34">
        <f>25960/12+861</f>
        <v>3024.333333</v>
      </c>
      <c r="F24" s="34">
        <f>25960/12+6100</f>
        <v>8263.333333</v>
      </c>
      <c r="G24" s="34">
        <f>25960/12+500</f>
        <v>2663.333333</v>
      </c>
      <c r="H24" s="34">
        <f>25960/12+7300</f>
        <v>9463.333333</v>
      </c>
      <c r="I24" s="34">
        <f>25960/12+500</f>
        <v>2663.333333</v>
      </c>
      <c r="J24" s="34">
        <f>25960/12</f>
        <v>2163.333333</v>
      </c>
      <c r="K24" s="34">
        <f>25960/12+1980</f>
        <v>4143.333333</v>
      </c>
      <c r="L24" s="34">
        <f>25960/12+32555</f>
        <v>34718.33333</v>
      </c>
      <c r="M24" s="34">
        <f>25960/12+4000</f>
        <v>6163.333333</v>
      </c>
      <c r="N24" s="15">
        <f t="shared" si="7"/>
        <v>76629.33333</v>
      </c>
      <c r="O24" s="27">
        <f t="shared" si="8"/>
        <v>0.006318734717</v>
      </c>
    </row>
    <row r="25">
      <c r="A25" s="19" t="s">
        <v>31</v>
      </c>
      <c r="B25" s="14">
        <f>16586</f>
        <v>16586</v>
      </c>
      <c r="C25" s="17">
        <v>4927.79</v>
      </c>
      <c r="D25" s="17">
        <v>5360.0</v>
      </c>
      <c r="E25" s="14">
        <f>10761</f>
        <v>10761</v>
      </c>
      <c r="F25" s="14">
        <f>30045.22</f>
        <v>30045.22</v>
      </c>
      <c r="G25" s="17">
        <v>8600.52</v>
      </c>
      <c r="H25" s="14">
        <f>11452.05</f>
        <v>11452.05</v>
      </c>
      <c r="I25" s="17">
        <v>8132.29</v>
      </c>
      <c r="J25" s="17">
        <v>4327.0</v>
      </c>
      <c r="K25" s="17">
        <v>10742.0</v>
      </c>
      <c r="L25" s="17">
        <v>25630.0</v>
      </c>
      <c r="M25" s="17">
        <f>15322</f>
        <v>15322</v>
      </c>
      <c r="N25" s="15">
        <f t="shared" si="7"/>
        <v>151885.87</v>
      </c>
      <c r="O25" s="27">
        <f t="shared" si="8"/>
        <v>0.01252427077</v>
      </c>
    </row>
    <row r="26">
      <c r="A26" s="19" t="s">
        <v>32</v>
      </c>
      <c r="B26" s="14">
        <f t="shared" ref="B26:E26" si="14">49560</f>
        <v>49560</v>
      </c>
      <c r="C26" s="14">
        <f t="shared" si="14"/>
        <v>49560</v>
      </c>
      <c r="D26" s="14">
        <f t="shared" si="14"/>
        <v>49560</v>
      </c>
      <c r="E26" s="14">
        <f t="shared" si="14"/>
        <v>49560</v>
      </c>
      <c r="F26" s="17">
        <v>49560.0</v>
      </c>
      <c r="G26" s="17">
        <v>49560.0</v>
      </c>
      <c r="H26" s="17">
        <v>49560.0</v>
      </c>
      <c r="I26" s="17">
        <v>49560.0</v>
      </c>
      <c r="J26" s="17">
        <v>49560.0</v>
      </c>
      <c r="K26" s="17">
        <v>49560.0</v>
      </c>
      <c r="L26" s="14">
        <f>49560</f>
        <v>49560</v>
      </c>
      <c r="M26" s="17">
        <v>49560.0</v>
      </c>
      <c r="N26" s="15">
        <f t="shared" si="7"/>
        <v>594720</v>
      </c>
      <c r="O26" s="27">
        <f t="shared" si="8"/>
        <v>0.04903967903</v>
      </c>
    </row>
    <row r="27">
      <c r="A27" s="19" t="s">
        <v>33</v>
      </c>
      <c r="B27" s="14">
        <f>HO!D40</f>
        <v>204865.1512</v>
      </c>
      <c r="C27" s="14">
        <f>HO!H40</f>
        <v>207727.2053</v>
      </c>
      <c r="D27" s="14">
        <f>HO!L40</f>
        <v>200179.2295</v>
      </c>
      <c r="E27" s="14">
        <f>HO!P40</f>
        <v>227749.8618</v>
      </c>
      <c r="F27" s="14">
        <f>HO!D59</f>
        <v>211971.7213</v>
      </c>
      <c r="G27" s="14">
        <f>HO!H59</f>
        <v>253239.9181</v>
      </c>
      <c r="H27" s="14">
        <f>HO!L59</f>
        <v>199399.7975</v>
      </c>
      <c r="I27" s="14">
        <f>HO!P59</f>
        <v>197097.4863</v>
      </c>
      <c r="J27" s="14">
        <f>HO!D78</f>
        <v>165624.6681</v>
      </c>
      <c r="K27" s="14">
        <f>HO!H78</f>
        <v>181413.7836</v>
      </c>
      <c r="L27" s="14">
        <f>HO!L78</f>
        <v>191097.2154</v>
      </c>
      <c r="M27" s="14">
        <f>HO!P78</f>
        <v>199323.3514</v>
      </c>
      <c r="N27" s="15">
        <f t="shared" si="7"/>
        <v>2439689.389</v>
      </c>
      <c r="O27" s="27">
        <f t="shared" si="8"/>
        <v>0.2011729631</v>
      </c>
    </row>
    <row r="28">
      <c r="A28" s="35" t="s">
        <v>34</v>
      </c>
      <c r="B28" s="36">
        <f t="shared" ref="B28:M28" si="15">+SUM(B14:B27)</f>
        <v>876103.9546</v>
      </c>
      <c r="C28" s="36">
        <f t="shared" si="15"/>
        <v>890399.5586</v>
      </c>
      <c r="D28" s="36">
        <f t="shared" si="15"/>
        <v>869186.2561</v>
      </c>
      <c r="E28" s="36">
        <f t="shared" si="15"/>
        <v>918617.4085</v>
      </c>
      <c r="F28" s="37">
        <f t="shared" si="15"/>
        <v>921082.658</v>
      </c>
      <c r="G28" s="36">
        <f t="shared" si="15"/>
        <v>963761.3148</v>
      </c>
      <c r="H28" s="36">
        <f t="shared" si="15"/>
        <v>872360.9541</v>
      </c>
      <c r="I28" s="36">
        <f t="shared" si="15"/>
        <v>829686.533</v>
      </c>
      <c r="J28" s="36">
        <f t="shared" si="15"/>
        <v>792942.5947</v>
      </c>
      <c r="K28" s="36">
        <f t="shared" si="15"/>
        <v>847050.9869</v>
      </c>
      <c r="L28" s="36">
        <f t="shared" si="15"/>
        <v>894414.5887</v>
      </c>
      <c r="M28" s="36">
        <f t="shared" si="15"/>
        <v>929277.2047</v>
      </c>
      <c r="N28" s="36">
        <f t="shared" si="7"/>
        <v>10604884.01</v>
      </c>
      <c r="O28" s="38">
        <f>N28/N13</f>
        <v>0.8744621135</v>
      </c>
    </row>
    <row r="29">
      <c r="A29" s="39" t="s">
        <v>35</v>
      </c>
      <c r="B29" s="40">
        <f t="shared" ref="B29:M29" si="16">B13-B28</f>
        <v>133940.0354</v>
      </c>
      <c r="C29" s="40">
        <f t="shared" si="16"/>
        <v>143330.1514</v>
      </c>
      <c r="D29" s="40">
        <f t="shared" si="16"/>
        <v>137261.8639</v>
      </c>
      <c r="E29" s="40">
        <f t="shared" si="16"/>
        <v>146156.4615</v>
      </c>
      <c r="F29" s="40">
        <f t="shared" si="16"/>
        <v>159494.0582</v>
      </c>
      <c r="G29" s="40">
        <f t="shared" si="16"/>
        <v>213681.9294</v>
      </c>
      <c r="H29" s="40">
        <f t="shared" si="16"/>
        <v>162352.4725</v>
      </c>
      <c r="I29" s="40">
        <f t="shared" si="16"/>
        <v>83874.05861</v>
      </c>
      <c r="J29" s="40">
        <f t="shared" si="16"/>
        <v>86625.28327</v>
      </c>
      <c r="K29" s="40">
        <f t="shared" si="16"/>
        <v>83744.50187</v>
      </c>
      <c r="L29" s="40">
        <f t="shared" si="16"/>
        <v>18974.20307</v>
      </c>
      <c r="M29" s="40">
        <f t="shared" si="16"/>
        <v>153003.4087</v>
      </c>
      <c r="N29" s="40">
        <f t="shared" si="7"/>
        <v>1522438.428</v>
      </c>
      <c r="O29" s="41">
        <f>N29/N13</f>
        <v>0.1255378865</v>
      </c>
    </row>
    <row r="30">
      <c r="A30" s="42" t="s">
        <v>36</v>
      </c>
      <c r="B30" s="43">
        <f t="shared" ref="B30:M30" si="17">(B14/B13)</f>
        <v>0.2584802965</v>
      </c>
      <c r="C30" s="43">
        <f t="shared" si="17"/>
        <v>0.2675611694</v>
      </c>
      <c r="D30" s="43">
        <f t="shared" si="17"/>
        <v>0.2560828073</v>
      </c>
      <c r="E30" s="43">
        <f t="shared" si="17"/>
        <v>0.2628958015</v>
      </c>
      <c r="F30" s="44">
        <f t="shared" si="17"/>
        <v>0.2552569807</v>
      </c>
      <c r="G30" s="43">
        <f t="shared" si="17"/>
        <v>0.2437738816</v>
      </c>
      <c r="H30" s="43">
        <f t="shared" si="17"/>
        <v>0.2638646827</v>
      </c>
      <c r="I30" s="43">
        <f t="shared" si="17"/>
        <v>0.2650593647</v>
      </c>
      <c r="J30" s="43">
        <f t="shared" si="17"/>
        <v>0.2653023898</v>
      </c>
      <c r="K30" s="43">
        <f t="shared" si="17"/>
        <v>0.2789341301</v>
      </c>
      <c r="L30" s="43">
        <f t="shared" si="17"/>
        <v>0.2728592492</v>
      </c>
      <c r="M30" s="43">
        <f t="shared" si="17"/>
        <v>0.2812579808</v>
      </c>
      <c r="N30" s="45"/>
      <c r="O30" s="45"/>
    </row>
    <row r="32">
      <c r="B32" s="46">
        <f t="shared" ref="B32:M32" si="18">B29+B27</f>
        <v>338805.1867</v>
      </c>
      <c r="C32" s="46">
        <f t="shared" si="18"/>
        <v>351057.3567</v>
      </c>
      <c r="D32" s="46">
        <f t="shared" si="18"/>
        <v>337441.0933</v>
      </c>
      <c r="E32" s="46">
        <f t="shared" si="18"/>
        <v>373906.3233</v>
      </c>
      <c r="F32" s="46">
        <f t="shared" si="18"/>
        <v>371465.7795</v>
      </c>
      <c r="G32" s="46">
        <f t="shared" si="18"/>
        <v>466921.8475</v>
      </c>
      <c r="H32" s="46">
        <f t="shared" si="18"/>
        <v>361752.2699</v>
      </c>
      <c r="I32" s="46">
        <f t="shared" si="18"/>
        <v>280971.5449</v>
      </c>
      <c r="J32" s="46">
        <f t="shared" si="18"/>
        <v>252249.9513</v>
      </c>
      <c r="K32" s="46">
        <f t="shared" si="18"/>
        <v>265158.2855</v>
      </c>
      <c r="L32" s="46">
        <f t="shared" si="18"/>
        <v>210071.4185</v>
      </c>
      <c r="M32" s="46">
        <f t="shared" si="18"/>
        <v>352326.7601</v>
      </c>
    </row>
    <row r="33">
      <c r="A33" s="47"/>
      <c r="B33" s="48">
        <f t="shared" ref="B33:M33" si="19">B32/B13</f>
        <v>0.3354360701</v>
      </c>
      <c r="C33" s="48">
        <f t="shared" si="19"/>
        <v>0.3396026575</v>
      </c>
      <c r="D33" s="48">
        <f t="shared" si="19"/>
        <v>0.335279173</v>
      </c>
      <c r="E33" s="48">
        <f t="shared" si="19"/>
        <v>0.351160311</v>
      </c>
      <c r="F33" s="48">
        <f t="shared" si="19"/>
        <v>0.3437662259</v>
      </c>
      <c r="G33" s="48">
        <f t="shared" si="19"/>
        <v>0.396555715</v>
      </c>
      <c r="H33" s="48">
        <f t="shared" si="19"/>
        <v>0.3496159039</v>
      </c>
      <c r="I33" s="48">
        <f t="shared" si="19"/>
        <v>0.3075565513</v>
      </c>
      <c r="J33" s="48">
        <f t="shared" si="19"/>
        <v>0.2867884988</v>
      </c>
      <c r="K33" s="48">
        <f t="shared" si="19"/>
        <v>0.284872766</v>
      </c>
      <c r="L33" s="48">
        <f t="shared" si="19"/>
        <v>0.2299912374</v>
      </c>
      <c r="M33" s="48">
        <f t="shared" si="19"/>
        <v>0.3255410433</v>
      </c>
    </row>
    <row r="34">
      <c r="A34" s="47"/>
      <c r="B34" s="48"/>
      <c r="C34" s="48"/>
      <c r="D34" s="48"/>
      <c r="E34" s="48"/>
    </row>
    <row r="35">
      <c r="A35" s="9"/>
      <c r="B35" s="48"/>
      <c r="C35" s="48"/>
      <c r="D35" s="48"/>
      <c r="E35" s="48"/>
    </row>
    <row r="36">
      <c r="A36" s="47"/>
      <c r="B36" s="48"/>
      <c r="C36" s="48"/>
      <c r="D36" s="48"/>
      <c r="E36" s="48"/>
    </row>
  </sheetData>
  <mergeCells count="1">
    <mergeCell ref="N1:O1"/>
  </mergeCells>
  <drawing r:id="rId4"/>
  <legacyDrawing r:id="rId5"/>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38"/>
    <col customWidth="1" min="15" max="15" width="9.38"/>
  </cols>
  <sheetData>
    <row r="1">
      <c r="A1" s="1" t="s">
        <v>59</v>
      </c>
      <c r="B1" s="2">
        <v>45748.0</v>
      </c>
      <c r="C1" s="2">
        <v>45778.0</v>
      </c>
      <c r="D1" s="2">
        <v>45809.0</v>
      </c>
      <c r="E1" s="2">
        <v>45839.0</v>
      </c>
      <c r="F1" s="4">
        <v>45870.0</v>
      </c>
      <c r="G1" s="2">
        <v>45901.0</v>
      </c>
      <c r="H1" s="2">
        <v>45931.0</v>
      </c>
      <c r="I1" s="2">
        <v>45962.0</v>
      </c>
      <c r="J1" s="2">
        <v>45992.0</v>
      </c>
      <c r="K1" s="2">
        <v>46023.0</v>
      </c>
      <c r="L1" s="2">
        <v>46054.0</v>
      </c>
      <c r="M1" s="2">
        <v>46082.0</v>
      </c>
      <c r="N1" s="5" t="s">
        <v>5</v>
      </c>
      <c r="O1" s="6"/>
    </row>
    <row r="2">
      <c r="A2" s="7" t="s">
        <v>6</v>
      </c>
      <c r="B2" s="8"/>
      <c r="C2" s="8"/>
      <c r="D2" s="8"/>
      <c r="E2" s="8"/>
      <c r="F2" s="10"/>
      <c r="G2" s="8"/>
      <c r="H2" s="8"/>
      <c r="I2" s="8"/>
      <c r="J2" s="8"/>
      <c r="K2" s="8"/>
      <c r="L2" s="8"/>
      <c r="M2" s="8"/>
      <c r="N2" s="8"/>
      <c r="O2" s="8"/>
    </row>
    <row r="3">
      <c r="A3" s="11" t="s">
        <v>7</v>
      </c>
      <c r="B3" s="12">
        <v>47803.48</v>
      </c>
      <c r="C3" s="13">
        <f t="shared" ref="C3:M3" si="1">B7</f>
        <v>53230.78</v>
      </c>
      <c r="D3" s="14">
        <f t="shared" si="1"/>
        <v>60637.45</v>
      </c>
      <c r="E3" s="14">
        <f t="shared" si="1"/>
        <v>53184.43</v>
      </c>
      <c r="F3" s="14">
        <f t="shared" si="1"/>
        <v>42112.4</v>
      </c>
      <c r="G3" s="14">
        <f t="shared" si="1"/>
        <v>30053.06</v>
      </c>
      <c r="H3" s="14">
        <f t="shared" si="1"/>
        <v>43246</v>
      </c>
      <c r="I3" s="14">
        <f t="shared" si="1"/>
        <v>47449.77</v>
      </c>
      <c r="J3" s="14">
        <f t="shared" si="1"/>
        <v>43011</v>
      </c>
      <c r="K3" s="14">
        <f t="shared" si="1"/>
        <v>43359</v>
      </c>
      <c r="L3" s="14">
        <f t="shared" si="1"/>
        <v>36339.77</v>
      </c>
      <c r="M3" s="14">
        <f t="shared" si="1"/>
        <v>38121</v>
      </c>
      <c r="N3" s="15">
        <f>B3</f>
        <v>47803.48</v>
      </c>
      <c r="O3" s="18"/>
    </row>
    <row r="4">
      <c r="A4" s="11" t="s">
        <v>9</v>
      </c>
      <c r="B4" s="16">
        <v>311622.0</v>
      </c>
      <c r="C4" s="16">
        <v>413102.0</v>
      </c>
      <c r="D4" s="17">
        <v>380344.0</v>
      </c>
      <c r="E4" s="17">
        <v>406389.0</v>
      </c>
      <c r="F4" s="17">
        <v>454133.0</v>
      </c>
      <c r="G4" s="17">
        <v>447483.76</v>
      </c>
      <c r="H4" s="17">
        <v>468519.0</v>
      </c>
      <c r="I4" s="17">
        <v>446457.0</v>
      </c>
      <c r="J4" s="17">
        <v>439295.0</v>
      </c>
      <c r="K4" s="17">
        <v>481260.57</v>
      </c>
      <c r="L4" s="17">
        <f>437007-4464.99</f>
        <v>432542.01</v>
      </c>
      <c r="M4" s="17">
        <v>560438.4</v>
      </c>
      <c r="N4" s="15">
        <f>sum(B4:M4)</f>
        <v>5241585.74</v>
      </c>
      <c r="O4" s="18"/>
    </row>
    <row r="5">
      <c r="A5" s="11" t="s">
        <v>10</v>
      </c>
      <c r="B5" s="16">
        <v>148.28</v>
      </c>
      <c r="C5" s="16">
        <v>695.33</v>
      </c>
      <c r="D5" s="17">
        <v>112.68</v>
      </c>
      <c r="E5" s="17">
        <v>99.75</v>
      </c>
      <c r="F5" s="17">
        <v>419.0</v>
      </c>
      <c r="G5" s="17">
        <v>606.0</v>
      </c>
      <c r="H5" s="17">
        <v>1116.52</v>
      </c>
      <c r="I5" s="17">
        <v>1385.0</v>
      </c>
      <c r="J5" s="17">
        <v>803.0</v>
      </c>
      <c r="K5" s="17">
        <v>1691.57</v>
      </c>
      <c r="L5" s="17">
        <v>450.22</v>
      </c>
      <c r="M5" s="17">
        <v>894.06</v>
      </c>
      <c r="N5" s="15">
        <f t="shared" ref="N5:N6" si="2">+SUM(J5:L5)</f>
        <v>2944.79</v>
      </c>
      <c r="O5" s="18"/>
    </row>
    <row r="6">
      <c r="A6" s="11" t="s">
        <v>11</v>
      </c>
      <c r="B6" s="16">
        <v>20991.6</v>
      </c>
      <c r="C6" s="16">
        <v>10571.43</v>
      </c>
      <c r="D6" s="14">
        <f>9655.11</f>
        <v>9655.11</v>
      </c>
      <c r="E6" s="17">
        <v>7183.45</v>
      </c>
      <c r="F6" s="17">
        <v>6013.52</v>
      </c>
      <c r="G6" s="17">
        <v>7069.0</v>
      </c>
      <c r="H6" s="17">
        <v>8089.0</v>
      </c>
      <c r="I6" s="17">
        <v>8559.0</v>
      </c>
      <c r="J6" s="17">
        <v>8900.0</v>
      </c>
      <c r="K6" s="17">
        <v>8656.0</v>
      </c>
      <c r="L6" s="17">
        <v>8135.94</v>
      </c>
      <c r="M6" s="17">
        <v>10294.33</v>
      </c>
      <c r="N6" s="15">
        <f t="shared" si="2"/>
        <v>25691.94</v>
      </c>
      <c r="O6" s="18"/>
    </row>
    <row r="7">
      <c r="A7" s="11" t="s">
        <v>12</v>
      </c>
      <c r="B7" s="16">
        <v>53230.78</v>
      </c>
      <c r="C7" s="16">
        <v>60637.45</v>
      </c>
      <c r="D7" s="17">
        <v>53184.43</v>
      </c>
      <c r="E7" s="17">
        <v>42112.4</v>
      </c>
      <c r="F7" s="17">
        <v>30053.06</v>
      </c>
      <c r="G7" s="17">
        <v>43246.0</v>
      </c>
      <c r="H7" s="17">
        <v>47449.77</v>
      </c>
      <c r="I7" s="17">
        <v>43011.0</v>
      </c>
      <c r="J7" s="17">
        <v>43359.0</v>
      </c>
      <c r="K7" s="17">
        <v>36339.77</v>
      </c>
      <c r="L7" s="17">
        <v>38121.0</v>
      </c>
      <c r="M7" s="17">
        <v>41652.63</v>
      </c>
      <c r="N7" s="15">
        <f>sum(B7:M7)</f>
        <v>532397.29</v>
      </c>
      <c r="O7" s="18"/>
    </row>
    <row r="8">
      <c r="A8" s="8"/>
      <c r="B8" s="55"/>
      <c r="C8" s="55"/>
      <c r="D8" s="8"/>
      <c r="E8" s="8"/>
      <c r="F8" s="10"/>
      <c r="G8" s="8"/>
      <c r="H8" s="8"/>
      <c r="I8" s="8"/>
      <c r="J8" s="8"/>
      <c r="K8" s="8"/>
      <c r="L8" s="8"/>
      <c r="M8" s="8"/>
      <c r="N8" s="8"/>
      <c r="O8" s="8"/>
    </row>
    <row r="9">
      <c r="A9" s="19" t="s">
        <v>13</v>
      </c>
      <c r="B9" s="13">
        <f>1228542.21*1.05+15829.64*1.05+80*1.05</f>
        <v>1306674.443</v>
      </c>
      <c r="C9" s="13">
        <f>1737774.8*1.05+23295.19*1.05</f>
        <v>1849123.49</v>
      </c>
      <c r="D9" s="14">
        <f>1756656.87*1.05+25688.34*1.05</f>
        <v>1871462.471</v>
      </c>
      <c r="E9" s="14">
        <f>1814914.25*1.05+27483.27*1.05</f>
        <v>1934517.396</v>
      </c>
      <c r="F9" s="14">
        <f>2019885.91*1.05+32277.18*1.05</f>
        <v>2154771.245</v>
      </c>
      <c r="G9" s="14">
        <f>1951856.33*1.05</f>
        <v>2049449.147</v>
      </c>
      <c r="H9" s="14">
        <f>1975086*1.05+39322.71*1.05+20*1.05</f>
        <v>2115150.146</v>
      </c>
      <c r="I9" s="14">
        <f>1823369.3*1.05+36916.66*1.05</f>
        <v>1953300.258</v>
      </c>
      <c r="J9" s="14">
        <f>1813855.31*1.05+30493.95*1.05</f>
        <v>1936566.723</v>
      </c>
      <c r="K9" s="14">
        <f>1988896.04*1.05+32772.32*1.05</f>
        <v>2122751.778</v>
      </c>
      <c r="L9" s="14">
        <f>1710746.93*1.05+40*1.05+32144.3*1.05</f>
        <v>1830077.792</v>
      </c>
      <c r="M9" s="14">
        <f>2244051.24*1.05+60*1.05+39214.14*1.05</f>
        <v>2397491.649</v>
      </c>
      <c r="N9" s="15">
        <f t="shared" ref="N9:N12" si="3">+SUM(B9:M9)</f>
        <v>23521336.53</v>
      </c>
      <c r="O9" s="18"/>
    </row>
    <row r="10">
      <c r="A10" s="19" t="s">
        <v>14</v>
      </c>
      <c r="B10" s="16">
        <v>0.0</v>
      </c>
      <c r="C10" s="16">
        <v>0.0</v>
      </c>
      <c r="D10" s="16">
        <v>0.0</v>
      </c>
      <c r="E10" s="16">
        <v>0.0</v>
      </c>
      <c r="F10" s="16">
        <v>0.0</v>
      </c>
      <c r="G10" s="16">
        <v>0.0</v>
      </c>
      <c r="H10" s="16">
        <v>0.0</v>
      </c>
      <c r="I10" s="16">
        <v>0.0</v>
      </c>
      <c r="J10" s="16">
        <v>0.0</v>
      </c>
      <c r="K10" s="16">
        <v>0.0</v>
      </c>
      <c r="L10" s="16">
        <v>0.0</v>
      </c>
      <c r="M10" s="16">
        <v>0.0</v>
      </c>
      <c r="N10" s="15">
        <f t="shared" si="3"/>
        <v>0</v>
      </c>
      <c r="O10" s="18"/>
    </row>
    <row r="11">
      <c r="A11" s="19" t="s">
        <v>15</v>
      </c>
      <c r="B11" s="14">
        <f t="shared" ref="B11:M11" si="4">(B9+B10)/1.05*0.05</f>
        <v>62222.5925</v>
      </c>
      <c r="C11" s="14">
        <f t="shared" si="4"/>
        <v>88053.4995</v>
      </c>
      <c r="D11" s="14">
        <f t="shared" si="4"/>
        <v>89117.2605</v>
      </c>
      <c r="E11" s="14">
        <f t="shared" si="4"/>
        <v>92119.876</v>
      </c>
      <c r="F11" s="14">
        <f t="shared" si="4"/>
        <v>102608.1545</v>
      </c>
      <c r="G11" s="14">
        <f t="shared" si="4"/>
        <v>97592.8165</v>
      </c>
      <c r="H11" s="14">
        <f t="shared" si="4"/>
        <v>100721.4355</v>
      </c>
      <c r="I11" s="14">
        <f t="shared" si="4"/>
        <v>93014.298</v>
      </c>
      <c r="J11" s="14">
        <f t="shared" si="4"/>
        <v>92217.463</v>
      </c>
      <c r="K11" s="14">
        <f t="shared" si="4"/>
        <v>101083.418</v>
      </c>
      <c r="L11" s="14">
        <f t="shared" si="4"/>
        <v>87146.5615</v>
      </c>
      <c r="M11" s="14">
        <f t="shared" si="4"/>
        <v>114166.269</v>
      </c>
      <c r="N11" s="15">
        <f t="shared" si="3"/>
        <v>1120063.645</v>
      </c>
      <c r="O11" s="18"/>
    </row>
    <row r="12">
      <c r="A12" s="19" t="s">
        <v>17</v>
      </c>
      <c r="B12" s="16">
        <f>36320.95+192.27+6537.78+34.6+40632.93+7313.87+6932</f>
        <v>97964.4</v>
      </c>
      <c r="C12" s="13">
        <f>9740.18+54112.12+60779.97+10940.37+234.99+14438+2599.02</f>
        <v>152844.65</v>
      </c>
      <c r="D12" s="14">
        <f>59585.39+10725.37+49226.28+8860.8+22679.27+4082.26</f>
        <v>155159.37</v>
      </c>
      <c r="E12" s="14">
        <f>63413+11414.34+66589.38+12059.59+1854+14501+2610</f>
        <v>172441.31</v>
      </c>
      <c r="F12" s="14">
        <f>61461.2+11063.01+75135.42+13254.37+2072.99+29243.29+5213.79</f>
        <v>197444.07</v>
      </c>
      <c r="G12" s="14">
        <f>75103.75*1.18+2561.92*1.18+81033.79*1.18</f>
        <v>187265.3628</v>
      </c>
      <c r="H12" s="14">
        <f>91878*1.18+68390.13*1.18+3573.21*1.18+16575.23*1.18</f>
        <v>212891.5526</v>
      </c>
      <c r="I12" s="14">
        <f>85549.71*1.18+80107.45*1.18+3419.34*1.18</f>
        <v>199510.27</v>
      </c>
      <c r="J12" s="14">
        <f>(70164.38+2098.41)*1.18+85498.84*1.18+3891.04*1.18</f>
        <v>190750.1506</v>
      </c>
      <c r="K12" s="14">
        <f>78082.15*1.18+4121.6*1.18+83511*1.18</f>
        <v>195543.405</v>
      </c>
      <c r="L12" s="14">
        <f>87614.54+33480.21+39153.77+123.18+6026.5+22.16+2674.15*1.18</f>
        <v>169575.857</v>
      </c>
      <c r="M12" s="14">
        <f>92333.04*1.18+62025.4*1.18+3870.74*1.18</f>
        <v>186710.4324</v>
      </c>
      <c r="N12" s="15">
        <f t="shared" si="3"/>
        <v>2118100.83</v>
      </c>
      <c r="O12" s="18"/>
    </row>
    <row r="13">
      <c r="A13" s="21" t="s">
        <v>19</v>
      </c>
      <c r="B13" s="58">
        <f t="shared" ref="B13:M13" si="5">B9+B10-B11-B12</f>
        <v>1146487.45</v>
      </c>
      <c r="C13" s="58">
        <f t="shared" si="5"/>
        <v>1608225.34</v>
      </c>
      <c r="D13" s="22">
        <f t="shared" si="5"/>
        <v>1627185.84</v>
      </c>
      <c r="E13" s="22">
        <f t="shared" si="5"/>
        <v>1669956.21</v>
      </c>
      <c r="F13" s="23">
        <f t="shared" si="5"/>
        <v>1854719.02</v>
      </c>
      <c r="G13" s="23">
        <f t="shared" si="5"/>
        <v>1764590.967</v>
      </c>
      <c r="H13" s="22">
        <f t="shared" si="5"/>
        <v>1801537.157</v>
      </c>
      <c r="I13" s="22">
        <f t="shared" si="5"/>
        <v>1660775.69</v>
      </c>
      <c r="J13" s="22">
        <f t="shared" si="5"/>
        <v>1653599.109</v>
      </c>
      <c r="K13" s="22">
        <f t="shared" si="5"/>
        <v>1826124.955</v>
      </c>
      <c r="L13" s="22">
        <f t="shared" si="5"/>
        <v>1573355.373</v>
      </c>
      <c r="M13" s="22">
        <f t="shared" si="5"/>
        <v>2096614.948</v>
      </c>
      <c r="N13" s="22">
        <f t="shared" ref="N13:N29" si="7">sum(B13:M13)</f>
        <v>20283172.06</v>
      </c>
      <c r="O13" s="24"/>
    </row>
    <row r="14">
      <c r="A14" s="19" t="s">
        <v>20</v>
      </c>
      <c r="B14" s="60">
        <f t="shared" ref="B14:M14" si="6">+B3+B4-B5-B7</f>
        <v>306046.42</v>
      </c>
      <c r="C14" s="60">
        <f t="shared" si="6"/>
        <v>405000</v>
      </c>
      <c r="D14" s="60">
        <f t="shared" si="6"/>
        <v>387684.34</v>
      </c>
      <c r="E14" s="60">
        <f t="shared" si="6"/>
        <v>417361.28</v>
      </c>
      <c r="F14" s="60">
        <f t="shared" si="6"/>
        <v>465773.34</v>
      </c>
      <c r="G14" s="60">
        <f t="shared" si="6"/>
        <v>433684.82</v>
      </c>
      <c r="H14" s="60">
        <f t="shared" si="6"/>
        <v>463198.71</v>
      </c>
      <c r="I14" s="60">
        <f t="shared" si="6"/>
        <v>449510.77</v>
      </c>
      <c r="J14" s="60">
        <f t="shared" si="6"/>
        <v>438144</v>
      </c>
      <c r="K14" s="60">
        <f t="shared" si="6"/>
        <v>486588.23</v>
      </c>
      <c r="L14" s="60">
        <f t="shared" si="6"/>
        <v>430310.56</v>
      </c>
      <c r="M14" s="60">
        <f t="shared" si="6"/>
        <v>556012.71</v>
      </c>
      <c r="N14" s="15">
        <f t="shared" si="7"/>
        <v>5239315.18</v>
      </c>
      <c r="O14" s="27">
        <f t="shared" ref="O14:O27" si="8">N14/$N$13</f>
        <v>0.2583084719</v>
      </c>
    </row>
    <row r="15">
      <c r="A15" s="19" t="s">
        <v>21</v>
      </c>
      <c r="B15" s="60">
        <v>68180.0</v>
      </c>
      <c r="C15" s="60">
        <f>102110</f>
        <v>102110</v>
      </c>
      <c r="D15" s="60">
        <v>94560.0</v>
      </c>
      <c r="E15" s="12">
        <v>89210.0</v>
      </c>
      <c r="F15" s="12">
        <v>91930.0</v>
      </c>
      <c r="G15" s="12">
        <f>95410</f>
        <v>95410</v>
      </c>
      <c r="H15" s="12">
        <v>95440.0</v>
      </c>
      <c r="I15" s="60">
        <f>67140</f>
        <v>67140</v>
      </c>
      <c r="J15" s="12">
        <v>57850.0</v>
      </c>
      <c r="K15" s="12">
        <f>57620</f>
        <v>57620</v>
      </c>
      <c r="L15" s="12">
        <f>57170</f>
        <v>57170</v>
      </c>
      <c r="M15" s="60">
        <f>89050</f>
        <v>89050</v>
      </c>
      <c r="N15" s="15">
        <f t="shared" si="7"/>
        <v>965670</v>
      </c>
      <c r="O15" s="27">
        <f t="shared" si="8"/>
        <v>0.04760941716</v>
      </c>
    </row>
    <row r="16">
      <c r="A16" s="19" t="s">
        <v>22</v>
      </c>
      <c r="B16" s="60">
        <v>0.0</v>
      </c>
      <c r="C16" s="60">
        <v>899.0</v>
      </c>
      <c r="D16" s="60">
        <v>899.0</v>
      </c>
      <c r="E16" s="98">
        <v>899.0</v>
      </c>
      <c r="F16" s="98">
        <v>899.0</v>
      </c>
      <c r="G16" s="98">
        <v>899.0</v>
      </c>
      <c r="H16" s="98">
        <v>899.0</v>
      </c>
      <c r="I16" s="12">
        <v>707.0</v>
      </c>
      <c r="J16" s="12">
        <f>707+1748/12</f>
        <v>852.6666667</v>
      </c>
      <c r="K16" s="60">
        <f t="shared" ref="K16:M16" si="9">1748/12</f>
        <v>145.6666667</v>
      </c>
      <c r="L16" s="60">
        <f t="shared" si="9"/>
        <v>145.6666667</v>
      </c>
      <c r="M16" s="60">
        <f t="shared" si="9"/>
        <v>145.6666667</v>
      </c>
      <c r="N16" s="15">
        <f t="shared" si="7"/>
        <v>7390.666667</v>
      </c>
      <c r="O16" s="27">
        <f t="shared" si="8"/>
        <v>0.0003643743023</v>
      </c>
    </row>
    <row r="17">
      <c r="A17" s="19" t="s">
        <v>23</v>
      </c>
      <c r="B17" s="60">
        <f>30753</f>
        <v>30753</v>
      </c>
      <c r="C17" s="60">
        <v>35522.0</v>
      </c>
      <c r="D17" s="60">
        <v>36652.0</v>
      </c>
      <c r="E17" s="12">
        <v>35398.0</v>
      </c>
      <c r="F17" s="12">
        <v>34639.0</v>
      </c>
      <c r="G17" s="12">
        <v>39624.0</v>
      </c>
      <c r="H17" s="60">
        <f>36972</f>
        <v>36972</v>
      </c>
      <c r="I17" s="12">
        <v>36816.0</v>
      </c>
      <c r="J17" s="12">
        <v>38100.0</v>
      </c>
      <c r="K17" s="12">
        <v>42510.0</v>
      </c>
      <c r="L17" s="60">
        <f>38744</f>
        <v>38744</v>
      </c>
      <c r="M17" s="60">
        <f>13358+11*3556</f>
        <v>52474</v>
      </c>
      <c r="N17" s="15">
        <f t="shared" si="7"/>
        <v>458204</v>
      </c>
      <c r="O17" s="27">
        <f t="shared" si="8"/>
        <v>0.02259035217</v>
      </c>
    </row>
    <row r="18">
      <c r="A18" s="19" t="s">
        <v>24</v>
      </c>
      <c r="B18" s="12">
        <v>0.0</v>
      </c>
      <c r="C18" s="12">
        <v>0.0</v>
      </c>
      <c r="D18" s="12">
        <v>0.0</v>
      </c>
      <c r="E18" s="12">
        <v>180000.0</v>
      </c>
      <c r="F18" s="12">
        <v>180000.0</v>
      </c>
      <c r="G18" s="12">
        <v>180000.0</v>
      </c>
      <c r="H18" s="12">
        <v>180000.0</v>
      </c>
      <c r="I18" s="12">
        <v>180000.0</v>
      </c>
      <c r="J18" s="12">
        <v>180000.0</v>
      </c>
      <c r="K18" s="12">
        <v>180000.0</v>
      </c>
      <c r="L18" s="12">
        <v>180000.0</v>
      </c>
      <c r="M18" s="12">
        <v>180000.0</v>
      </c>
      <c r="N18" s="15">
        <f t="shared" si="7"/>
        <v>1620000</v>
      </c>
      <c r="O18" s="27">
        <f t="shared" si="8"/>
        <v>0.07986916421</v>
      </c>
    </row>
    <row r="19">
      <c r="A19" s="19" t="s">
        <v>25</v>
      </c>
      <c r="B19" s="60">
        <v>5725.0</v>
      </c>
      <c r="C19" s="60">
        <v>5725.0</v>
      </c>
      <c r="D19" s="60">
        <v>5725.0</v>
      </c>
      <c r="E19" s="60">
        <v>5725.0</v>
      </c>
      <c r="F19" s="60">
        <v>5725.0</v>
      </c>
      <c r="G19" s="60">
        <f t="shared" ref="G19:M19" si="10">69207/12</f>
        <v>5767.25</v>
      </c>
      <c r="H19" s="60">
        <f t="shared" si="10"/>
        <v>5767.25</v>
      </c>
      <c r="I19" s="60">
        <f t="shared" si="10"/>
        <v>5767.25</v>
      </c>
      <c r="J19" s="60">
        <f t="shared" si="10"/>
        <v>5767.25</v>
      </c>
      <c r="K19" s="60">
        <f t="shared" si="10"/>
        <v>5767.25</v>
      </c>
      <c r="L19" s="60">
        <f t="shared" si="10"/>
        <v>5767.25</v>
      </c>
      <c r="M19" s="60">
        <f t="shared" si="10"/>
        <v>5767.25</v>
      </c>
      <c r="N19" s="15">
        <f t="shared" si="7"/>
        <v>68995.75</v>
      </c>
      <c r="O19" s="27">
        <f t="shared" si="8"/>
        <v>0.003401625239</v>
      </c>
    </row>
    <row r="20">
      <c r="A20" s="20" t="s">
        <v>42</v>
      </c>
      <c r="B20" s="60">
        <f>252786+115123/12</f>
        <v>262379.5833</v>
      </c>
      <c r="C20" s="60">
        <f>267202+10000+344+115123/12</f>
        <v>287139.5833</v>
      </c>
      <c r="D20" s="60">
        <f>171952.28+70105+4133+10000+115123/12</f>
        <v>265783.8633</v>
      </c>
      <c r="E20" s="60">
        <f>265624+10000+115123/12</f>
        <v>285217.5833</v>
      </c>
      <c r="F20" s="60">
        <f>10000+275685+115123/12</f>
        <v>295278.5833</v>
      </c>
      <c r="G20" s="12">
        <f>275685+115123/12+10000</f>
        <v>295278.5833</v>
      </c>
      <c r="H20" s="60">
        <f>115123/12+266485+10000</f>
        <v>286078.5833</v>
      </c>
      <c r="I20" s="60">
        <f>115123/12+265485+1500+10000</f>
        <v>286578.5833</v>
      </c>
      <c r="J20" s="60">
        <f>115123/12+273745+10000+1500</f>
        <v>294838.5833</v>
      </c>
      <c r="K20" s="60">
        <f>115123/12+10000+254118</f>
        <v>273711.5833</v>
      </c>
      <c r="L20" s="60">
        <f>115123/12+10000+269136+9271</f>
        <v>298000.5833</v>
      </c>
      <c r="M20" s="60">
        <f>115123/12+11520+10500+271932</f>
        <v>303545.5833</v>
      </c>
      <c r="N20" s="15">
        <f t="shared" si="7"/>
        <v>3433831.28</v>
      </c>
      <c r="O20" s="27">
        <f t="shared" si="8"/>
        <v>0.1692945891</v>
      </c>
    </row>
    <row r="21">
      <c r="A21" s="11" t="s">
        <v>27</v>
      </c>
      <c r="B21" s="60">
        <f t="shared" ref="B21:D21" si="11">2400+2360+2950</f>
        <v>7710</v>
      </c>
      <c r="C21" s="60">
        <f t="shared" si="11"/>
        <v>7710</v>
      </c>
      <c r="D21" s="60">
        <f t="shared" si="11"/>
        <v>7710</v>
      </c>
      <c r="E21" s="60">
        <f t="shared" ref="E21:F21" si="12">2750+2360+2950</f>
        <v>8060</v>
      </c>
      <c r="F21" s="60">
        <f t="shared" si="12"/>
        <v>8060</v>
      </c>
      <c r="G21" s="12">
        <f>2950+2360+2400</f>
        <v>7710</v>
      </c>
      <c r="H21" s="60">
        <f t="shared" ref="H21:I21" si="13">2950+2400+2360</f>
        <v>7710</v>
      </c>
      <c r="I21" s="60">
        <f t="shared" si="13"/>
        <v>7710</v>
      </c>
      <c r="J21" s="60">
        <f>2400+2360+2950</f>
        <v>7710</v>
      </c>
      <c r="K21" s="60">
        <f>2500+2400+2360</f>
        <v>7260</v>
      </c>
      <c r="L21" s="60">
        <f>2500+2596+2950</f>
        <v>8046</v>
      </c>
      <c r="M21" s="60">
        <f>2950+2850+2596+450</f>
        <v>8846</v>
      </c>
      <c r="N21" s="15">
        <f t="shared" si="7"/>
        <v>94242</v>
      </c>
      <c r="O21" s="27">
        <f t="shared" si="8"/>
        <v>0.004646314675</v>
      </c>
    </row>
    <row r="22">
      <c r="A22" s="32" t="s">
        <v>28</v>
      </c>
      <c r="B22" s="60">
        <f t="shared" ref="B22:E22" si="14">16500/3+2124/3+12272/12+16893/12</f>
        <v>8638.416667</v>
      </c>
      <c r="C22" s="60">
        <f t="shared" si="14"/>
        <v>8638.416667</v>
      </c>
      <c r="D22" s="60">
        <f t="shared" si="14"/>
        <v>8638.416667</v>
      </c>
      <c r="E22" s="60">
        <f t="shared" si="14"/>
        <v>8638.416667</v>
      </c>
      <c r="F22" s="60">
        <f t="shared" ref="F22:G22" si="15">2124/3+12272/12+16893/12</f>
        <v>3138.416667</v>
      </c>
      <c r="G22" s="60">
        <f t="shared" si="15"/>
        <v>3138.416667</v>
      </c>
      <c r="H22" s="60">
        <f t="shared" ref="H22:J22" si="16">16500/3+2124/3+12272/12+16893/12</f>
        <v>8638.416667</v>
      </c>
      <c r="I22" s="60">
        <f t="shared" si="16"/>
        <v>8638.416667</v>
      </c>
      <c r="J22" s="60">
        <f t="shared" si="16"/>
        <v>8638.416667</v>
      </c>
      <c r="K22" s="60">
        <f t="shared" ref="K22:M22" si="17">16500/3+12272/12+16893/12+3271.32/3</f>
        <v>9020.856667</v>
      </c>
      <c r="L22" s="60">
        <f t="shared" si="17"/>
        <v>9020.856667</v>
      </c>
      <c r="M22" s="60">
        <f t="shared" si="17"/>
        <v>9020.856667</v>
      </c>
      <c r="N22" s="15">
        <f t="shared" si="7"/>
        <v>93808.32</v>
      </c>
      <c r="O22" s="27">
        <f t="shared" si="8"/>
        <v>0.004624933404</v>
      </c>
    </row>
    <row r="23">
      <c r="A23" s="20" t="s">
        <v>29</v>
      </c>
      <c r="B23" s="60">
        <v>0.0</v>
      </c>
      <c r="C23" s="60">
        <v>1126.85</v>
      </c>
      <c r="D23" s="60">
        <v>1126.85</v>
      </c>
      <c r="E23" s="60">
        <v>1126.85</v>
      </c>
      <c r="F23" s="60">
        <v>1126.85</v>
      </c>
      <c r="G23" s="60">
        <v>1126.85</v>
      </c>
      <c r="H23" s="60">
        <v>1126.85</v>
      </c>
      <c r="I23" s="60">
        <v>1126.85</v>
      </c>
      <c r="J23" s="60">
        <v>1126.85</v>
      </c>
      <c r="K23" s="60">
        <v>1126.85</v>
      </c>
      <c r="L23" s="60">
        <v>1126.85</v>
      </c>
      <c r="M23" s="60">
        <v>1126.85</v>
      </c>
      <c r="N23" s="15">
        <f t="shared" si="7"/>
        <v>12395.35</v>
      </c>
      <c r="O23" s="27">
        <f t="shared" si="8"/>
        <v>0.0006111149658</v>
      </c>
    </row>
    <row r="24">
      <c r="A24" s="19" t="s">
        <v>30</v>
      </c>
      <c r="B24" s="60">
        <v>0.0</v>
      </c>
      <c r="C24" s="60">
        <v>1500.0</v>
      </c>
      <c r="D24" s="12">
        <v>2958.0</v>
      </c>
      <c r="E24" s="12">
        <v>1500.0</v>
      </c>
      <c r="F24" s="12">
        <v>130.0</v>
      </c>
      <c r="G24" s="12">
        <v>10150.0</v>
      </c>
      <c r="H24" s="60">
        <f>2000</f>
        <v>2000</v>
      </c>
      <c r="I24" s="12">
        <v>0.0</v>
      </c>
      <c r="J24" s="12">
        <v>4720.0</v>
      </c>
      <c r="K24" s="12">
        <v>1656.0</v>
      </c>
      <c r="L24" s="12">
        <v>13167.0</v>
      </c>
      <c r="M24" s="60">
        <f>15586</f>
        <v>15586</v>
      </c>
      <c r="N24" s="15">
        <f t="shared" si="7"/>
        <v>53367</v>
      </c>
      <c r="O24" s="27">
        <f t="shared" si="8"/>
        <v>0.002631097337</v>
      </c>
    </row>
    <row r="25">
      <c r="A25" s="19" t="s">
        <v>31</v>
      </c>
      <c r="B25" s="60">
        <v>17420.0</v>
      </c>
      <c r="C25" s="60">
        <v>8875.63</v>
      </c>
      <c r="D25" s="60">
        <f>7039</f>
        <v>7039</v>
      </c>
      <c r="E25" s="60">
        <f>11191.4</f>
        <v>11191.4</v>
      </c>
      <c r="F25" s="12">
        <v>9295.55</v>
      </c>
      <c r="G25" s="12">
        <v>15724.98</v>
      </c>
      <c r="H25" s="12">
        <v>20976.82</v>
      </c>
      <c r="I25" s="12">
        <v>14978.64</v>
      </c>
      <c r="J25" s="12">
        <v>20810.0</v>
      </c>
      <c r="K25" s="12">
        <v>19228.64</v>
      </c>
      <c r="L25" s="12">
        <v>24147.0</v>
      </c>
      <c r="M25" s="60">
        <f>27666.06</f>
        <v>27666.06</v>
      </c>
      <c r="N25" s="15">
        <f t="shared" si="7"/>
        <v>197353.72</v>
      </c>
      <c r="O25" s="27">
        <f t="shared" si="8"/>
        <v>0.009729923871</v>
      </c>
    </row>
    <row r="26">
      <c r="A26" s="19" t="s">
        <v>32</v>
      </c>
      <c r="B26" s="12">
        <v>0.0</v>
      </c>
      <c r="C26" s="12">
        <v>0.0</v>
      </c>
      <c r="D26" s="12">
        <v>0.0</v>
      </c>
      <c r="E26" s="12">
        <v>5000.0</v>
      </c>
      <c r="F26" s="12">
        <v>5000.0</v>
      </c>
      <c r="G26" s="12">
        <v>5000.0</v>
      </c>
      <c r="H26" s="12">
        <v>5000.0</v>
      </c>
      <c r="I26" s="12">
        <v>5000.0</v>
      </c>
      <c r="J26" s="12">
        <v>5000.0</v>
      </c>
      <c r="K26" s="12">
        <v>5000.0</v>
      </c>
      <c r="L26" s="12">
        <v>5000.0</v>
      </c>
      <c r="M26" s="12">
        <v>5000.0</v>
      </c>
      <c r="N26" s="15">
        <f t="shared" si="7"/>
        <v>45000</v>
      </c>
      <c r="O26" s="27">
        <f t="shared" si="8"/>
        <v>0.002218587895</v>
      </c>
    </row>
    <row r="27">
      <c r="A27" s="19" t="s">
        <v>33</v>
      </c>
      <c r="B27" s="60">
        <f>HO!D39</f>
        <v>232539.6984</v>
      </c>
      <c r="C27" s="60">
        <f>HO!H39</f>
        <v>323171.6686</v>
      </c>
      <c r="D27" s="60">
        <f>HO!L39</f>
        <v>323641.9257</v>
      </c>
      <c r="E27" s="60">
        <f>HO!P39</f>
        <v>357195.3696</v>
      </c>
      <c r="F27" s="60">
        <f>HO!D58</f>
        <v>363831.6256</v>
      </c>
      <c r="G27" s="60">
        <f>HO!H58</f>
        <v>379521.369</v>
      </c>
      <c r="H27" s="60">
        <f>HO!L58</f>
        <v>347174.5269</v>
      </c>
      <c r="I27" s="60">
        <f>HO!P58</f>
        <v>358306.5172</v>
      </c>
      <c r="J27" s="60">
        <f>HO!D77</f>
        <v>311376.5412</v>
      </c>
      <c r="K27" s="60">
        <f>HO!H77</f>
        <v>355915.173</v>
      </c>
      <c r="L27" s="60">
        <f>HO!L77</f>
        <v>329173.9874</v>
      </c>
      <c r="M27" s="60">
        <f>HO!P77</f>
        <v>386133.0535</v>
      </c>
      <c r="N27" s="15">
        <f t="shared" si="7"/>
        <v>4067981.456</v>
      </c>
      <c r="O27" s="27">
        <f t="shared" si="8"/>
        <v>0.2005594314</v>
      </c>
    </row>
    <row r="28">
      <c r="A28" s="35" t="s">
        <v>34</v>
      </c>
      <c r="B28" s="36">
        <f t="shared" ref="B28:M28" si="18">+SUM(B14:B27)</f>
        <v>939392.1184</v>
      </c>
      <c r="C28" s="36">
        <f t="shared" si="18"/>
        <v>1187418.149</v>
      </c>
      <c r="D28" s="36">
        <f t="shared" si="18"/>
        <v>1142418.396</v>
      </c>
      <c r="E28" s="36">
        <f t="shared" si="18"/>
        <v>1406522.9</v>
      </c>
      <c r="F28" s="37">
        <f t="shared" si="18"/>
        <v>1464827.366</v>
      </c>
      <c r="G28" s="36">
        <f t="shared" si="18"/>
        <v>1473035.269</v>
      </c>
      <c r="H28" s="36">
        <f t="shared" si="18"/>
        <v>1460982.157</v>
      </c>
      <c r="I28" s="36">
        <f t="shared" si="18"/>
        <v>1422280.027</v>
      </c>
      <c r="J28" s="36">
        <f t="shared" si="18"/>
        <v>1374934.308</v>
      </c>
      <c r="K28" s="36">
        <f t="shared" si="18"/>
        <v>1445550.25</v>
      </c>
      <c r="L28" s="36">
        <f t="shared" si="18"/>
        <v>1399819.754</v>
      </c>
      <c r="M28" s="36">
        <f t="shared" si="18"/>
        <v>1640374.03</v>
      </c>
      <c r="N28" s="36">
        <f t="shared" si="7"/>
        <v>16357554.72</v>
      </c>
      <c r="O28" s="38">
        <f>N28/N13</f>
        <v>0.8064593977</v>
      </c>
    </row>
    <row r="29">
      <c r="A29" s="39" t="s">
        <v>35</v>
      </c>
      <c r="B29" s="40">
        <f t="shared" ref="B29:M29" si="19">B13-B28</f>
        <v>207095.3316</v>
      </c>
      <c r="C29" s="40">
        <f t="shared" si="19"/>
        <v>420807.1914</v>
      </c>
      <c r="D29" s="40">
        <f t="shared" si="19"/>
        <v>484767.4443</v>
      </c>
      <c r="E29" s="40">
        <f t="shared" si="19"/>
        <v>263433.3104</v>
      </c>
      <c r="F29" s="40">
        <f t="shared" si="19"/>
        <v>389891.6544</v>
      </c>
      <c r="G29" s="40">
        <f t="shared" si="19"/>
        <v>291555.6982</v>
      </c>
      <c r="H29" s="40">
        <f t="shared" si="19"/>
        <v>340555.0005</v>
      </c>
      <c r="I29" s="40">
        <f t="shared" si="19"/>
        <v>238495.6628</v>
      </c>
      <c r="J29" s="40">
        <f t="shared" si="19"/>
        <v>278664.8015</v>
      </c>
      <c r="K29" s="40">
        <f t="shared" si="19"/>
        <v>380574.7054</v>
      </c>
      <c r="L29" s="40">
        <f t="shared" si="19"/>
        <v>173535.619</v>
      </c>
      <c r="M29" s="40">
        <f t="shared" si="19"/>
        <v>456240.9175</v>
      </c>
      <c r="N29" s="40">
        <f t="shared" si="7"/>
        <v>3925617.337</v>
      </c>
      <c r="O29" s="41">
        <f>N29/N13</f>
        <v>0.1935406023</v>
      </c>
    </row>
    <row r="30">
      <c r="A30" s="42" t="s">
        <v>36</v>
      </c>
      <c r="B30" s="43">
        <f t="shared" ref="B30:M30" si="20">(B14/B13)</f>
        <v>0.2669426691</v>
      </c>
      <c r="C30" s="43">
        <f t="shared" si="20"/>
        <v>0.2518303809</v>
      </c>
      <c r="D30" s="43">
        <f t="shared" si="20"/>
        <v>0.2382544946</v>
      </c>
      <c r="E30" s="43">
        <f t="shared" si="20"/>
        <v>0.2499234875</v>
      </c>
      <c r="F30" s="44">
        <f t="shared" si="20"/>
        <v>0.2511287882</v>
      </c>
      <c r="G30" s="43">
        <f t="shared" si="20"/>
        <v>0.2457707356</v>
      </c>
      <c r="H30" s="43">
        <f t="shared" si="20"/>
        <v>0.2571130482</v>
      </c>
      <c r="I30" s="43">
        <f t="shared" si="20"/>
        <v>0.2706631442</v>
      </c>
      <c r="J30" s="43">
        <f t="shared" si="20"/>
        <v>0.2649638582</v>
      </c>
      <c r="K30" s="43">
        <f t="shared" si="20"/>
        <v>0.2664594384</v>
      </c>
      <c r="L30" s="43">
        <f t="shared" si="20"/>
        <v>0.2734986433</v>
      </c>
      <c r="M30" s="43">
        <f t="shared" si="20"/>
        <v>0.2651954335</v>
      </c>
      <c r="N30" s="45"/>
      <c r="O30" s="45"/>
    </row>
    <row r="32">
      <c r="B32" s="46">
        <f t="shared" ref="B32:M32" si="21">B29+B27</f>
        <v>439635.03</v>
      </c>
      <c r="C32" s="46">
        <f t="shared" si="21"/>
        <v>743978.86</v>
      </c>
      <c r="D32" s="46">
        <f t="shared" si="21"/>
        <v>808409.37</v>
      </c>
      <c r="E32" s="46">
        <f t="shared" si="21"/>
        <v>620628.68</v>
      </c>
      <c r="F32" s="46">
        <f t="shared" si="21"/>
        <v>753723.28</v>
      </c>
      <c r="G32" s="46">
        <f t="shared" si="21"/>
        <v>671077.0672</v>
      </c>
      <c r="H32" s="46">
        <f t="shared" si="21"/>
        <v>687729.5274</v>
      </c>
      <c r="I32" s="46">
        <f t="shared" si="21"/>
        <v>596802.18</v>
      </c>
      <c r="J32" s="46">
        <f t="shared" si="21"/>
        <v>590041.3427</v>
      </c>
      <c r="K32" s="46">
        <f t="shared" si="21"/>
        <v>736489.8783</v>
      </c>
      <c r="L32" s="46">
        <f t="shared" si="21"/>
        <v>502709.6063</v>
      </c>
      <c r="M32" s="46">
        <f t="shared" si="21"/>
        <v>842373.9709</v>
      </c>
    </row>
    <row r="33">
      <c r="A33" s="47"/>
      <c r="B33" s="48">
        <f t="shared" ref="B33:M33" si="22">B32/B13</f>
        <v>0.3834625752</v>
      </c>
      <c r="C33" s="48">
        <f t="shared" si="22"/>
        <v>0.4626085919</v>
      </c>
      <c r="D33" s="48">
        <f t="shared" si="22"/>
        <v>0.4968144081</v>
      </c>
      <c r="E33" s="48">
        <f t="shared" si="22"/>
        <v>0.3716436852</v>
      </c>
      <c r="F33" s="48">
        <f t="shared" si="22"/>
        <v>0.4063813828</v>
      </c>
      <c r="G33" s="48">
        <f t="shared" si="22"/>
        <v>0.3803017695</v>
      </c>
      <c r="H33" s="48">
        <f t="shared" si="22"/>
        <v>0.3817459577</v>
      </c>
      <c r="I33" s="48">
        <f t="shared" si="22"/>
        <v>0.3593514667</v>
      </c>
      <c r="J33" s="48">
        <f t="shared" si="22"/>
        <v>0.3568224846</v>
      </c>
      <c r="K33" s="48">
        <f t="shared" si="22"/>
        <v>0.4033074935</v>
      </c>
      <c r="L33" s="48">
        <f t="shared" si="22"/>
        <v>0.3195143417</v>
      </c>
      <c r="M33" s="48">
        <f t="shared" si="22"/>
        <v>0.4017781004</v>
      </c>
    </row>
    <row r="34">
      <c r="A34" s="47"/>
      <c r="B34" s="48"/>
      <c r="C34" s="48"/>
      <c r="D34" s="48"/>
      <c r="E34" s="48"/>
    </row>
    <row r="35">
      <c r="A35" s="9"/>
      <c r="B35" s="61"/>
      <c r="C35" s="61"/>
      <c r="D35" s="61"/>
      <c r="E35" s="61"/>
    </row>
    <row r="36">
      <c r="A36" s="47"/>
      <c r="B36" s="48"/>
      <c r="C36" s="48"/>
      <c r="D36" s="48"/>
      <c r="E36" s="48"/>
    </row>
  </sheetData>
  <mergeCells count="1">
    <mergeCell ref="N1:O1"/>
  </mergeCells>
  <drawing r:id="rId4"/>
  <legacyDrawing r:id="rId5"/>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38"/>
  </cols>
  <sheetData>
    <row r="1">
      <c r="A1" s="1" t="s">
        <v>60</v>
      </c>
      <c r="B1" s="2">
        <v>45748.0</v>
      </c>
      <c r="C1" s="2">
        <v>45778.0</v>
      </c>
      <c r="D1" s="2">
        <v>45809.0</v>
      </c>
      <c r="E1" s="2">
        <v>45839.0</v>
      </c>
      <c r="F1" s="4">
        <v>45870.0</v>
      </c>
      <c r="G1" s="2">
        <v>45901.0</v>
      </c>
      <c r="H1" s="2">
        <v>45931.0</v>
      </c>
      <c r="I1" s="2">
        <v>45962.0</v>
      </c>
      <c r="J1" s="2">
        <v>45992.0</v>
      </c>
      <c r="K1" s="2">
        <v>46023.0</v>
      </c>
      <c r="L1" s="2">
        <v>46054.0</v>
      </c>
      <c r="M1" s="2">
        <v>46082.0</v>
      </c>
      <c r="N1" s="5" t="s">
        <v>5</v>
      </c>
      <c r="O1" s="6"/>
    </row>
    <row r="2">
      <c r="A2" s="7" t="s">
        <v>6</v>
      </c>
      <c r="B2" s="8"/>
      <c r="C2" s="8"/>
      <c r="D2" s="8"/>
      <c r="E2" s="8"/>
      <c r="F2" s="10"/>
      <c r="G2" s="8"/>
      <c r="H2" s="8"/>
      <c r="I2" s="8"/>
      <c r="J2" s="8"/>
      <c r="K2" s="8"/>
      <c r="L2" s="8"/>
      <c r="M2" s="8"/>
      <c r="N2" s="8"/>
      <c r="O2" s="8"/>
    </row>
    <row r="3">
      <c r="A3" s="11" t="s">
        <v>7</v>
      </c>
      <c r="B3" s="28">
        <v>39575.18</v>
      </c>
      <c r="C3" s="14">
        <f t="shared" ref="C3:M3" si="1">B7</f>
        <v>35490.21</v>
      </c>
      <c r="D3" s="14">
        <f t="shared" si="1"/>
        <v>31320.98</v>
      </c>
      <c r="E3" s="14">
        <f t="shared" si="1"/>
        <v>30805.94</v>
      </c>
      <c r="F3" s="14">
        <f t="shared" si="1"/>
        <v>35622</v>
      </c>
      <c r="G3" s="14">
        <f t="shared" si="1"/>
        <v>39139.96</v>
      </c>
      <c r="H3" s="14">
        <f t="shared" si="1"/>
        <v>34307.9</v>
      </c>
      <c r="I3" s="14">
        <f t="shared" si="1"/>
        <v>37225.68</v>
      </c>
      <c r="J3" s="14">
        <f t="shared" si="1"/>
        <v>28796.81</v>
      </c>
      <c r="K3" s="14">
        <f t="shared" si="1"/>
        <v>44272</v>
      </c>
      <c r="L3" s="14">
        <f t="shared" si="1"/>
        <v>44033.74</v>
      </c>
      <c r="M3" s="14">
        <f t="shared" si="1"/>
        <v>30195.61</v>
      </c>
      <c r="N3" s="15">
        <f>+SUM(J3:L3)</f>
        <v>117102.55</v>
      </c>
      <c r="O3" s="18"/>
    </row>
    <row r="4">
      <c r="A4" s="11" t="s">
        <v>9</v>
      </c>
      <c r="B4" s="17">
        <v>253612.76</v>
      </c>
      <c r="C4" s="17">
        <v>239702.64</v>
      </c>
      <c r="D4" s="17">
        <v>264715.23</v>
      </c>
      <c r="E4" s="17">
        <v>271232.22</v>
      </c>
      <c r="F4" s="17">
        <v>268357.37</v>
      </c>
      <c r="G4" s="14">
        <f>228819.71</f>
        <v>228819.71</v>
      </c>
      <c r="H4" s="17">
        <v>226071.39</v>
      </c>
      <c r="I4" s="17">
        <v>221862.8</v>
      </c>
      <c r="J4" s="17">
        <v>294381.0</v>
      </c>
      <c r="K4" s="17">
        <f>260392-605</f>
        <v>259787</v>
      </c>
      <c r="L4" s="14">
        <f>174774.79</f>
        <v>174774.79</v>
      </c>
      <c r="M4" s="17">
        <v>201930.12</v>
      </c>
      <c r="N4" s="15">
        <f>sum(B4:M4)</f>
        <v>2905247.03</v>
      </c>
      <c r="O4" s="18"/>
    </row>
    <row r="5">
      <c r="A5" s="11" t="s">
        <v>10</v>
      </c>
      <c r="B5" s="17">
        <v>229.43</v>
      </c>
      <c r="C5" s="17">
        <v>226.18</v>
      </c>
      <c r="D5" s="17">
        <v>0.0</v>
      </c>
      <c r="E5" s="17">
        <v>0.0</v>
      </c>
      <c r="F5" s="17">
        <v>0.0</v>
      </c>
      <c r="G5" s="17">
        <v>0.0</v>
      </c>
      <c r="H5" s="17">
        <v>0.0</v>
      </c>
      <c r="I5" s="17">
        <v>229.86</v>
      </c>
      <c r="J5" s="17">
        <v>65.0</v>
      </c>
      <c r="K5" s="17">
        <v>229.29</v>
      </c>
      <c r="L5" s="17">
        <v>108.0</v>
      </c>
      <c r="M5" s="17">
        <v>76.17</v>
      </c>
      <c r="N5" s="15">
        <f t="shared" ref="N5:N6" si="2">+SUM(J5:L5)</f>
        <v>402.29</v>
      </c>
      <c r="O5" s="18"/>
    </row>
    <row r="6">
      <c r="A6" s="11" t="s">
        <v>11</v>
      </c>
      <c r="B6" s="17">
        <v>9979.24</v>
      </c>
      <c r="C6" s="17">
        <v>7910.61</v>
      </c>
      <c r="D6" s="17">
        <v>8374.0</v>
      </c>
      <c r="E6" s="17">
        <v>10938.5</v>
      </c>
      <c r="F6" s="17">
        <v>325.0</v>
      </c>
      <c r="G6" s="17">
        <v>10199.59</v>
      </c>
      <c r="H6" s="17">
        <v>8697.0</v>
      </c>
      <c r="I6" s="17">
        <v>16830.0</v>
      </c>
      <c r="J6" s="17">
        <v>11709.0</v>
      </c>
      <c r="K6" s="17">
        <v>11364.0</v>
      </c>
      <c r="L6" s="17">
        <v>12035.0</v>
      </c>
      <c r="M6" s="17">
        <v>10209.0</v>
      </c>
      <c r="N6" s="15">
        <f t="shared" si="2"/>
        <v>35108</v>
      </c>
      <c r="O6" s="18"/>
    </row>
    <row r="7">
      <c r="A7" s="11" t="s">
        <v>12</v>
      </c>
      <c r="B7" s="17">
        <v>35490.21</v>
      </c>
      <c r="C7" s="17">
        <v>31320.98</v>
      </c>
      <c r="D7" s="17">
        <v>30805.94</v>
      </c>
      <c r="E7" s="17">
        <v>35622.0</v>
      </c>
      <c r="F7" s="17">
        <v>39139.96</v>
      </c>
      <c r="G7" s="17">
        <v>34307.9</v>
      </c>
      <c r="H7" s="17">
        <v>37225.68</v>
      </c>
      <c r="I7" s="17">
        <v>28796.81</v>
      </c>
      <c r="J7" s="17">
        <v>44272.0</v>
      </c>
      <c r="K7" s="17">
        <v>44033.74</v>
      </c>
      <c r="L7" s="17">
        <v>30195.61</v>
      </c>
      <c r="M7" s="17">
        <v>26430.55</v>
      </c>
      <c r="N7" s="15">
        <f>sum(B7:M7)</f>
        <v>417641.38</v>
      </c>
      <c r="O7" s="18"/>
    </row>
    <row r="8">
      <c r="A8" s="8"/>
      <c r="B8" s="8"/>
      <c r="C8" s="8"/>
      <c r="D8" s="8"/>
      <c r="E8" s="8"/>
      <c r="F8" s="10"/>
      <c r="G8" s="8"/>
      <c r="H8" s="8"/>
      <c r="I8" s="8"/>
      <c r="J8" s="8"/>
      <c r="K8" s="8"/>
      <c r="L8" s="8"/>
      <c r="M8" s="8"/>
      <c r="N8" s="8"/>
      <c r="O8" s="8"/>
    </row>
    <row r="9">
      <c r="A9" s="19" t="s">
        <v>13</v>
      </c>
      <c r="B9" s="14">
        <f>963538*1.05</f>
        <v>1011714.9</v>
      </c>
      <c r="C9" s="14">
        <f>1046319.48*1.05</f>
        <v>1098635.454</v>
      </c>
      <c r="D9" s="14">
        <f>1137089.35*1.05</f>
        <v>1193943.818</v>
      </c>
      <c r="E9" s="14">
        <f>1178159.24*1.05</f>
        <v>1237067.202</v>
      </c>
      <c r="F9" s="14">
        <f>1109680.39*1.05</f>
        <v>1165164.41</v>
      </c>
      <c r="G9" s="14">
        <f>1020130.29*1.05</f>
        <v>1071136.805</v>
      </c>
      <c r="H9" s="14">
        <f>950686.66*1.05</f>
        <v>998220.993</v>
      </c>
      <c r="I9" s="14">
        <f>885338.23*1.05</f>
        <v>929605.1415</v>
      </c>
      <c r="J9" s="14">
        <f>1161210.64*1.05</f>
        <v>1219271.172</v>
      </c>
      <c r="K9" s="14">
        <f>1063114.39*1.05</f>
        <v>1116270.11</v>
      </c>
      <c r="L9" s="14">
        <f>691442.73*1.05</f>
        <v>726014.8665</v>
      </c>
      <c r="M9" s="14">
        <f>839021.69*1.05</f>
        <v>880972.7745</v>
      </c>
      <c r="N9" s="15">
        <f t="shared" ref="N9:N12" si="3">+SUM(B9:M9)</f>
        <v>12648017.64</v>
      </c>
      <c r="O9" s="18"/>
    </row>
    <row r="10">
      <c r="A10" s="19" t="s">
        <v>14</v>
      </c>
      <c r="B10" s="17">
        <v>0.0</v>
      </c>
      <c r="C10" s="17">
        <v>0.0</v>
      </c>
      <c r="D10" s="17">
        <v>0.0</v>
      </c>
      <c r="E10" s="17">
        <v>0.0</v>
      </c>
      <c r="F10" s="17">
        <v>0.0</v>
      </c>
      <c r="G10" s="17">
        <v>0.0</v>
      </c>
      <c r="H10" s="14"/>
      <c r="I10" s="14"/>
      <c r="J10" s="14"/>
      <c r="K10" s="14"/>
      <c r="L10" s="14"/>
      <c r="M10" s="14"/>
      <c r="N10" s="15">
        <f t="shared" si="3"/>
        <v>0</v>
      </c>
      <c r="O10" s="18"/>
    </row>
    <row r="11">
      <c r="A11" s="19" t="s">
        <v>15</v>
      </c>
      <c r="B11" s="14">
        <f t="shared" ref="B11:M11" si="4">(B9+B10)/1.05*0.05</f>
        <v>48176.9</v>
      </c>
      <c r="C11" s="14">
        <f t="shared" si="4"/>
        <v>52315.974</v>
      </c>
      <c r="D11" s="14">
        <f t="shared" si="4"/>
        <v>56854.4675</v>
      </c>
      <c r="E11" s="14">
        <f t="shared" si="4"/>
        <v>58907.962</v>
      </c>
      <c r="F11" s="14">
        <f t="shared" si="4"/>
        <v>55484.0195</v>
      </c>
      <c r="G11" s="14">
        <f t="shared" si="4"/>
        <v>51006.5145</v>
      </c>
      <c r="H11" s="14">
        <f t="shared" si="4"/>
        <v>47534.333</v>
      </c>
      <c r="I11" s="14">
        <f t="shared" si="4"/>
        <v>44266.9115</v>
      </c>
      <c r="J11" s="14">
        <f t="shared" si="4"/>
        <v>58060.532</v>
      </c>
      <c r="K11" s="14">
        <f t="shared" si="4"/>
        <v>53155.7195</v>
      </c>
      <c r="L11" s="14">
        <f t="shared" si="4"/>
        <v>34572.1365</v>
      </c>
      <c r="M11" s="14">
        <f t="shared" si="4"/>
        <v>41951.0845</v>
      </c>
      <c r="N11" s="15">
        <f t="shared" si="3"/>
        <v>602286.5545</v>
      </c>
      <c r="O11" s="18"/>
    </row>
    <row r="12">
      <c r="A12" s="19" t="s">
        <v>17</v>
      </c>
      <c r="B12" s="17">
        <v>0.0</v>
      </c>
      <c r="C12" s="17">
        <v>0.0</v>
      </c>
      <c r="D12" s="17">
        <v>0.0</v>
      </c>
      <c r="E12" s="17">
        <v>0.0</v>
      </c>
      <c r="F12" s="17">
        <v>0.0</v>
      </c>
      <c r="G12" s="17">
        <v>0.0</v>
      </c>
      <c r="H12" s="17">
        <v>0.0</v>
      </c>
      <c r="I12" s="17">
        <v>0.0</v>
      </c>
      <c r="J12" s="17">
        <v>0.0</v>
      </c>
      <c r="K12" s="17">
        <v>0.0</v>
      </c>
      <c r="L12" s="17">
        <v>0.0</v>
      </c>
      <c r="M12" s="17">
        <v>0.0</v>
      </c>
      <c r="N12" s="15">
        <f t="shared" si="3"/>
        <v>0</v>
      </c>
      <c r="O12" s="18"/>
    </row>
    <row r="13">
      <c r="A13" s="21" t="s">
        <v>19</v>
      </c>
      <c r="B13" s="22">
        <f t="shared" ref="B13:M13" si="5">B9+B10-B11-B12</f>
        <v>963538</v>
      </c>
      <c r="C13" s="22">
        <f t="shared" si="5"/>
        <v>1046319.48</v>
      </c>
      <c r="D13" s="22">
        <f t="shared" si="5"/>
        <v>1137089.35</v>
      </c>
      <c r="E13" s="22">
        <f t="shared" si="5"/>
        <v>1178159.24</v>
      </c>
      <c r="F13" s="23">
        <f t="shared" si="5"/>
        <v>1109680.39</v>
      </c>
      <c r="G13" s="23">
        <f t="shared" si="5"/>
        <v>1020130.29</v>
      </c>
      <c r="H13" s="22">
        <f t="shared" si="5"/>
        <v>950686.66</v>
      </c>
      <c r="I13" s="22">
        <f t="shared" si="5"/>
        <v>885338.23</v>
      </c>
      <c r="J13" s="22">
        <f t="shared" si="5"/>
        <v>1161210.64</v>
      </c>
      <c r="K13" s="22">
        <f t="shared" si="5"/>
        <v>1063114.39</v>
      </c>
      <c r="L13" s="22">
        <f t="shared" si="5"/>
        <v>691442.73</v>
      </c>
      <c r="M13" s="22">
        <f t="shared" si="5"/>
        <v>839021.69</v>
      </c>
      <c r="N13" s="22">
        <f t="shared" ref="N13:N29" si="7">sum(B13:M13)</f>
        <v>12045731.09</v>
      </c>
      <c r="O13" s="24"/>
    </row>
    <row r="14">
      <c r="A14" s="19" t="s">
        <v>20</v>
      </c>
      <c r="B14" s="26">
        <f t="shared" ref="B14:M14" si="6">+B3+B4-B5-B7</f>
        <v>257468.3</v>
      </c>
      <c r="C14" s="26">
        <f t="shared" si="6"/>
        <v>243645.69</v>
      </c>
      <c r="D14" s="26">
        <f t="shared" si="6"/>
        <v>265230.27</v>
      </c>
      <c r="E14" s="26">
        <f t="shared" si="6"/>
        <v>266416.16</v>
      </c>
      <c r="F14" s="26">
        <f t="shared" si="6"/>
        <v>264839.41</v>
      </c>
      <c r="G14" s="26">
        <f t="shared" si="6"/>
        <v>233651.77</v>
      </c>
      <c r="H14" s="26">
        <f t="shared" si="6"/>
        <v>223153.61</v>
      </c>
      <c r="I14" s="26">
        <f t="shared" si="6"/>
        <v>230061.81</v>
      </c>
      <c r="J14" s="26">
        <f t="shared" si="6"/>
        <v>278840.81</v>
      </c>
      <c r="K14" s="26">
        <f t="shared" si="6"/>
        <v>259795.97</v>
      </c>
      <c r="L14" s="26">
        <f t="shared" si="6"/>
        <v>188504.92</v>
      </c>
      <c r="M14" s="26">
        <f t="shared" si="6"/>
        <v>205619.01</v>
      </c>
      <c r="N14" s="15">
        <f t="shared" si="7"/>
        <v>2917227.73</v>
      </c>
      <c r="O14" s="27">
        <f t="shared" ref="O14:O29" si="8">N14/$N$13</f>
        <v>0.2421793836</v>
      </c>
    </row>
    <row r="15">
      <c r="A15" s="19" t="s">
        <v>21</v>
      </c>
      <c r="B15" s="26">
        <f>48358.53</f>
        <v>48358.53</v>
      </c>
      <c r="C15" s="26">
        <v>47133.0</v>
      </c>
      <c r="D15" s="26">
        <v>45057.53</v>
      </c>
      <c r="E15" s="26">
        <f>42416.52</f>
        <v>42416.52</v>
      </c>
      <c r="F15" s="26">
        <v>45078.0</v>
      </c>
      <c r="G15" s="26">
        <v>29599.14</v>
      </c>
      <c r="H15" s="26">
        <v>31395.88</v>
      </c>
      <c r="I15" s="26">
        <v>30389.0</v>
      </c>
      <c r="J15" s="26">
        <v>29919.51</v>
      </c>
      <c r="K15" s="28">
        <v>29788.88</v>
      </c>
      <c r="L15" s="28">
        <f>26902.61</f>
        <v>26902.61</v>
      </c>
      <c r="M15" s="56">
        <v>30000.0</v>
      </c>
      <c r="N15" s="15">
        <f t="shared" si="7"/>
        <v>436038.6</v>
      </c>
      <c r="O15" s="27">
        <f t="shared" si="8"/>
        <v>0.03619859988</v>
      </c>
    </row>
    <row r="16">
      <c r="A16" s="19" t="s">
        <v>22</v>
      </c>
      <c r="B16" s="26">
        <v>0.0</v>
      </c>
      <c r="C16" s="26">
        <v>0.0</v>
      </c>
      <c r="D16" s="26">
        <f t="shared" ref="D16:K16" si="9">9616/12</f>
        <v>801.3333333</v>
      </c>
      <c r="E16" s="26">
        <f t="shared" si="9"/>
        <v>801.3333333</v>
      </c>
      <c r="F16" s="26">
        <f t="shared" si="9"/>
        <v>801.3333333</v>
      </c>
      <c r="G16" s="26">
        <f t="shared" si="9"/>
        <v>801.3333333</v>
      </c>
      <c r="H16" s="26">
        <f t="shared" si="9"/>
        <v>801.3333333</v>
      </c>
      <c r="I16" s="26">
        <f t="shared" si="9"/>
        <v>801.3333333</v>
      </c>
      <c r="J16" s="26">
        <f t="shared" si="9"/>
        <v>801.3333333</v>
      </c>
      <c r="K16" s="26">
        <f t="shared" si="9"/>
        <v>801.3333333</v>
      </c>
      <c r="L16" s="26">
        <f t="shared" ref="L16:M16" si="10">9617/12</f>
        <v>801.4166667</v>
      </c>
      <c r="M16" s="26">
        <f t="shared" si="10"/>
        <v>801.4166667</v>
      </c>
      <c r="N16" s="15">
        <f t="shared" si="7"/>
        <v>8013.5</v>
      </c>
      <c r="O16" s="27">
        <f t="shared" si="8"/>
        <v>0.0006652564249</v>
      </c>
    </row>
    <row r="17">
      <c r="A17" s="19" t="s">
        <v>23</v>
      </c>
      <c r="B17" s="26">
        <v>45284.66</v>
      </c>
      <c r="C17" s="26">
        <v>40649.82</v>
      </c>
      <c r="D17" s="26">
        <v>37317.0</v>
      </c>
      <c r="E17" s="26">
        <v>38154.0</v>
      </c>
      <c r="F17" s="26">
        <v>40732.42</v>
      </c>
      <c r="G17" s="26">
        <v>35025.0</v>
      </c>
      <c r="H17" s="26">
        <v>32000.0</v>
      </c>
      <c r="I17" s="26">
        <v>33482.0</v>
      </c>
      <c r="J17" s="26">
        <v>31075.0</v>
      </c>
      <c r="K17" s="56">
        <v>31000.0</v>
      </c>
      <c r="L17" s="56">
        <v>31000.0</v>
      </c>
      <c r="M17" s="56">
        <v>31000.0</v>
      </c>
      <c r="N17" s="15">
        <f t="shared" si="7"/>
        <v>426719.9</v>
      </c>
      <c r="O17" s="27">
        <f t="shared" si="8"/>
        <v>0.03542498972</v>
      </c>
    </row>
    <row r="18">
      <c r="A18" s="19" t="s">
        <v>24</v>
      </c>
      <c r="B18" s="26">
        <f t="shared" ref="B18:I18" si="11">B13*0.14*1.18</f>
        <v>159176.4776</v>
      </c>
      <c r="C18" s="26">
        <f t="shared" si="11"/>
        <v>172851.9781</v>
      </c>
      <c r="D18" s="26">
        <f t="shared" si="11"/>
        <v>187847.1606</v>
      </c>
      <c r="E18" s="26">
        <f t="shared" si="11"/>
        <v>194631.9064</v>
      </c>
      <c r="F18" s="26">
        <f t="shared" si="11"/>
        <v>183319.2004</v>
      </c>
      <c r="G18" s="26">
        <f t="shared" si="11"/>
        <v>168525.5239</v>
      </c>
      <c r="H18" s="26">
        <f t="shared" si="11"/>
        <v>157053.4362</v>
      </c>
      <c r="I18" s="26">
        <f t="shared" si="11"/>
        <v>146257.8756</v>
      </c>
      <c r="J18" s="26">
        <v>191791.26</v>
      </c>
      <c r="K18" s="26">
        <f>K13*0.14*1.18-20</f>
        <v>175606.4972</v>
      </c>
      <c r="L18" s="28">
        <v>114122.91</v>
      </c>
      <c r="M18" s="26">
        <f>M13*0.14*1.18</f>
        <v>138606.3832</v>
      </c>
      <c r="N18" s="15">
        <f t="shared" si="7"/>
        <v>1989790.609</v>
      </c>
      <c r="O18" s="27">
        <f t="shared" si="8"/>
        <v>0.1651863714</v>
      </c>
    </row>
    <row r="19">
      <c r="A19" s="19" t="s">
        <v>25</v>
      </c>
      <c r="B19" s="26">
        <v>8500.0</v>
      </c>
      <c r="C19" s="26">
        <v>8500.0</v>
      </c>
      <c r="D19" s="26">
        <f t="shared" ref="D19:F19" si="12">8850/12+8500</f>
        <v>9237.5</v>
      </c>
      <c r="E19" s="26">
        <f t="shared" si="12"/>
        <v>9237.5</v>
      </c>
      <c r="F19" s="26">
        <f t="shared" si="12"/>
        <v>9237.5</v>
      </c>
      <c r="G19" s="26">
        <f t="shared" ref="G19:J19" si="13">8850/12</f>
        <v>737.5</v>
      </c>
      <c r="H19" s="26">
        <f t="shared" si="13"/>
        <v>737.5</v>
      </c>
      <c r="I19" s="26">
        <f t="shared" si="13"/>
        <v>737.5</v>
      </c>
      <c r="J19" s="26">
        <f t="shared" si="13"/>
        <v>737.5</v>
      </c>
      <c r="K19" s="26">
        <f t="shared" ref="K19:M19" si="14">8850/12+40120/12</f>
        <v>4080.833333</v>
      </c>
      <c r="L19" s="26">
        <f t="shared" si="14"/>
        <v>4080.833333</v>
      </c>
      <c r="M19" s="26">
        <f t="shared" si="14"/>
        <v>4080.833333</v>
      </c>
      <c r="N19" s="15">
        <f t="shared" si="7"/>
        <v>59905</v>
      </c>
      <c r="O19" s="27">
        <f t="shared" si="8"/>
        <v>0.004973131108</v>
      </c>
    </row>
    <row r="20">
      <c r="A20" s="19" t="s">
        <v>47</v>
      </c>
      <c r="B20" s="26">
        <f>136076.33+28248/12</f>
        <v>138430.33</v>
      </c>
      <c r="C20" s="26">
        <f>158254+28248/12</f>
        <v>160608</v>
      </c>
      <c r="D20" s="26">
        <f>90640+36220+2468+28248/12</f>
        <v>131682</v>
      </c>
      <c r="E20" s="26">
        <f>138238+28248/12</f>
        <v>140592</v>
      </c>
      <c r="F20" s="26">
        <f>158088+28248/12</f>
        <v>160442</v>
      </c>
      <c r="G20" s="26">
        <f>152588+28248/12</f>
        <v>154942</v>
      </c>
      <c r="H20" s="26">
        <f>28248/12+152196.06</f>
        <v>154550.06</v>
      </c>
      <c r="I20" s="26">
        <f>28248/12+155455</f>
        <v>157809</v>
      </c>
      <c r="J20" s="26">
        <f t="shared" ref="J20:K20" si="15">28248/12+152591</f>
        <v>154945</v>
      </c>
      <c r="K20" s="26">
        <f t="shared" si="15"/>
        <v>154945</v>
      </c>
      <c r="L20" s="26">
        <f>28248/12+133840</f>
        <v>136194</v>
      </c>
      <c r="M20" s="26">
        <f>28248/12+156970</f>
        <v>159324</v>
      </c>
      <c r="N20" s="15">
        <f t="shared" si="7"/>
        <v>1804463.39</v>
      </c>
      <c r="O20" s="27">
        <f t="shared" si="8"/>
        <v>0.1498010687</v>
      </c>
    </row>
    <row r="21">
      <c r="A21" s="11" t="s">
        <v>27</v>
      </c>
      <c r="B21" s="26">
        <f>2950</f>
        <v>2950</v>
      </c>
      <c r="C21" s="26">
        <f t="shared" ref="C21:D21" si="16">2360+2950</f>
        <v>5310</v>
      </c>
      <c r="D21" s="26">
        <f t="shared" si="16"/>
        <v>5310</v>
      </c>
      <c r="E21" s="26">
        <f>2360+2810+2950</f>
        <v>8120</v>
      </c>
      <c r="F21" s="26">
        <f t="shared" ref="F21:G21" si="17">2950+2360+2400</f>
        <v>7710</v>
      </c>
      <c r="G21" s="26">
        <f t="shared" si="17"/>
        <v>7710</v>
      </c>
      <c r="H21" s="26">
        <f>2950+1200+2360</f>
        <v>6510</v>
      </c>
      <c r="I21" s="26">
        <f>2950+2400+2360</f>
        <v>7710</v>
      </c>
      <c r="J21" s="26">
        <f>2360+2950</f>
        <v>5310</v>
      </c>
      <c r="K21" s="26">
        <f t="shared" ref="K21:L21" si="18">2400+2360+2950</f>
        <v>7710</v>
      </c>
      <c r="L21" s="26">
        <f t="shared" si="18"/>
        <v>7710</v>
      </c>
      <c r="M21" s="26">
        <f>2950+2850+2360</f>
        <v>8160</v>
      </c>
      <c r="N21" s="15">
        <f t="shared" si="7"/>
        <v>80220</v>
      </c>
      <c r="O21" s="27">
        <f t="shared" si="8"/>
        <v>0.006659620691</v>
      </c>
    </row>
    <row r="22">
      <c r="A22" s="32" t="s">
        <v>28</v>
      </c>
      <c r="B22" s="26"/>
      <c r="C22" s="26"/>
      <c r="D22" s="26"/>
      <c r="E22" s="26"/>
      <c r="F22" s="26"/>
      <c r="G22" s="26"/>
      <c r="H22" s="26"/>
      <c r="I22" s="26"/>
      <c r="J22" s="26"/>
      <c r="K22" s="26"/>
      <c r="L22" s="26"/>
      <c r="M22" s="26"/>
      <c r="N22" s="15">
        <f t="shared" si="7"/>
        <v>0</v>
      </c>
      <c r="O22" s="27">
        <f t="shared" si="8"/>
        <v>0</v>
      </c>
    </row>
    <row r="23">
      <c r="A23" s="20" t="s">
        <v>29</v>
      </c>
      <c r="B23" s="26">
        <v>0.0</v>
      </c>
      <c r="C23" s="26">
        <v>868.94</v>
      </c>
      <c r="D23" s="26">
        <v>868.94</v>
      </c>
      <c r="E23" s="26">
        <v>868.94</v>
      </c>
      <c r="F23" s="26">
        <v>868.94</v>
      </c>
      <c r="G23" s="26">
        <v>868.94</v>
      </c>
      <c r="H23" s="26">
        <v>868.94</v>
      </c>
      <c r="I23" s="26">
        <v>868.94</v>
      </c>
      <c r="J23" s="26">
        <v>868.94</v>
      </c>
      <c r="K23" s="26">
        <v>868.94</v>
      </c>
      <c r="L23" s="26">
        <v>868.94</v>
      </c>
      <c r="M23" s="26">
        <v>868.94</v>
      </c>
      <c r="N23" s="15">
        <f t="shared" si="7"/>
        <v>9558.34</v>
      </c>
      <c r="O23" s="27">
        <f t="shared" si="8"/>
        <v>0.0007935043484</v>
      </c>
    </row>
    <row r="24">
      <c r="A24" s="19" t="s">
        <v>30</v>
      </c>
      <c r="B24" s="26">
        <v>472.0</v>
      </c>
      <c r="C24" s="26">
        <v>0.0</v>
      </c>
      <c r="D24" s="26"/>
      <c r="E24" s="26">
        <v>0.0</v>
      </c>
      <c r="F24" s="26">
        <f>1920</f>
        <v>1920</v>
      </c>
      <c r="G24" s="26">
        <v>0.0</v>
      </c>
      <c r="H24" s="26">
        <v>0.0</v>
      </c>
      <c r="I24" s="26">
        <v>150.0</v>
      </c>
      <c r="J24" s="26">
        <v>0.0</v>
      </c>
      <c r="K24" s="28">
        <v>0.0</v>
      </c>
      <c r="L24" s="28">
        <v>0.0</v>
      </c>
      <c r="M24" s="28">
        <v>0.0</v>
      </c>
      <c r="N24" s="15">
        <f t="shared" si="7"/>
        <v>2542</v>
      </c>
      <c r="O24" s="27">
        <f t="shared" si="8"/>
        <v>0.0002110291174</v>
      </c>
    </row>
    <row r="25">
      <c r="A25" s="19" t="s">
        <v>31</v>
      </c>
      <c r="B25" s="26">
        <f>17093+24387/12</f>
        <v>19125.25</v>
      </c>
      <c r="C25" s="26">
        <f>7246.54+24387/12</f>
        <v>9278.79</v>
      </c>
      <c r="D25" s="26">
        <f>4595+24387/12</f>
        <v>6627.25</v>
      </c>
      <c r="E25" s="26">
        <f>3201+24387/12</f>
        <v>5233.25</v>
      </c>
      <c r="F25" s="26">
        <f>6621.35+24387/12</f>
        <v>8653.6</v>
      </c>
      <c r="G25" s="26">
        <f>2076.74+24387/12</f>
        <v>4108.99</v>
      </c>
      <c r="H25" s="26">
        <f>2555.82+24387/12</f>
        <v>4588.07</v>
      </c>
      <c r="I25" s="26">
        <f>8795.53+24387/12</f>
        <v>10827.78</v>
      </c>
      <c r="J25" s="26">
        <f>3348+24387/12</f>
        <v>5380.25</v>
      </c>
      <c r="K25" s="28">
        <f>3143.92+24387/12</f>
        <v>5176.17</v>
      </c>
      <c r="L25" s="28">
        <f>1682.51+24387/12</f>
        <v>3714.76</v>
      </c>
      <c r="M25" s="28">
        <v>8507.0</v>
      </c>
      <c r="N25" s="15">
        <f t="shared" si="7"/>
        <v>91221.16</v>
      </c>
      <c r="O25" s="27">
        <f t="shared" si="8"/>
        <v>0.007572903572</v>
      </c>
    </row>
    <row r="26">
      <c r="A26" s="19" t="s">
        <v>32</v>
      </c>
      <c r="B26" s="26">
        <v>103560.0</v>
      </c>
      <c r="C26" s="26">
        <v>103560.0</v>
      </c>
      <c r="D26" s="26">
        <v>103560.0</v>
      </c>
      <c r="E26" s="26">
        <v>103560.0</v>
      </c>
      <c r="F26" s="26">
        <v>103560.0</v>
      </c>
      <c r="G26" s="26">
        <v>103560.0</v>
      </c>
      <c r="H26" s="26">
        <f>103560+4142.98</f>
        <v>107702.98</v>
      </c>
      <c r="I26" s="26">
        <f t="shared" ref="I26:L26" si="19">107702</f>
        <v>107702</v>
      </c>
      <c r="J26" s="26">
        <f t="shared" si="19"/>
        <v>107702</v>
      </c>
      <c r="K26" s="26">
        <f t="shared" si="19"/>
        <v>107702</v>
      </c>
      <c r="L26" s="26">
        <f t="shared" si="19"/>
        <v>107702</v>
      </c>
      <c r="M26" s="28">
        <v>107702.0</v>
      </c>
      <c r="N26" s="15">
        <f t="shared" si="7"/>
        <v>1267572.98</v>
      </c>
      <c r="O26" s="27">
        <f t="shared" si="8"/>
        <v>0.1052300579</v>
      </c>
    </row>
    <row r="27">
      <c r="A27" s="19" t="s">
        <v>33</v>
      </c>
      <c r="B27" s="26">
        <f>HO!D29</f>
        <v>195432.4366</v>
      </c>
      <c r="C27" s="26">
        <f>HO!H29</f>
        <v>210257.11</v>
      </c>
      <c r="D27" s="26">
        <f>HO!L29</f>
        <v>226163.3415</v>
      </c>
      <c r="E27" s="26">
        <f>HO!P29</f>
        <v>252002.4314</v>
      </c>
      <c r="F27" s="26">
        <f>HO!D48</f>
        <v>217680.854</v>
      </c>
      <c r="G27" s="26">
        <f>HO!H48</f>
        <v>219405.6591</v>
      </c>
      <c r="H27" s="26">
        <f>HO!L48</f>
        <v>183206.9852</v>
      </c>
      <c r="I27" s="26">
        <f>HO!P48</f>
        <v>191008.611</v>
      </c>
      <c r="J27" s="26">
        <f>HO!D67</f>
        <v>218658.6523</v>
      </c>
      <c r="K27" s="26">
        <f>HO!H67</f>
        <v>207202.9852</v>
      </c>
      <c r="L27" s="26">
        <f>HO!L67</f>
        <v>144662.1433</v>
      </c>
      <c r="M27" s="26">
        <f>HO!P67</f>
        <v>154522.416</v>
      </c>
      <c r="N27" s="15">
        <f t="shared" si="7"/>
        <v>2420203.626</v>
      </c>
      <c r="O27" s="27">
        <f t="shared" si="8"/>
        <v>0.2009179524</v>
      </c>
    </row>
    <row r="28">
      <c r="A28" s="35" t="s">
        <v>34</v>
      </c>
      <c r="B28" s="36">
        <f t="shared" ref="B28:M28" si="20">+SUM(B14:B27)</f>
        <v>978757.9842</v>
      </c>
      <c r="C28" s="36">
        <f t="shared" si="20"/>
        <v>1002663.328</v>
      </c>
      <c r="D28" s="36">
        <f t="shared" si="20"/>
        <v>1019702.326</v>
      </c>
      <c r="E28" s="36">
        <f t="shared" si="20"/>
        <v>1062034.041</v>
      </c>
      <c r="F28" s="37">
        <f t="shared" si="20"/>
        <v>1044843.258</v>
      </c>
      <c r="G28" s="36">
        <f t="shared" si="20"/>
        <v>958935.8564</v>
      </c>
      <c r="H28" s="36">
        <f t="shared" si="20"/>
        <v>902568.7948</v>
      </c>
      <c r="I28" s="36">
        <f t="shared" si="20"/>
        <v>917805.8499</v>
      </c>
      <c r="J28" s="36">
        <f t="shared" si="20"/>
        <v>1026030.256</v>
      </c>
      <c r="K28" s="36">
        <f t="shared" si="20"/>
        <v>984678.6091</v>
      </c>
      <c r="L28" s="36">
        <f t="shared" si="20"/>
        <v>766264.5333</v>
      </c>
      <c r="M28" s="36">
        <f t="shared" si="20"/>
        <v>849191.9992</v>
      </c>
      <c r="N28" s="36">
        <f t="shared" si="7"/>
        <v>11513476.84</v>
      </c>
      <c r="O28" s="38">
        <f t="shared" si="8"/>
        <v>0.9558138688</v>
      </c>
    </row>
    <row r="29">
      <c r="A29" s="39" t="s">
        <v>35</v>
      </c>
      <c r="B29" s="40">
        <f t="shared" ref="B29:M29" si="21">B13-B28</f>
        <v>-15219.98425</v>
      </c>
      <c r="C29" s="40">
        <f t="shared" si="21"/>
        <v>43656.15186</v>
      </c>
      <c r="D29" s="40">
        <f t="shared" si="21"/>
        <v>117387.0245</v>
      </c>
      <c r="E29" s="40">
        <f t="shared" si="21"/>
        <v>116125.1989</v>
      </c>
      <c r="F29" s="40">
        <f t="shared" si="21"/>
        <v>64837.13225</v>
      </c>
      <c r="G29" s="40">
        <f t="shared" si="21"/>
        <v>61194.43362</v>
      </c>
      <c r="H29" s="40">
        <f t="shared" si="21"/>
        <v>48117.86521</v>
      </c>
      <c r="I29" s="40">
        <f t="shared" si="21"/>
        <v>-32467.61994</v>
      </c>
      <c r="J29" s="40">
        <f t="shared" si="21"/>
        <v>135180.3844</v>
      </c>
      <c r="K29" s="40">
        <f t="shared" si="21"/>
        <v>78435.78091</v>
      </c>
      <c r="L29" s="40">
        <f t="shared" si="21"/>
        <v>-74821.80333</v>
      </c>
      <c r="M29" s="40">
        <f t="shared" si="21"/>
        <v>-10170.30917</v>
      </c>
      <c r="N29" s="40">
        <f t="shared" si="7"/>
        <v>532254.2549</v>
      </c>
      <c r="O29" s="41">
        <f t="shared" si="8"/>
        <v>0.04418613125</v>
      </c>
    </row>
    <row r="30">
      <c r="A30" s="42" t="s">
        <v>36</v>
      </c>
      <c r="B30" s="43">
        <f t="shared" ref="B30:M30" si="22">(B14/B13)</f>
        <v>0.2672113606</v>
      </c>
      <c r="C30" s="43">
        <f t="shared" si="22"/>
        <v>0.2328597476</v>
      </c>
      <c r="D30" s="43">
        <f t="shared" si="22"/>
        <v>0.2332536753</v>
      </c>
      <c r="E30" s="43">
        <f t="shared" si="22"/>
        <v>0.2261291606</v>
      </c>
      <c r="F30" s="44">
        <f t="shared" si="22"/>
        <v>0.2386627829</v>
      </c>
      <c r="G30" s="43">
        <f t="shared" si="22"/>
        <v>0.2290411061</v>
      </c>
      <c r="H30" s="43">
        <f t="shared" si="22"/>
        <v>0.2347288748</v>
      </c>
      <c r="I30" s="43">
        <f t="shared" si="22"/>
        <v>0.2598575349</v>
      </c>
      <c r="J30" s="43">
        <f t="shared" si="22"/>
        <v>0.2401293963</v>
      </c>
      <c r="K30" s="43">
        <f t="shared" si="22"/>
        <v>0.2443725458</v>
      </c>
      <c r="L30" s="43">
        <f t="shared" si="22"/>
        <v>0.2726255</v>
      </c>
      <c r="M30" s="43">
        <f t="shared" si="22"/>
        <v>0.2450699576</v>
      </c>
      <c r="N30" s="45"/>
      <c r="O30" s="45"/>
    </row>
    <row r="31">
      <c r="B31" s="102"/>
      <c r="C31" s="102"/>
      <c r="D31" s="102"/>
      <c r="E31" s="102"/>
      <c r="F31" s="102"/>
      <c r="G31" s="102"/>
      <c r="H31" s="102"/>
    </row>
    <row r="32">
      <c r="B32" s="46">
        <f t="shared" ref="B32:M32" si="23">B29+B27</f>
        <v>180212.4524</v>
      </c>
      <c r="C32" s="46">
        <f t="shared" si="23"/>
        <v>253913.2619</v>
      </c>
      <c r="D32" s="46">
        <f t="shared" si="23"/>
        <v>343550.366</v>
      </c>
      <c r="E32" s="46">
        <f t="shared" si="23"/>
        <v>368127.6302</v>
      </c>
      <c r="F32" s="46">
        <f t="shared" si="23"/>
        <v>282517.9862</v>
      </c>
      <c r="G32" s="46">
        <f t="shared" si="23"/>
        <v>280600.0928</v>
      </c>
      <c r="H32" s="46">
        <f t="shared" si="23"/>
        <v>231324.8504</v>
      </c>
      <c r="I32" s="46">
        <f t="shared" si="23"/>
        <v>158540.9911</v>
      </c>
      <c r="J32" s="46">
        <f t="shared" si="23"/>
        <v>353839.0367</v>
      </c>
      <c r="K32" s="46">
        <f t="shared" si="23"/>
        <v>285638.7661</v>
      </c>
      <c r="L32" s="46">
        <f t="shared" si="23"/>
        <v>69840.34</v>
      </c>
      <c r="M32" s="46">
        <f t="shared" si="23"/>
        <v>144352.1068</v>
      </c>
    </row>
    <row r="33">
      <c r="A33" s="47"/>
      <c r="B33" s="48">
        <f t="shared" ref="B33:M33" si="24">B32/B13</f>
        <v>0.1870320137</v>
      </c>
      <c r="C33" s="48">
        <f t="shared" si="24"/>
        <v>0.2426727847</v>
      </c>
      <c r="D33" s="48">
        <f t="shared" si="24"/>
        <v>0.3021313726</v>
      </c>
      <c r="E33" s="48">
        <f t="shared" si="24"/>
        <v>0.312459995</v>
      </c>
      <c r="F33" s="48">
        <f t="shared" si="24"/>
        <v>0.2545940153</v>
      </c>
      <c r="G33" s="48">
        <f t="shared" si="24"/>
        <v>0.2750629949</v>
      </c>
      <c r="H33" s="48">
        <f t="shared" si="24"/>
        <v>0.243323968</v>
      </c>
      <c r="I33" s="48">
        <f t="shared" si="24"/>
        <v>0.1790739242</v>
      </c>
      <c r="J33" s="48">
        <f t="shared" si="24"/>
        <v>0.3047156343</v>
      </c>
      <c r="K33" s="48">
        <f t="shared" si="24"/>
        <v>0.268681121</v>
      </c>
      <c r="L33" s="48">
        <f t="shared" si="24"/>
        <v>0.1010066879</v>
      </c>
      <c r="M33" s="48">
        <f t="shared" si="24"/>
        <v>0.1720481229</v>
      </c>
    </row>
    <row r="34">
      <c r="A34" s="47"/>
      <c r="B34" s="48"/>
      <c r="C34" s="48"/>
      <c r="D34" s="61"/>
      <c r="E34" s="61"/>
      <c r="F34" s="61"/>
      <c r="G34" s="61"/>
    </row>
    <row r="35">
      <c r="A35" s="9"/>
      <c r="B35" s="48"/>
      <c r="C35" s="48"/>
      <c r="D35" s="48"/>
      <c r="E35" s="48"/>
    </row>
    <row r="36">
      <c r="A36" s="47"/>
      <c r="B36" s="48"/>
      <c r="C36" s="48"/>
      <c r="D36" s="48"/>
      <c r="E36" s="48"/>
    </row>
  </sheetData>
  <mergeCells count="1">
    <mergeCell ref="N1:O1"/>
  </mergeCells>
  <drawing r:id="rId4"/>
  <legacyDrawing r:id="rId5"/>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38"/>
  </cols>
  <sheetData>
    <row r="1">
      <c r="A1" s="1" t="s">
        <v>61</v>
      </c>
      <c r="B1" s="2">
        <v>45748.0</v>
      </c>
      <c r="C1" s="2">
        <v>45778.0</v>
      </c>
      <c r="D1" s="2">
        <v>45809.0</v>
      </c>
      <c r="E1" s="2">
        <v>45839.0</v>
      </c>
      <c r="F1" s="4">
        <v>45870.0</v>
      </c>
      <c r="G1" s="2">
        <v>45901.0</v>
      </c>
      <c r="H1" s="2">
        <v>45931.0</v>
      </c>
      <c r="I1" s="2">
        <v>45962.0</v>
      </c>
      <c r="J1" s="2">
        <v>45992.0</v>
      </c>
      <c r="K1" s="2">
        <v>46023.0</v>
      </c>
      <c r="L1" s="2">
        <v>46054.0</v>
      </c>
      <c r="M1" s="2">
        <v>46082.0</v>
      </c>
      <c r="N1" s="99" t="s">
        <v>5</v>
      </c>
      <c r="O1" s="6"/>
    </row>
    <row r="2">
      <c r="A2" s="7" t="s">
        <v>6</v>
      </c>
      <c r="B2" s="8"/>
      <c r="C2" s="8"/>
      <c r="D2" s="8"/>
      <c r="E2" s="8"/>
      <c r="F2" s="10"/>
      <c r="G2" s="8"/>
      <c r="H2" s="8"/>
      <c r="I2" s="8"/>
      <c r="J2" s="8"/>
      <c r="K2" s="8"/>
      <c r="L2" s="8"/>
      <c r="M2" s="8"/>
      <c r="N2" s="8"/>
      <c r="O2" s="8"/>
    </row>
    <row r="3">
      <c r="A3" s="11" t="s">
        <v>7</v>
      </c>
      <c r="B3" s="79">
        <v>10031.0</v>
      </c>
      <c r="C3" s="13">
        <f t="shared" ref="C3:F3" si="1">B7</f>
        <v>7087.66</v>
      </c>
      <c r="D3" s="14">
        <f t="shared" si="1"/>
        <v>6948</v>
      </c>
      <c r="E3" s="14">
        <f t="shared" si="1"/>
        <v>6952</v>
      </c>
      <c r="F3" s="14">
        <f t="shared" si="1"/>
        <v>0</v>
      </c>
      <c r="G3" s="17">
        <v>0.0</v>
      </c>
      <c r="H3" s="17">
        <v>0.0</v>
      </c>
      <c r="I3" s="14">
        <f t="shared" ref="I3:M3" si="2">H7</f>
        <v>0</v>
      </c>
      <c r="J3" s="14">
        <f t="shared" si="2"/>
        <v>26379</v>
      </c>
      <c r="K3" s="14">
        <f t="shared" si="2"/>
        <v>4784</v>
      </c>
      <c r="L3" s="14">
        <f t="shared" si="2"/>
        <v>22311.79</v>
      </c>
      <c r="M3" s="14">
        <f t="shared" si="2"/>
        <v>0</v>
      </c>
      <c r="N3" s="100">
        <f>+SUM(J3:L3)</f>
        <v>53474.79</v>
      </c>
      <c r="O3" s="101"/>
    </row>
    <row r="4">
      <c r="A4" s="11" t="s">
        <v>9</v>
      </c>
      <c r="B4" s="16">
        <v>45018.0</v>
      </c>
      <c r="C4" s="16">
        <v>49589.0</v>
      </c>
      <c r="D4" s="17">
        <v>4340.0</v>
      </c>
      <c r="E4" s="17">
        <v>25411.0</v>
      </c>
      <c r="F4" s="17">
        <v>18343.0</v>
      </c>
      <c r="G4" s="17">
        <v>6272.79</v>
      </c>
      <c r="H4" s="17">
        <v>79150.91</v>
      </c>
      <c r="I4" s="17">
        <v>59075.0</v>
      </c>
      <c r="J4" s="17">
        <v>168164.0</v>
      </c>
      <c r="K4" s="17">
        <f>136144.74-10803</f>
        <v>125341.74</v>
      </c>
      <c r="L4" s="17">
        <v>50328.0</v>
      </c>
      <c r="M4" s="17">
        <f>21154.51-2986.69</f>
        <v>18167.82</v>
      </c>
      <c r="N4" s="100">
        <f>sum(B4:M4)</f>
        <v>649201.26</v>
      </c>
      <c r="O4" s="101"/>
    </row>
    <row r="5">
      <c r="A5" s="11" t="s">
        <v>10</v>
      </c>
      <c r="B5" s="16">
        <v>720.98</v>
      </c>
      <c r="C5" s="16">
        <v>6733.0</v>
      </c>
      <c r="D5" s="17">
        <v>246.0</v>
      </c>
      <c r="E5" s="17">
        <v>7773.0</v>
      </c>
      <c r="F5" s="17">
        <v>1225.0</v>
      </c>
      <c r="G5" s="17">
        <v>275.0</v>
      </c>
      <c r="H5" s="17">
        <v>235.29</v>
      </c>
      <c r="I5" s="17">
        <v>0.0</v>
      </c>
      <c r="J5" s="17">
        <v>11637.0</v>
      </c>
      <c r="K5" s="17">
        <v>15054.42</v>
      </c>
      <c r="L5" s="17">
        <v>2002.0</v>
      </c>
      <c r="M5" s="17">
        <v>79.73</v>
      </c>
      <c r="N5" s="100">
        <f t="shared" ref="N5:N6" si="3">+SUM(J5:L5)</f>
        <v>28693.42</v>
      </c>
      <c r="O5" s="101"/>
    </row>
    <row r="6">
      <c r="A6" s="11" t="s">
        <v>11</v>
      </c>
      <c r="B6" s="16">
        <v>1720.9</v>
      </c>
      <c r="C6" s="16">
        <v>2244.91</v>
      </c>
      <c r="D6" s="17">
        <v>0.0</v>
      </c>
      <c r="E6" s="17">
        <v>2567.0</v>
      </c>
      <c r="F6" s="17">
        <v>1374.39</v>
      </c>
      <c r="G6" s="17">
        <v>0.0</v>
      </c>
      <c r="H6" s="17">
        <v>4955.0</v>
      </c>
      <c r="I6" s="17">
        <v>5498.0</v>
      </c>
      <c r="J6" s="17">
        <v>8514.0</v>
      </c>
      <c r="K6" s="17">
        <v>1577.0</v>
      </c>
      <c r="L6" s="17">
        <v>5654.0</v>
      </c>
      <c r="M6" s="17">
        <v>0.0</v>
      </c>
      <c r="N6" s="100">
        <f t="shared" si="3"/>
        <v>15745</v>
      </c>
      <c r="O6" s="101"/>
    </row>
    <row r="7">
      <c r="A7" s="11" t="s">
        <v>12</v>
      </c>
      <c r="B7" s="16">
        <v>7087.66</v>
      </c>
      <c r="C7" s="16">
        <v>6948.0</v>
      </c>
      <c r="D7" s="17">
        <v>6952.0</v>
      </c>
      <c r="E7" s="17">
        <v>0.0</v>
      </c>
      <c r="F7" s="17">
        <v>0.0</v>
      </c>
      <c r="G7" s="17">
        <v>0.0</v>
      </c>
      <c r="H7" s="17">
        <v>0.0</v>
      </c>
      <c r="I7" s="17">
        <v>26379.0</v>
      </c>
      <c r="J7" s="17">
        <v>4784.0</v>
      </c>
      <c r="K7" s="17">
        <v>22311.79</v>
      </c>
      <c r="L7" s="17">
        <v>0.0</v>
      </c>
      <c r="M7" s="17">
        <v>0.0</v>
      </c>
      <c r="N7" s="100">
        <f>sum(B7:M7)</f>
        <v>74462.45</v>
      </c>
      <c r="O7" s="101"/>
    </row>
    <row r="8">
      <c r="A8" s="8"/>
      <c r="B8" s="55"/>
      <c r="C8" s="55"/>
      <c r="D8" s="8"/>
      <c r="E8" s="8"/>
      <c r="F8" s="10"/>
      <c r="G8" s="8"/>
      <c r="H8" s="8"/>
      <c r="I8" s="8"/>
      <c r="J8" s="8"/>
      <c r="K8" s="8"/>
      <c r="L8" s="8"/>
      <c r="M8" s="8"/>
      <c r="N8" s="8"/>
      <c r="O8" s="8"/>
    </row>
    <row r="9">
      <c r="A9" s="19" t="s">
        <v>13</v>
      </c>
      <c r="B9" s="13">
        <f>135742.86*1.05</f>
        <v>142530.003</v>
      </c>
      <c r="C9" s="13">
        <f>125202*1.05</f>
        <v>131462.1</v>
      </c>
      <c r="D9" s="14">
        <f>22500*1.05</f>
        <v>23625</v>
      </c>
      <c r="E9" s="14">
        <f>28894.78*1.05</f>
        <v>30339.519</v>
      </c>
      <c r="F9" s="14">
        <f>38690*1.05</f>
        <v>40624.5</v>
      </c>
      <c r="G9" s="14">
        <f>14880.95*1.05</f>
        <v>15624.9975</v>
      </c>
      <c r="H9" s="14">
        <f>188347.32*1.05</f>
        <v>197764.686</v>
      </c>
      <c r="I9" s="14">
        <f>11905*1.05</f>
        <v>12500.25</v>
      </c>
      <c r="J9" s="14">
        <f>584211.42*1.05</f>
        <v>613421.991</v>
      </c>
      <c r="K9" s="14">
        <f>330766*1.05</f>
        <v>347304.3</v>
      </c>
      <c r="L9" s="14">
        <f>(359228-32625)*1.05</f>
        <v>342933.15</v>
      </c>
      <c r="M9" s="14">
        <f>60000*1.05</f>
        <v>63000</v>
      </c>
      <c r="N9" s="100">
        <f t="shared" ref="N9:N12" si="4">+SUM(B9:M9)</f>
        <v>1961130.497</v>
      </c>
      <c r="O9" s="101"/>
    </row>
    <row r="10">
      <c r="A10" s="19" t="s">
        <v>14</v>
      </c>
      <c r="B10" s="16">
        <v>0.0</v>
      </c>
      <c r="C10" s="16">
        <v>0.0</v>
      </c>
      <c r="D10" s="16">
        <v>0.0</v>
      </c>
      <c r="E10" s="16">
        <v>0.0</v>
      </c>
      <c r="F10" s="16">
        <v>0.0</v>
      </c>
      <c r="G10" s="16">
        <v>0.0</v>
      </c>
      <c r="H10" s="17">
        <v>0.0</v>
      </c>
      <c r="I10" s="17">
        <v>0.0</v>
      </c>
      <c r="J10" s="17">
        <v>0.0</v>
      </c>
      <c r="K10" s="17">
        <v>0.0</v>
      </c>
      <c r="L10" s="17">
        <v>0.0</v>
      </c>
      <c r="M10" s="17">
        <v>0.0</v>
      </c>
      <c r="N10" s="100">
        <f t="shared" si="4"/>
        <v>0</v>
      </c>
      <c r="O10" s="101"/>
    </row>
    <row r="11">
      <c r="A11" s="19" t="s">
        <v>15</v>
      </c>
      <c r="B11" s="14">
        <f t="shared" ref="B11:M11" si="5">(B9+B10)/1.05*0.05</f>
        <v>6787.143</v>
      </c>
      <c r="C11" s="14">
        <f t="shared" si="5"/>
        <v>6260.1</v>
      </c>
      <c r="D11" s="14">
        <f t="shared" si="5"/>
        <v>1125</v>
      </c>
      <c r="E11" s="14">
        <f t="shared" si="5"/>
        <v>1444.739</v>
      </c>
      <c r="F11" s="14">
        <f t="shared" si="5"/>
        <v>1934.5</v>
      </c>
      <c r="G11" s="14">
        <f t="shared" si="5"/>
        <v>744.0475</v>
      </c>
      <c r="H11" s="14">
        <f t="shared" si="5"/>
        <v>9417.366</v>
      </c>
      <c r="I11" s="14">
        <f t="shared" si="5"/>
        <v>595.25</v>
      </c>
      <c r="J11" s="14">
        <f t="shared" si="5"/>
        <v>29210.571</v>
      </c>
      <c r="K11" s="14">
        <f t="shared" si="5"/>
        <v>16538.3</v>
      </c>
      <c r="L11" s="14">
        <f t="shared" si="5"/>
        <v>16330.15</v>
      </c>
      <c r="M11" s="14">
        <f t="shared" si="5"/>
        <v>3000</v>
      </c>
      <c r="N11" s="100">
        <f t="shared" si="4"/>
        <v>93387.1665</v>
      </c>
      <c r="O11" s="101"/>
    </row>
    <row r="12">
      <c r="A12" s="19" t="s">
        <v>17</v>
      </c>
      <c r="B12" s="16">
        <v>0.0</v>
      </c>
      <c r="C12" s="16">
        <v>0.0</v>
      </c>
      <c r="D12" s="16">
        <v>0.0</v>
      </c>
      <c r="E12" s="16"/>
      <c r="F12" s="16"/>
      <c r="G12" s="14"/>
      <c r="H12" s="14"/>
      <c r="I12" s="14"/>
      <c r="J12" s="14"/>
      <c r="K12" s="14"/>
      <c r="L12" s="14"/>
      <c r="M12" s="14"/>
      <c r="N12" s="100">
        <f t="shared" si="4"/>
        <v>0</v>
      </c>
      <c r="O12" s="101"/>
    </row>
    <row r="13">
      <c r="A13" s="21" t="s">
        <v>19</v>
      </c>
      <c r="B13" s="58">
        <f t="shared" ref="B13:M13" si="6">B9+B10-B11-B12</f>
        <v>135742.86</v>
      </c>
      <c r="C13" s="58">
        <f t="shared" si="6"/>
        <v>125202</v>
      </c>
      <c r="D13" s="22">
        <f t="shared" si="6"/>
        <v>22500</v>
      </c>
      <c r="E13" s="22">
        <f t="shared" si="6"/>
        <v>28894.78</v>
      </c>
      <c r="F13" s="23">
        <f t="shared" si="6"/>
        <v>38690</v>
      </c>
      <c r="G13" s="23">
        <f t="shared" si="6"/>
        <v>14880.95</v>
      </c>
      <c r="H13" s="22">
        <f t="shared" si="6"/>
        <v>188347.32</v>
      </c>
      <c r="I13" s="22">
        <f t="shared" si="6"/>
        <v>11905</v>
      </c>
      <c r="J13" s="22">
        <f t="shared" si="6"/>
        <v>584211.42</v>
      </c>
      <c r="K13" s="22">
        <f t="shared" si="6"/>
        <v>330766</v>
      </c>
      <c r="L13" s="22">
        <f t="shared" si="6"/>
        <v>326603</v>
      </c>
      <c r="M13" s="22">
        <f t="shared" si="6"/>
        <v>60000</v>
      </c>
      <c r="N13" s="22">
        <f t="shared" ref="N13:N22" si="8">sum(B13:M13)</f>
        <v>1867743.33</v>
      </c>
      <c r="O13" s="24">
        <f t="shared" ref="O13:O22" si="9">N13/$N$7</f>
        <v>25.08302279</v>
      </c>
    </row>
    <row r="14">
      <c r="A14" s="19" t="s">
        <v>20</v>
      </c>
      <c r="B14" s="60">
        <f t="shared" ref="B14:M14" si="7">+B3+B4-B5-B7</f>
        <v>47240.36</v>
      </c>
      <c r="C14" s="60">
        <f t="shared" si="7"/>
        <v>42995.66</v>
      </c>
      <c r="D14" s="26">
        <f t="shared" si="7"/>
        <v>4090</v>
      </c>
      <c r="E14" s="26">
        <f t="shared" si="7"/>
        <v>24590</v>
      </c>
      <c r="F14" s="26">
        <f t="shared" si="7"/>
        <v>17118</v>
      </c>
      <c r="G14" s="26">
        <f t="shared" si="7"/>
        <v>5997.79</v>
      </c>
      <c r="H14" s="26">
        <f t="shared" si="7"/>
        <v>78915.62</v>
      </c>
      <c r="I14" s="26">
        <f t="shared" si="7"/>
        <v>32696</v>
      </c>
      <c r="J14" s="26">
        <f t="shared" si="7"/>
        <v>178122</v>
      </c>
      <c r="K14" s="26">
        <f t="shared" si="7"/>
        <v>92759.53</v>
      </c>
      <c r="L14" s="26">
        <f t="shared" si="7"/>
        <v>70637.79</v>
      </c>
      <c r="M14" s="26">
        <f t="shared" si="7"/>
        <v>18088.09</v>
      </c>
      <c r="N14" s="100">
        <f t="shared" si="8"/>
        <v>613250.84</v>
      </c>
      <c r="O14" s="103">
        <f t="shared" si="9"/>
        <v>8.235705916</v>
      </c>
    </row>
    <row r="15">
      <c r="A15" s="19" t="s">
        <v>21</v>
      </c>
      <c r="B15" s="13"/>
      <c r="C15" s="13"/>
      <c r="D15" s="14"/>
      <c r="E15" s="14"/>
      <c r="F15" s="14"/>
      <c r="G15" s="14"/>
      <c r="H15" s="14"/>
      <c r="I15" s="14"/>
      <c r="J15" s="14"/>
      <c r="K15" s="14"/>
      <c r="L15" s="14"/>
      <c r="M15" s="14"/>
      <c r="N15" s="100">
        <f t="shared" si="8"/>
        <v>0</v>
      </c>
      <c r="O15" s="103">
        <f t="shared" si="9"/>
        <v>0</v>
      </c>
    </row>
    <row r="16">
      <c r="A16" s="19" t="s">
        <v>22</v>
      </c>
      <c r="B16" s="13"/>
      <c r="C16" s="13"/>
      <c r="D16" s="14"/>
      <c r="E16" s="14"/>
      <c r="F16" s="14"/>
      <c r="G16" s="14"/>
      <c r="H16" s="14"/>
      <c r="I16" s="14"/>
      <c r="J16" s="14"/>
      <c r="K16" s="14"/>
      <c r="L16" s="14"/>
      <c r="M16" s="14"/>
      <c r="N16" s="100">
        <f t="shared" si="8"/>
        <v>0</v>
      </c>
      <c r="O16" s="103">
        <f t="shared" si="9"/>
        <v>0</v>
      </c>
    </row>
    <row r="17">
      <c r="A17" s="19" t="s">
        <v>23</v>
      </c>
      <c r="B17" s="13"/>
      <c r="C17" s="13"/>
      <c r="D17" s="14"/>
      <c r="E17" s="14"/>
      <c r="F17" s="14"/>
      <c r="G17" s="14"/>
      <c r="H17" s="14"/>
      <c r="I17" s="17">
        <v>1434.0</v>
      </c>
      <c r="J17" s="17">
        <v>4272.0</v>
      </c>
      <c r="K17" s="17">
        <f>1535+1535+3070+1535</f>
        <v>7675</v>
      </c>
      <c r="L17" s="14">
        <f>4755</f>
        <v>4755</v>
      </c>
      <c r="M17" s="17">
        <v>0.0</v>
      </c>
      <c r="N17" s="100">
        <f t="shared" si="8"/>
        <v>18136</v>
      </c>
      <c r="O17" s="103">
        <f t="shared" si="9"/>
        <v>0.2435590019</v>
      </c>
    </row>
    <row r="18">
      <c r="A18" s="19" t="s">
        <v>24</v>
      </c>
      <c r="B18" s="14"/>
      <c r="C18" s="14"/>
      <c r="D18" s="14"/>
      <c r="E18" s="14"/>
      <c r="F18" s="14"/>
      <c r="G18" s="14"/>
      <c r="H18" s="14"/>
      <c r="I18" s="14"/>
      <c r="J18" s="14"/>
      <c r="K18" s="14"/>
      <c r="L18" s="14"/>
      <c r="M18" s="14"/>
      <c r="N18" s="100">
        <f t="shared" si="8"/>
        <v>0</v>
      </c>
      <c r="O18" s="103">
        <f t="shared" si="9"/>
        <v>0</v>
      </c>
    </row>
    <row r="19">
      <c r="A19" s="19" t="s">
        <v>25</v>
      </c>
      <c r="B19" s="14"/>
      <c r="C19" s="14"/>
      <c r="D19" s="14"/>
      <c r="E19" s="14"/>
      <c r="F19" s="14"/>
      <c r="G19" s="14"/>
      <c r="H19" s="14"/>
      <c r="I19" s="14"/>
      <c r="J19" s="14"/>
      <c r="K19" s="14"/>
      <c r="L19" s="14"/>
      <c r="M19" s="14"/>
      <c r="N19" s="100">
        <f t="shared" si="8"/>
        <v>0</v>
      </c>
      <c r="O19" s="103">
        <f t="shared" si="9"/>
        <v>0</v>
      </c>
    </row>
    <row r="20">
      <c r="A20" s="19" t="s">
        <v>47</v>
      </c>
      <c r="B20" s="14"/>
      <c r="C20" s="14"/>
      <c r="D20" s="14"/>
      <c r="E20" s="14"/>
      <c r="F20" s="14"/>
      <c r="G20" s="14"/>
      <c r="H20" s="14"/>
      <c r="I20" s="14"/>
      <c r="J20" s="14"/>
      <c r="K20" s="14"/>
      <c r="L20" s="14"/>
      <c r="M20" s="14"/>
      <c r="N20" s="100">
        <f t="shared" si="8"/>
        <v>0</v>
      </c>
      <c r="O20" s="103">
        <f t="shared" si="9"/>
        <v>0</v>
      </c>
    </row>
    <row r="21">
      <c r="A21" s="11" t="s">
        <v>27</v>
      </c>
      <c r="B21" s="14"/>
      <c r="C21" s="14"/>
      <c r="D21" s="14"/>
      <c r="E21" s="14"/>
      <c r="F21" s="14"/>
      <c r="G21" s="14"/>
      <c r="H21" s="14"/>
      <c r="I21" s="14"/>
      <c r="J21" s="14"/>
      <c r="K21" s="14"/>
      <c r="L21" s="14"/>
      <c r="M21" s="14"/>
      <c r="N21" s="100">
        <f t="shared" si="8"/>
        <v>0</v>
      </c>
      <c r="O21" s="103">
        <f t="shared" si="9"/>
        <v>0</v>
      </c>
    </row>
    <row r="22">
      <c r="A22" s="11" t="s">
        <v>62</v>
      </c>
      <c r="B22" s="14"/>
      <c r="C22" s="14"/>
      <c r="D22" s="14"/>
      <c r="E22" s="14"/>
      <c r="F22" s="14"/>
      <c r="G22" s="14"/>
      <c r="H22" s="14"/>
      <c r="I22" s="14"/>
      <c r="J22" s="14"/>
      <c r="K22" s="14"/>
      <c r="L22" s="14"/>
      <c r="M22" s="14"/>
      <c r="N22" s="100">
        <f t="shared" si="8"/>
        <v>0</v>
      </c>
      <c r="O22" s="103">
        <f t="shared" si="9"/>
        <v>0</v>
      </c>
    </row>
    <row r="23">
      <c r="A23" s="20" t="s">
        <v>29</v>
      </c>
      <c r="B23" s="34"/>
      <c r="C23" s="34"/>
      <c r="D23" s="34"/>
      <c r="E23" s="34"/>
      <c r="F23" s="14"/>
      <c r="G23" s="14"/>
      <c r="H23" s="14"/>
      <c r="I23" s="14"/>
      <c r="J23" s="14"/>
      <c r="K23" s="14"/>
      <c r="L23" s="14"/>
      <c r="M23" s="14"/>
      <c r="N23" s="100"/>
      <c r="O23" s="103"/>
    </row>
    <row r="24">
      <c r="A24" s="19" t="s">
        <v>30</v>
      </c>
      <c r="B24" s="33">
        <v>0.0</v>
      </c>
      <c r="C24" s="33">
        <v>0.0</v>
      </c>
      <c r="D24" s="34"/>
      <c r="E24" s="34"/>
      <c r="F24" s="14"/>
      <c r="G24" s="14"/>
      <c r="H24" s="14"/>
      <c r="I24" s="14"/>
      <c r="J24" s="14"/>
      <c r="K24" s="14"/>
      <c r="L24" s="14"/>
      <c r="M24" s="14"/>
      <c r="N24" s="100">
        <f t="shared" ref="N24:N29" si="10">sum(B24:M24)</f>
        <v>0</v>
      </c>
      <c r="O24" s="103">
        <f t="shared" ref="O24:O29" si="11">N24/$N$7</f>
        <v>0</v>
      </c>
    </row>
    <row r="25">
      <c r="A25" s="19" t="s">
        <v>31</v>
      </c>
      <c r="B25" s="17">
        <v>0.0</v>
      </c>
      <c r="C25" s="17">
        <v>1991.0</v>
      </c>
      <c r="D25" s="14">
        <f>24150</f>
        <v>24150</v>
      </c>
      <c r="E25" s="14">
        <f>5112</f>
        <v>5112</v>
      </c>
      <c r="F25" s="17">
        <v>550.0</v>
      </c>
      <c r="G25" s="17">
        <v>0.0</v>
      </c>
      <c r="H25" s="17">
        <v>8465.0</v>
      </c>
      <c r="I25" s="17">
        <v>0.0</v>
      </c>
      <c r="J25" s="17">
        <f>25257+59000/2</f>
        <v>54757</v>
      </c>
      <c r="K25" s="17">
        <f>26541+59000/2</f>
        <v>56041</v>
      </c>
      <c r="L25" s="17">
        <v>16015.0</v>
      </c>
      <c r="M25" s="17">
        <v>3870.0</v>
      </c>
      <c r="N25" s="100">
        <f t="shared" si="10"/>
        <v>170951</v>
      </c>
      <c r="O25" s="103">
        <f t="shared" si="11"/>
        <v>2.295801441</v>
      </c>
    </row>
    <row r="26">
      <c r="A26" s="19" t="s">
        <v>32</v>
      </c>
      <c r="B26" s="14"/>
      <c r="C26" s="14"/>
      <c r="D26" s="14"/>
      <c r="E26" s="14"/>
      <c r="F26" s="14"/>
      <c r="G26" s="14"/>
      <c r="H26" s="14"/>
      <c r="I26" s="14"/>
      <c r="J26" s="14"/>
      <c r="K26" s="14"/>
      <c r="L26" s="14"/>
      <c r="M26" s="14"/>
      <c r="N26" s="100">
        <f t="shared" si="10"/>
        <v>0</v>
      </c>
      <c r="O26" s="103">
        <f t="shared" si="11"/>
        <v>0</v>
      </c>
    </row>
    <row r="27">
      <c r="A27" s="19" t="s">
        <v>33</v>
      </c>
      <c r="B27" s="14">
        <f>HO!D41</f>
        <v>27532.44593</v>
      </c>
      <c r="C27" s="14">
        <f>HO!H41</f>
        <v>25159.24743</v>
      </c>
      <c r="D27" s="14">
        <f>HO!L41</f>
        <v>4475.17619</v>
      </c>
      <c r="E27" s="14">
        <f>HO!P41</f>
        <v>6180.450457</v>
      </c>
      <c r="F27" s="14">
        <f>HO!D60</f>
        <v>7589.637806</v>
      </c>
      <c r="G27" s="14">
        <f>HO!H60</f>
        <v>3200.536907</v>
      </c>
      <c r="H27" s="14">
        <f>HO!L60</f>
        <v>36296.44353</v>
      </c>
      <c r="I27" s="14">
        <f>HO!P60</f>
        <v>2568.461902</v>
      </c>
      <c r="J27" s="14">
        <f>HO!D79</f>
        <v>110008.3631</v>
      </c>
      <c r="K27" s="14">
        <f>HO!H79</f>
        <v>64466.91273</v>
      </c>
      <c r="L27" s="14">
        <f>HO!L79</f>
        <v>68331.16894</v>
      </c>
      <c r="M27" s="14">
        <f>HO!P79</f>
        <v>11050.18508</v>
      </c>
      <c r="N27" s="100">
        <f t="shared" si="10"/>
        <v>366859.03</v>
      </c>
      <c r="O27" s="103">
        <f t="shared" si="11"/>
        <v>4.926765504</v>
      </c>
    </row>
    <row r="28">
      <c r="A28" s="35" t="s">
        <v>34</v>
      </c>
      <c r="B28" s="36">
        <f t="shared" ref="B28:M28" si="12">+SUM(B14:B27)</f>
        <v>74772.80593</v>
      </c>
      <c r="C28" s="36">
        <f t="shared" si="12"/>
        <v>70145.90743</v>
      </c>
      <c r="D28" s="36">
        <f t="shared" si="12"/>
        <v>32715.17619</v>
      </c>
      <c r="E28" s="36">
        <f t="shared" si="12"/>
        <v>35882.45046</v>
      </c>
      <c r="F28" s="37">
        <f t="shared" si="12"/>
        <v>25257.63781</v>
      </c>
      <c r="G28" s="36">
        <f t="shared" si="12"/>
        <v>9198.326907</v>
      </c>
      <c r="H28" s="36">
        <f t="shared" si="12"/>
        <v>123677.0635</v>
      </c>
      <c r="I28" s="36">
        <f t="shared" si="12"/>
        <v>36698.4619</v>
      </c>
      <c r="J28" s="36">
        <f t="shared" si="12"/>
        <v>347159.3631</v>
      </c>
      <c r="K28" s="36">
        <f t="shared" si="12"/>
        <v>220942.4427</v>
      </c>
      <c r="L28" s="36">
        <f t="shared" si="12"/>
        <v>159738.9589</v>
      </c>
      <c r="M28" s="36">
        <f t="shared" si="12"/>
        <v>33008.27508</v>
      </c>
      <c r="N28" s="36">
        <f t="shared" si="10"/>
        <v>1169196.87</v>
      </c>
      <c r="O28" s="38">
        <f t="shared" si="11"/>
        <v>15.70183186</v>
      </c>
    </row>
    <row r="29">
      <c r="A29" s="39" t="s">
        <v>35</v>
      </c>
      <c r="B29" s="40">
        <f t="shared" ref="B29:M29" si="13">B13-B28</f>
        <v>60970.05407</v>
      </c>
      <c r="C29" s="40">
        <f t="shared" si="13"/>
        <v>55056.09257</v>
      </c>
      <c r="D29" s="40">
        <f t="shared" si="13"/>
        <v>-10215.17619</v>
      </c>
      <c r="E29" s="40">
        <f t="shared" si="13"/>
        <v>-6987.670457</v>
      </c>
      <c r="F29" s="40">
        <f t="shared" si="13"/>
        <v>13432.36219</v>
      </c>
      <c r="G29" s="40">
        <f t="shared" si="13"/>
        <v>5682.623093</v>
      </c>
      <c r="H29" s="40">
        <f t="shared" si="13"/>
        <v>64670.25647</v>
      </c>
      <c r="I29" s="40">
        <f t="shared" si="13"/>
        <v>-24793.4619</v>
      </c>
      <c r="J29" s="40">
        <f t="shared" si="13"/>
        <v>237052.0569</v>
      </c>
      <c r="K29" s="40">
        <f t="shared" si="13"/>
        <v>109823.5573</v>
      </c>
      <c r="L29" s="40">
        <f t="shared" si="13"/>
        <v>166864.0411</v>
      </c>
      <c r="M29" s="40">
        <f t="shared" si="13"/>
        <v>26991.72492</v>
      </c>
      <c r="N29" s="40">
        <f t="shared" si="10"/>
        <v>698546.46</v>
      </c>
      <c r="O29" s="41">
        <f t="shared" si="11"/>
        <v>9.381190922</v>
      </c>
    </row>
    <row r="30">
      <c r="A30" s="42" t="s">
        <v>36</v>
      </c>
      <c r="B30" s="43">
        <f t="shared" ref="B30:M30" si="14">(B14/B13)</f>
        <v>0.3480135898</v>
      </c>
      <c r="C30" s="43">
        <f t="shared" si="14"/>
        <v>0.3434103289</v>
      </c>
      <c r="D30" s="43">
        <f t="shared" si="14"/>
        <v>0.1817777778</v>
      </c>
      <c r="E30" s="43">
        <f t="shared" si="14"/>
        <v>0.8510187653</v>
      </c>
      <c r="F30" s="44">
        <f t="shared" si="14"/>
        <v>0.442439907</v>
      </c>
      <c r="G30" s="43">
        <f t="shared" si="14"/>
        <v>0.4030515525</v>
      </c>
      <c r="H30" s="43">
        <f t="shared" si="14"/>
        <v>0.4189898747</v>
      </c>
      <c r="I30" s="43">
        <f t="shared" si="14"/>
        <v>2.746409072</v>
      </c>
      <c r="J30" s="43">
        <f t="shared" si="14"/>
        <v>0.3048930471</v>
      </c>
      <c r="K30" s="43">
        <f t="shared" si="14"/>
        <v>0.2804385275</v>
      </c>
      <c r="L30" s="43">
        <f t="shared" si="14"/>
        <v>0.2162802852</v>
      </c>
      <c r="M30" s="43">
        <f t="shared" si="14"/>
        <v>0.3014681667</v>
      </c>
      <c r="N30" s="45"/>
      <c r="O30" s="45"/>
    </row>
    <row r="31">
      <c r="A31" s="104" t="s">
        <v>63</v>
      </c>
      <c r="B31" s="34"/>
      <c r="C31" s="34"/>
      <c r="D31" s="34"/>
      <c r="E31" s="34"/>
      <c r="F31" s="105"/>
      <c r="G31" s="34"/>
      <c r="H31" s="34"/>
      <c r="I31" s="34"/>
      <c r="J31" s="34"/>
      <c r="K31" s="34"/>
      <c r="L31" s="34"/>
      <c r="M31" s="34"/>
      <c r="N31" s="34"/>
      <c r="O31" s="34"/>
    </row>
    <row r="32">
      <c r="A32" s="106" t="s">
        <v>64</v>
      </c>
      <c r="B32" s="107">
        <f t="shared" ref="B32:M32" si="15">B29-B31</f>
        <v>60970.05407</v>
      </c>
      <c r="C32" s="107">
        <f t="shared" si="15"/>
        <v>55056.09257</v>
      </c>
      <c r="D32" s="107">
        <f t="shared" si="15"/>
        <v>-10215.17619</v>
      </c>
      <c r="E32" s="107">
        <f t="shared" si="15"/>
        <v>-6987.670457</v>
      </c>
      <c r="F32" s="108">
        <f t="shared" si="15"/>
        <v>13432.36219</v>
      </c>
      <c r="G32" s="107">
        <f t="shared" si="15"/>
        <v>5682.623093</v>
      </c>
      <c r="H32" s="107">
        <f t="shared" si="15"/>
        <v>64670.25647</v>
      </c>
      <c r="I32" s="107">
        <f t="shared" si="15"/>
        <v>-24793.4619</v>
      </c>
      <c r="J32" s="107">
        <f t="shared" si="15"/>
        <v>237052.0569</v>
      </c>
      <c r="K32" s="107">
        <f t="shared" si="15"/>
        <v>109823.5573</v>
      </c>
      <c r="L32" s="107">
        <f t="shared" si="15"/>
        <v>166864.0411</v>
      </c>
      <c r="M32" s="107">
        <f t="shared" si="15"/>
        <v>26991.72492</v>
      </c>
      <c r="N32" s="107">
        <f>sum(B32:J32)</f>
        <v>394867.1367</v>
      </c>
      <c r="O32" s="11"/>
    </row>
  </sheetData>
  <mergeCells count="1">
    <mergeCell ref="N1:O1"/>
  </mergeCells>
  <drawing r:id="rId2"/>
  <legacyDrawing r:id="rId3"/>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28.13"/>
  </cols>
  <sheetData>
    <row r="1">
      <c r="A1" s="109" t="s">
        <v>65</v>
      </c>
      <c r="B1" s="110"/>
      <c r="C1" s="110"/>
      <c r="D1" s="110"/>
      <c r="E1" s="111"/>
      <c r="F1" s="111"/>
      <c r="G1" s="111"/>
      <c r="H1" s="111"/>
      <c r="I1" s="111"/>
      <c r="J1" s="111"/>
      <c r="K1" s="111"/>
      <c r="L1" s="111"/>
      <c r="M1" s="111"/>
      <c r="N1" s="112"/>
    </row>
    <row r="2">
      <c r="A2" s="110"/>
      <c r="B2" s="2">
        <v>45748.0</v>
      </c>
      <c r="C2" s="2">
        <v>45778.0</v>
      </c>
      <c r="D2" s="2">
        <v>45809.0</v>
      </c>
      <c r="E2" s="2">
        <v>45839.0</v>
      </c>
      <c r="F2" s="4">
        <v>45870.0</v>
      </c>
      <c r="G2" s="2">
        <v>45901.0</v>
      </c>
      <c r="H2" s="2">
        <v>45931.0</v>
      </c>
      <c r="I2" s="2">
        <v>45962.0</v>
      </c>
      <c r="J2" s="2">
        <v>45992.0</v>
      </c>
      <c r="K2" s="2">
        <v>46023.0</v>
      </c>
      <c r="L2" s="2">
        <v>46054.0</v>
      </c>
      <c r="M2" s="2">
        <v>46082.0</v>
      </c>
      <c r="N2" s="113" t="s">
        <v>66</v>
      </c>
    </row>
    <row r="3">
      <c r="A3" s="114" t="s">
        <v>6</v>
      </c>
      <c r="B3" s="116"/>
      <c r="C3" s="116"/>
      <c r="D3" s="116"/>
      <c r="E3" s="116"/>
      <c r="F3" s="116"/>
      <c r="G3" s="116"/>
      <c r="H3" s="116"/>
      <c r="I3" s="116"/>
      <c r="J3" s="116"/>
      <c r="K3" s="116"/>
      <c r="L3" s="116"/>
      <c r="M3" s="116"/>
      <c r="N3" s="116"/>
    </row>
    <row r="4">
      <c r="A4" s="118" t="s">
        <v>7</v>
      </c>
      <c r="B4" s="120">
        <f>139290+2389491</f>
        <v>2528781</v>
      </c>
      <c r="C4" s="120">
        <f t="shared" ref="C4:M4" si="1">B7</f>
        <v>2612629.96</v>
      </c>
      <c r="D4" s="120">
        <f t="shared" si="1"/>
        <v>3413231.55</v>
      </c>
      <c r="E4" s="120">
        <f t="shared" si="1"/>
        <v>2995928.11</v>
      </c>
      <c r="F4" s="120">
        <f t="shared" si="1"/>
        <v>2044978.35</v>
      </c>
      <c r="G4" s="120">
        <f t="shared" si="1"/>
        <v>1888493.37</v>
      </c>
      <c r="H4" s="120">
        <f t="shared" si="1"/>
        <v>2826898.71</v>
      </c>
      <c r="I4" s="120">
        <f t="shared" si="1"/>
        <v>2378071.46</v>
      </c>
      <c r="J4" s="120">
        <f t="shared" si="1"/>
        <v>2343748.72</v>
      </c>
      <c r="K4" s="120">
        <f t="shared" si="1"/>
        <v>1994992</v>
      </c>
      <c r="L4" s="120">
        <f t="shared" si="1"/>
        <v>1284174.36</v>
      </c>
      <c r="M4" s="120">
        <f t="shared" si="1"/>
        <v>1288606.94</v>
      </c>
      <c r="N4" s="122"/>
    </row>
    <row r="5">
      <c r="A5" s="118" t="s">
        <v>9</v>
      </c>
      <c r="B5" s="120">
        <f>4871913.52+14757</f>
        <v>4886670.52</v>
      </c>
      <c r="C5" s="125">
        <f>5978965.48+150618</f>
        <v>6129583.48</v>
      </c>
      <c r="D5" s="120">
        <f>4410397.38</f>
        <v>4410397.38</v>
      </c>
      <c r="E5" s="120">
        <f>4260557.88+26311</f>
        <v>4286868.88</v>
      </c>
      <c r="F5" s="125">
        <f>5238075.39+19042</f>
        <v>5257117.39</v>
      </c>
      <c r="G5" s="120">
        <f>6392719.83+15025.17</f>
        <v>6407745</v>
      </c>
      <c r="H5" s="120">
        <f>4762375.58+3345</f>
        <v>4765720.58</v>
      </c>
      <c r="I5" s="125">
        <f>4886362.52+36240</f>
        <v>4922602.52</v>
      </c>
      <c r="J5" s="125">
        <v>4533887.0</v>
      </c>
      <c r="K5" s="120">
        <f>4314139.06+4132</f>
        <v>4318271.06</v>
      </c>
      <c r="L5" s="120">
        <f>4596632.79+24671</f>
        <v>4621303.79</v>
      </c>
      <c r="M5" s="120">
        <f>5833894.09</f>
        <v>5833894.09</v>
      </c>
      <c r="N5" s="129">
        <f t="shared" ref="N5:N6" si="2">SUM(B5:M5)</f>
        <v>60374061.69</v>
      </c>
      <c r="P5" s="130"/>
    </row>
    <row r="6">
      <c r="A6" s="118" t="s">
        <v>10</v>
      </c>
      <c r="B6" s="120">
        <f>4579002.68</f>
        <v>4579002.68</v>
      </c>
      <c r="C6" s="125">
        <v>5130957.23</v>
      </c>
      <c r="D6" s="120">
        <f>4651925.43</f>
        <v>4651925.43</v>
      </c>
      <c r="E6" s="125">
        <f>5950498.63-871360</f>
        <v>5079138.63</v>
      </c>
      <c r="F6" s="125">
        <v>5152924.67</v>
      </c>
      <c r="G6" s="125">
        <v>5475159.4</v>
      </c>
      <c r="H6" s="125">
        <v>5184590.42</v>
      </c>
      <c r="I6" s="125">
        <v>4971189.0</v>
      </c>
      <c r="J6" s="125">
        <f>4997565-28827</f>
        <v>4968738</v>
      </c>
      <c r="K6" s="125">
        <f>5310105-225092</f>
        <v>5085013</v>
      </c>
      <c r="L6" s="120">
        <f>4765038</f>
        <v>4765038</v>
      </c>
      <c r="M6" s="120">
        <f>5737248.57</f>
        <v>5737248.57</v>
      </c>
      <c r="N6" s="129">
        <f t="shared" si="2"/>
        <v>60780925.03</v>
      </c>
      <c r="P6" s="130">
        <f>N5</f>
        <v>60374061.69</v>
      </c>
      <c r="Q6" s="71">
        <f>60337594+66379</f>
        <v>60403973</v>
      </c>
      <c r="R6" s="130">
        <f>P6-Q6</f>
        <v>-29911.31</v>
      </c>
    </row>
    <row r="7">
      <c r="A7" s="118" t="s">
        <v>12</v>
      </c>
      <c r="B7" s="120">
        <f>217928.77+2394701.19</f>
        <v>2612629.96</v>
      </c>
      <c r="C7" s="125">
        <f>3096192.84+317038.71</f>
        <v>3413231.55</v>
      </c>
      <c r="D7" s="131">
        <f>2732846.11+263082</f>
        <v>2995928.11</v>
      </c>
      <c r="E7" s="131">
        <f>1771574.42+273403.93</f>
        <v>2044978.35</v>
      </c>
      <c r="F7" s="132">
        <f>1636134.96+252358.41</f>
        <v>1888493.37</v>
      </c>
      <c r="G7" s="131">
        <f>2483493.71+343405</f>
        <v>2826898.71</v>
      </c>
      <c r="H7" s="132">
        <f>2080271.65+297799.81</f>
        <v>2378071.46</v>
      </c>
      <c r="I7" s="132">
        <f>2073136+270612.72</f>
        <v>2343748.72</v>
      </c>
      <c r="J7" s="132">
        <f>1723140+271852</f>
        <v>1994992</v>
      </c>
      <c r="K7" s="132">
        <f>1120140.36+164034</f>
        <v>1284174.36</v>
      </c>
      <c r="L7" s="132">
        <f>1101635.94+186971</f>
        <v>1288606.94</v>
      </c>
      <c r="M7" s="125">
        <f>1208807.74+198769.98</f>
        <v>1407577.72</v>
      </c>
      <c r="N7" s="122"/>
      <c r="P7" s="134">
        <v>5.3852561E7</v>
      </c>
      <c r="Q7" s="71">
        <f>53028578+8700</f>
        <v>53037278</v>
      </c>
    </row>
    <row r="8">
      <c r="A8" s="116"/>
      <c r="B8" s="116"/>
      <c r="C8" s="116"/>
      <c r="D8" s="116"/>
      <c r="E8" s="116"/>
      <c r="F8" s="116"/>
      <c r="G8" s="116"/>
      <c r="H8" s="136"/>
      <c r="I8" s="136"/>
      <c r="J8" s="136"/>
      <c r="K8" s="136"/>
      <c r="L8" s="136"/>
      <c r="M8" s="136"/>
      <c r="N8" s="116"/>
      <c r="P8" s="130">
        <f t="shared" ref="P8:Q8" si="3">P6+P7</f>
        <v>114226622.7</v>
      </c>
      <c r="Q8" s="138">
        <f t="shared" si="3"/>
        <v>113441251</v>
      </c>
      <c r="R8" s="130">
        <f>P8-Q8</f>
        <v>785371.69</v>
      </c>
    </row>
    <row r="9">
      <c r="A9" s="141" t="s">
        <v>79</v>
      </c>
      <c r="B9" s="120">
        <f t="shared" ref="B9:M9" si="4">B4+B5-B6-B7</f>
        <v>223818.88</v>
      </c>
      <c r="C9" s="120">
        <f t="shared" si="4"/>
        <v>198024.66</v>
      </c>
      <c r="D9" s="120">
        <f t="shared" si="4"/>
        <v>175775.39</v>
      </c>
      <c r="E9" s="120">
        <f t="shared" si="4"/>
        <v>158680.01</v>
      </c>
      <c r="F9" s="120">
        <f t="shared" si="4"/>
        <v>260677.7</v>
      </c>
      <c r="G9" s="120">
        <f t="shared" si="4"/>
        <v>-5819.74</v>
      </c>
      <c r="H9" s="120">
        <f t="shared" si="4"/>
        <v>29957.41</v>
      </c>
      <c r="I9" s="120">
        <f t="shared" si="4"/>
        <v>-14263.74</v>
      </c>
      <c r="J9" s="120">
        <f t="shared" si="4"/>
        <v>-86094.28</v>
      </c>
      <c r="K9" s="120">
        <f t="shared" si="4"/>
        <v>-55924.3</v>
      </c>
      <c r="L9" s="120">
        <f t="shared" si="4"/>
        <v>-148166.79</v>
      </c>
      <c r="M9" s="120">
        <f t="shared" si="4"/>
        <v>-22325.26</v>
      </c>
      <c r="N9" s="129">
        <f>sum(B9:M9)</f>
        <v>714339.94</v>
      </c>
    </row>
    <row r="10">
      <c r="A10" s="118" t="s">
        <v>81</v>
      </c>
      <c r="B10" s="120">
        <f>30562.24</f>
        <v>30562.24</v>
      </c>
      <c r="C10" s="120">
        <f>38134+3676</f>
        <v>41810</v>
      </c>
      <c r="D10" s="120">
        <f>3292+34089</f>
        <v>37381</v>
      </c>
      <c r="E10" s="120">
        <f>2494+43330.83</f>
        <v>45824.83</v>
      </c>
      <c r="F10" s="120">
        <f>2835+57003</f>
        <v>59838</v>
      </c>
      <c r="G10" s="120">
        <f>1546+63444.36</f>
        <v>64990.36</v>
      </c>
      <c r="H10" s="120">
        <f>5435.35+60553</f>
        <v>65988.35</v>
      </c>
      <c r="I10" s="120">
        <f>2386.87+53894</f>
        <v>56280.87</v>
      </c>
      <c r="J10" s="120">
        <f>58030+497</f>
        <v>58527</v>
      </c>
      <c r="K10" s="120">
        <f>3488+55270</f>
        <v>58758</v>
      </c>
      <c r="L10" s="120">
        <f>3340+31038.45</f>
        <v>34378.45</v>
      </c>
      <c r="M10" s="120">
        <f>1281.74</f>
        <v>1281.74</v>
      </c>
      <c r="N10" s="129">
        <f t="shared" ref="N10:N26" si="5">SUM(B10:M10)</f>
        <v>555620.84</v>
      </c>
    </row>
    <row r="11">
      <c r="A11" s="141" t="s">
        <v>21</v>
      </c>
      <c r="B11" s="120">
        <f>168560</f>
        <v>168560</v>
      </c>
      <c r="C11" s="120">
        <v>225150.0</v>
      </c>
      <c r="D11" s="120">
        <v>193150.0</v>
      </c>
      <c r="E11" s="125">
        <v>202780.0</v>
      </c>
      <c r="F11" s="125">
        <v>198190.0</v>
      </c>
      <c r="G11" s="125">
        <v>228000.0</v>
      </c>
      <c r="H11" s="125">
        <v>206330.0</v>
      </c>
      <c r="I11" s="125">
        <v>156480.0</v>
      </c>
      <c r="J11" s="120">
        <f>142900</f>
        <v>142900</v>
      </c>
      <c r="K11" s="125">
        <v>134170.0</v>
      </c>
      <c r="L11" s="125">
        <f>162320</f>
        <v>162320</v>
      </c>
      <c r="M11" s="120">
        <f>187120</f>
        <v>187120</v>
      </c>
      <c r="N11" s="129">
        <f t="shared" si="5"/>
        <v>2205150</v>
      </c>
    </row>
    <row r="12">
      <c r="A12" s="141" t="s">
        <v>22</v>
      </c>
      <c r="B12" s="120">
        <f t="shared" ref="B12:J12" si="6">4718.82</f>
        <v>4718.82</v>
      </c>
      <c r="C12" s="120">
        <f t="shared" si="6"/>
        <v>4718.82</v>
      </c>
      <c r="D12" s="120">
        <f t="shared" si="6"/>
        <v>4718.82</v>
      </c>
      <c r="E12" s="120">
        <f t="shared" si="6"/>
        <v>4718.82</v>
      </c>
      <c r="F12" s="120">
        <f t="shared" si="6"/>
        <v>4718.82</v>
      </c>
      <c r="G12" s="120">
        <f t="shared" si="6"/>
        <v>4718.82</v>
      </c>
      <c r="H12" s="120">
        <f t="shared" si="6"/>
        <v>4718.82</v>
      </c>
      <c r="I12" s="120">
        <f t="shared" si="6"/>
        <v>4718.82</v>
      </c>
      <c r="J12" s="120">
        <f t="shared" si="6"/>
        <v>4718.82</v>
      </c>
      <c r="K12" s="125">
        <v>4718.82</v>
      </c>
      <c r="L12" s="125">
        <v>4718.82</v>
      </c>
      <c r="M12" s="125">
        <v>4718.82</v>
      </c>
      <c r="N12" s="129">
        <f t="shared" si="5"/>
        <v>56625.84</v>
      </c>
    </row>
    <row r="13">
      <c r="A13" s="141" t="s">
        <v>23</v>
      </c>
      <c r="B13" s="120">
        <f>140097</f>
        <v>140097</v>
      </c>
      <c r="C13" s="120">
        <f>130164-1272</f>
        <v>128892</v>
      </c>
      <c r="D13" s="120">
        <f>17601+17601+17601+17601+17601+17601+17601</f>
        <v>123207</v>
      </c>
      <c r="E13" s="120">
        <f>125305-2992</f>
        <v>122313</v>
      </c>
      <c r="F13" s="125">
        <v>120894.0</v>
      </c>
      <c r="G13" s="120">
        <f>121919</f>
        <v>121919</v>
      </c>
      <c r="H13" s="125">
        <v>137104.0</v>
      </c>
      <c r="I13" s="125">
        <v>111852.0</v>
      </c>
      <c r="J13" s="125">
        <v>116768.0</v>
      </c>
      <c r="K13" s="125">
        <v>136615.0</v>
      </c>
      <c r="L13" s="120">
        <f>112503</f>
        <v>112503</v>
      </c>
      <c r="M13" s="120">
        <f>80*3556</f>
        <v>284480</v>
      </c>
      <c r="N13" s="129">
        <f t="shared" si="5"/>
        <v>1656644</v>
      </c>
    </row>
    <row r="14">
      <c r="A14" s="141" t="s">
        <v>87</v>
      </c>
      <c r="B14" s="120"/>
      <c r="C14" s="120"/>
      <c r="D14" s="120"/>
      <c r="E14" s="146"/>
      <c r="F14" s="120"/>
      <c r="G14" s="120"/>
      <c r="H14" s="120"/>
      <c r="I14" s="120"/>
      <c r="J14" s="120"/>
      <c r="K14" s="120"/>
      <c r="L14" s="120"/>
      <c r="M14" s="120"/>
      <c r="N14" s="129">
        <f t="shared" si="5"/>
        <v>0</v>
      </c>
    </row>
    <row r="15">
      <c r="A15" s="141" t="s">
        <v>88</v>
      </c>
      <c r="B15" s="120">
        <f t="shared" ref="B15:M15" si="7">162840+108560</f>
        <v>271400</v>
      </c>
      <c r="C15" s="120">
        <f t="shared" si="7"/>
        <v>271400</v>
      </c>
      <c r="D15" s="120">
        <f t="shared" si="7"/>
        <v>271400</v>
      </c>
      <c r="E15" s="120">
        <f t="shared" si="7"/>
        <v>271400</v>
      </c>
      <c r="F15" s="120">
        <f t="shared" si="7"/>
        <v>271400</v>
      </c>
      <c r="G15" s="120">
        <f t="shared" si="7"/>
        <v>271400</v>
      </c>
      <c r="H15" s="120">
        <f t="shared" si="7"/>
        <v>271400</v>
      </c>
      <c r="I15" s="120">
        <f t="shared" si="7"/>
        <v>271400</v>
      </c>
      <c r="J15" s="120">
        <f t="shared" si="7"/>
        <v>271400</v>
      </c>
      <c r="K15" s="120">
        <f t="shared" si="7"/>
        <v>271400</v>
      </c>
      <c r="L15" s="120">
        <f t="shared" si="7"/>
        <v>271400</v>
      </c>
      <c r="M15" s="120">
        <f t="shared" si="7"/>
        <v>271400</v>
      </c>
      <c r="N15" s="129">
        <f t="shared" si="5"/>
        <v>3256800</v>
      </c>
    </row>
    <row r="16">
      <c r="A16" s="141" t="s">
        <v>25</v>
      </c>
      <c r="B16" s="120">
        <f t="shared" ref="B16:K16" si="8">8358</f>
        <v>8358</v>
      </c>
      <c r="C16" s="120">
        <f t="shared" si="8"/>
        <v>8358</v>
      </c>
      <c r="D16" s="120">
        <f t="shared" si="8"/>
        <v>8358</v>
      </c>
      <c r="E16" s="120">
        <f t="shared" si="8"/>
        <v>8358</v>
      </c>
      <c r="F16" s="120">
        <f t="shared" si="8"/>
        <v>8358</v>
      </c>
      <c r="G16" s="120">
        <f t="shared" si="8"/>
        <v>8358</v>
      </c>
      <c r="H16" s="120">
        <f t="shared" si="8"/>
        <v>8358</v>
      </c>
      <c r="I16" s="120">
        <f t="shared" si="8"/>
        <v>8358</v>
      </c>
      <c r="J16" s="120">
        <f t="shared" si="8"/>
        <v>8358</v>
      </c>
      <c r="K16" s="120">
        <f t="shared" si="8"/>
        <v>8358</v>
      </c>
      <c r="L16" s="120">
        <f t="shared" ref="L16:M16" si="9">100300/12</f>
        <v>8358.333333</v>
      </c>
      <c r="M16" s="120">
        <f t="shared" si="9"/>
        <v>8358.333333</v>
      </c>
      <c r="N16" s="129">
        <f t="shared" si="5"/>
        <v>100296.6667</v>
      </c>
    </row>
    <row r="17">
      <c r="A17" s="148" t="s">
        <v>47</v>
      </c>
      <c r="B17" s="120">
        <f>434090+132169+19512+11716+12500+75789+221815/12</f>
        <v>704260.5833</v>
      </c>
      <c r="C17" s="120">
        <f>443231+117369+19092+11704+75789+12500+221815/12</f>
        <v>698169.5833</v>
      </c>
      <c r="D17" s="120">
        <f>289088.5+134044.2+11426.29+123968+75789+12052+18876+12500+221815/12</f>
        <v>696228.5733</v>
      </c>
      <c r="E17" s="120">
        <f>431249.25+168182+75789+18948+11764+12500+221815/12</f>
        <v>736916.8333</v>
      </c>
      <c r="F17" s="120">
        <f>154712+18816+11752+75711+12500+437987+221815/12</f>
        <v>729962.5833</v>
      </c>
      <c r="G17" s="120">
        <f>436670.33+221815/12+154385+75711+19296+11920+12500+6500</f>
        <v>735466.9133</v>
      </c>
      <c r="H17" s="120">
        <f>212815/12+428489.54+148288+74844+11900+29692</f>
        <v>710948.1233</v>
      </c>
      <c r="I17" s="120">
        <f>212815/12+450497+108873+75386+12500+17004+11104</f>
        <v>693098.5833</v>
      </c>
      <c r="J17" s="120">
        <f>212815/12+450149+104576+75633+16500+10804+12500</f>
        <v>687896.5833</v>
      </c>
      <c r="K17" s="120">
        <f>212815/12+121978+75789+16500+10804+12500+437431</f>
        <v>692736.5833</v>
      </c>
      <c r="L17" s="120">
        <f>212815/12+74570+12500+107074+16224+10852+485539</f>
        <v>724493.5833</v>
      </c>
      <c r="M17" s="120">
        <f>212815/12+29164+137470+12500+74133+478264</f>
        <v>749265.5833</v>
      </c>
      <c r="N17" s="129">
        <f t="shared" si="5"/>
        <v>8559444.11</v>
      </c>
    </row>
    <row r="18">
      <c r="A18" s="141" t="s">
        <v>93</v>
      </c>
      <c r="B18" s="120"/>
      <c r="C18" s="120"/>
      <c r="D18" s="120"/>
      <c r="E18" s="120"/>
      <c r="F18" s="120"/>
      <c r="G18" s="120"/>
      <c r="H18" s="120"/>
      <c r="I18" s="120"/>
      <c r="J18" s="120"/>
      <c r="K18" s="120"/>
      <c r="L18" s="120"/>
      <c r="M18" s="120"/>
      <c r="N18" s="129">
        <f t="shared" si="5"/>
        <v>0</v>
      </c>
    </row>
    <row r="19">
      <c r="A19" s="20" t="s">
        <v>29</v>
      </c>
      <c r="B19" s="120">
        <v>0.0</v>
      </c>
      <c r="C19" s="120">
        <f t="shared" ref="C19:F19" si="10">958.97+19811/12</f>
        <v>2609.886667</v>
      </c>
      <c r="D19" s="120">
        <f t="shared" si="10"/>
        <v>2609.886667</v>
      </c>
      <c r="E19" s="120">
        <f t="shared" si="10"/>
        <v>2609.886667</v>
      </c>
      <c r="F19" s="120">
        <f t="shared" si="10"/>
        <v>2609.886667</v>
      </c>
      <c r="G19" s="120">
        <f t="shared" ref="G19:M19" si="11">958.97+19811/12+18666/12</f>
        <v>4165.386667</v>
      </c>
      <c r="H19" s="120">
        <f t="shared" si="11"/>
        <v>4165.386667</v>
      </c>
      <c r="I19" s="120">
        <f t="shared" si="11"/>
        <v>4165.386667</v>
      </c>
      <c r="J19" s="120">
        <f t="shared" si="11"/>
        <v>4165.386667</v>
      </c>
      <c r="K19" s="120">
        <f t="shared" si="11"/>
        <v>4165.386667</v>
      </c>
      <c r="L19" s="120">
        <f t="shared" si="11"/>
        <v>4165.386667</v>
      </c>
      <c r="M19" s="120">
        <f t="shared" si="11"/>
        <v>4165.386667</v>
      </c>
      <c r="N19" s="129">
        <f t="shared" si="5"/>
        <v>39597.25333</v>
      </c>
    </row>
    <row r="20">
      <c r="A20" s="149" t="s">
        <v>30</v>
      </c>
      <c r="B20" s="120">
        <v>17695.0</v>
      </c>
      <c r="C20" s="120">
        <v>28995.0</v>
      </c>
      <c r="D20" s="120">
        <f>112210</f>
        <v>112210</v>
      </c>
      <c r="E20" s="120">
        <f>78285</f>
        <v>78285</v>
      </c>
      <c r="F20" s="120">
        <f>22161</f>
        <v>22161</v>
      </c>
      <c r="G20" s="120">
        <f>60478.82</f>
        <v>60478.82</v>
      </c>
      <c r="H20" s="125">
        <v>53550.0</v>
      </c>
      <c r="I20" s="125">
        <v>244380.0</v>
      </c>
      <c r="J20" s="120">
        <f>51684</f>
        <v>51684</v>
      </c>
      <c r="K20" s="125">
        <v>102319.0</v>
      </c>
      <c r="L20" s="125">
        <v>71632.0</v>
      </c>
      <c r="M20" s="120">
        <f>79968</f>
        <v>79968</v>
      </c>
      <c r="N20" s="129">
        <f t="shared" si="5"/>
        <v>923357.82</v>
      </c>
    </row>
    <row r="21">
      <c r="A21" s="149" t="s">
        <v>94</v>
      </c>
      <c r="B21" s="120"/>
      <c r="C21" s="120"/>
      <c r="D21" s="120"/>
      <c r="E21" s="120"/>
      <c r="F21" s="120"/>
      <c r="G21" s="120"/>
      <c r="H21" s="120"/>
      <c r="I21" s="120"/>
      <c r="J21" s="120"/>
      <c r="K21" s="120"/>
      <c r="L21" s="120"/>
      <c r="M21" s="120"/>
      <c r="N21" s="129">
        <f t="shared" si="5"/>
        <v>0</v>
      </c>
    </row>
    <row r="22">
      <c r="A22" s="149" t="s">
        <v>27</v>
      </c>
      <c r="B22" s="120">
        <f>4850+7670+9440</f>
        <v>21960</v>
      </c>
      <c r="C22" s="129">
        <f>2850+7670+9440</f>
        <v>19960</v>
      </c>
      <c r="D22" s="129">
        <f>2850+7670+9440+68027/12</f>
        <v>25628.91667</v>
      </c>
      <c r="E22" s="120">
        <f>68027/12+9440+2400+3060+7670</f>
        <v>28238.91667</v>
      </c>
      <c r="F22" s="120">
        <f>68027/12+7670+2400+9440</f>
        <v>25178.91667</v>
      </c>
      <c r="G22" s="120">
        <f t="shared" ref="G22:H22" si="12">68027/12+9440+4380+7670</f>
        <v>27158.91667</v>
      </c>
      <c r="H22" s="120">
        <f t="shared" si="12"/>
        <v>27158.91667</v>
      </c>
      <c r="I22" s="120">
        <f>68027/12+9440+5370+7670</f>
        <v>28148.91667</v>
      </c>
      <c r="J22" s="120">
        <f>68027/12+2680+7670+9440</f>
        <v>25458.91667</v>
      </c>
      <c r="K22" s="120">
        <f>68027/12+9440+2680+7670</f>
        <v>25458.91667</v>
      </c>
      <c r="L22" s="120">
        <f>68027/12+3000+8437+9440</f>
        <v>26545.91667</v>
      </c>
      <c r="M22" s="120">
        <f>68027/12+9440+2850+8437</f>
        <v>26395.91667</v>
      </c>
      <c r="N22" s="129">
        <f t="shared" si="5"/>
        <v>307293.1667</v>
      </c>
    </row>
    <row r="23">
      <c r="A23" s="148" t="s">
        <v>28</v>
      </c>
      <c r="B23" s="120">
        <f t="shared" ref="B23:G23" si="13">16500/3</f>
        <v>5500</v>
      </c>
      <c r="C23" s="120">
        <f t="shared" si="13"/>
        <v>5500</v>
      </c>
      <c r="D23" s="120">
        <f t="shared" si="13"/>
        <v>5500</v>
      </c>
      <c r="E23" s="120">
        <f t="shared" si="13"/>
        <v>5500</v>
      </c>
      <c r="F23" s="120">
        <f t="shared" si="13"/>
        <v>5500</v>
      </c>
      <c r="G23" s="120">
        <f t="shared" si="13"/>
        <v>5500</v>
      </c>
      <c r="H23" s="125">
        <v>0.0</v>
      </c>
      <c r="I23" s="120"/>
      <c r="J23" s="120"/>
      <c r="K23" s="120"/>
      <c r="L23" s="120"/>
      <c r="M23" s="120"/>
      <c r="N23" s="129">
        <f t="shared" si="5"/>
        <v>33000</v>
      </c>
    </row>
    <row r="24">
      <c r="A24" s="141" t="s">
        <v>31</v>
      </c>
      <c r="B24" s="120">
        <f>139338+25000*1.18-75402</f>
        <v>93436</v>
      </c>
      <c r="C24" s="120">
        <f>207443.67-80778</f>
        <v>126665.67</v>
      </c>
      <c r="D24" s="120">
        <v>50201.0</v>
      </c>
      <c r="E24" s="120">
        <f>79697</f>
        <v>79697</v>
      </c>
      <c r="F24" s="120">
        <f>115017</f>
        <v>115017</v>
      </c>
      <c r="G24" s="125">
        <v>208034.64</v>
      </c>
      <c r="H24" s="125">
        <f>77961+40261</f>
        <v>118222</v>
      </c>
      <c r="I24" s="125">
        <v>113658.0</v>
      </c>
      <c r="J24" s="120">
        <f>98705+38954</f>
        <v>137659</v>
      </c>
      <c r="K24" s="125">
        <v>107488.0</v>
      </c>
      <c r="L24" s="125">
        <v>147383.0</v>
      </c>
      <c r="M24" s="125">
        <f>82104</f>
        <v>82104</v>
      </c>
      <c r="N24" s="129">
        <f t="shared" si="5"/>
        <v>1379565.31</v>
      </c>
    </row>
    <row r="25">
      <c r="A25" s="141" t="s">
        <v>98</v>
      </c>
      <c r="B25" s="120"/>
      <c r="C25" s="120"/>
      <c r="D25" s="120"/>
      <c r="E25" s="120"/>
      <c r="F25" s="120"/>
      <c r="G25" s="120"/>
      <c r="H25" s="120"/>
      <c r="I25" s="120"/>
      <c r="J25" s="120"/>
      <c r="K25" s="120"/>
      <c r="L25" s="120"/>
      <c r="M25" s="120"/>
      <c r="N25" s="129">
        <f t="shared" si="5"/>
        <v>0</v>
      </c>
    </row>
    <row r="26">
      <c r="A26" s="104" t="s">
        <v>99</v>
      </c>
      <c r="B26" s="120">
        <f>75402</f>
        <v>75402</v>
      </c>
      <c r="C26" s="120">
        <v>80778.0</v>
      </c>
      <c r="D26" s="120">
        <v>67898.0</v>
      </c>
      <c r="E26" s="120">
        <f>10500+68040</f>
        <v>78540</v>
      </c>
      <c r="F26" s="120">
        <f>71595</f>
        <v>71595</v>
      </c>
      <c r="G26" s="125">
        <v>70281.0</v>
      </c>
      <c r="H26" s="125">
        <v>69897.0</v>
      </c>
      <c r="I26" s="150">
        <v>70000.0</v>
      </c>
      <c r="J26" s="125">
        <v>69880.0</v>
      </c>
      <c r="K26" s="125">
        <v>69612.0</v>
      </c>
      <c r="L26" s="125">
        <v>68327.0</v>
      </c>
      <c r="M26" s="150">
        <v>71500.0</v>
      </c>
      <c r="N26" s="129">
        <f t="shared" si="5"/>
        <v>863710</v>
      </c>
    </row>
    <row r="27">
      <c r="A27" s="151" t="s">
        <v>34</v>
      </c>
      <c r="B27" s="65">
        <f t="shared" ref="B27:M27" si="14">SUM(B10:B26)</f>
        <v>1541949.643</v>
      </c>
      <c r="C27" s="65">
        <f t="shared" si="14"/>
        <v>1643006.96</v>
      </c>
      <c r="D27" s="65">
        <f t="shared" si="14"/>
        <v>1598491.197</v>
      </c>
      <c r="E27" s="65">
        <f t="shared" si="14"/>
        <v>1665182.287</v>
      </c>
      <c r="F27" s="65">
        <f t="shared" si="14"/>
        <v>1635423.207</v>
      </c>
      <c r="G27" s="65">
        <f t="shared" si="14"/>
        <v>1810471.857</v>
      </c>
      <c r="H27" s="65">
        <f t="shared" si="14"/>
        <v>1677840.597</v>
      </c>
      <c r="I27" s="65">
        <f t="shared" si="14"/>
        <v>1762540.577</v>
      </c>
      <c r="J27" s="65">
        <f t="shared" si="14"/>
        <v>1579415.707</v>
      </c>
      <c r="K27" s="65">
        <f t="shared" si="14"/>
        <v>1615799.707</v>
      </c>
      <c r="L27" s="65">
        <f t="shared" si="14"/>
        <v>1636225.49</v>
      </c>
      <c r="M27" s="65">
        <f t="shared" si="14"/>
        <v>1770757.78</v>
      </c>
      <c r="N27" s="65">
        <f>sum(B27:M27)</f>
        <v>19937105.01</v>
      </c>
    </row>
    <row r="28">
      <c r="N28" s="71" t="s">
        <v>103</v>
      </c>
    </row>
    <row r="29">
      <c r="B29" s="153"/>
    </row>
    <row r="32">
      <c r="K32" s="138">
        <f>12+16+9+9++12+11+2</f>
        <v>71</v>
      </c>
    </row>
    <row r="34">
      <c r="K34" s="138">
        <f>32550+24000</f>
        <v>56550</v>
      </c>
    </row>
  </sheetData>
  <drawing r:id="rId4"/>
  <legacyDrawing r:id="rId5"/>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63"/>
  </cols>
  <sheetData>
    <row r="1">
      <c r="A1" s="3" t="s">
        <v>2</v>
      </c>
      <c r="B1" s="2">
        <v>45770.0</v>
      </c>
      <c r="C1" s="2">
        <v>45800.0</v>
      </c>
      <c r="D1" s="2">
        <v>45831.0</v>
      </c>
      <c r="E1" s="2">
        <v>45861.0</v>
      </c>
      <c r="F1" s="2">
        <v>45900.0</v>
      </c>
      <c r="G1" s="2">
        <v>45925.0</v>
      </c>
      <c r="H1" s="2">
        <v>45953.0</v>
      </c>
      <c r="I1" s="2">
        <v>45984.0</v>
      </c>
      <c r="J1" s="2">
        <v>46014.0</v>
      </c>
      <c r="K1" s="2">
        <v>46046.0</v>
      </c>
      <c r="L1" s="2">
        <v>46077.0</v>
      </c>
      <c r="M1" s="2">
        <v>46105.0</v>
      </c>
      <c r="N1" s="115" t="s">
        <v>67</v>
      </c>
    </row>
    <row r="2">
      <c r="A2" s="117" t="s">
        <v>68</v>
      </c>
      <c r="B2" s="14"/>
      <c r="C2" s="14"/>
      <c r="D2" s="14"/>
      <c r="E2" s="14"/>
      <c r="F2" s="14"/>
      <c r="G2" s="119"/>
      <c r="H2" s="14"/>
      <c r="I2" s="14"/>
      <c r="J2" s="14"/>
      <c r="K2" s="14"/>
      <c r="L2" s="14"/>
      <c r="M2" s="14"/>
      <c r="N2" s="15">
        <f t="shared" ref="N2:N12" si="1">+SUM(B2:M2)</f>
        <v>0</v>
      </c>
    </row>
    <row r="3">
      <c r="A3" s="121" t="s">
        <v>69</v>
      </c>
      <c r="B3" s="14"/>
      <c r="C3" s="14"/>
      <c r="D3" s="14"/>
      <c r="E3" s="14">
        <f>19000+700</f>
        <v>19700</v>
      </c>
      <c r="F3" s="14">
        <v>0.0</v>
      </c>
      <c r="G3" s="14">
        <v>0.0</v>
      </c>
      <c r="H3" s="14">
        <v>0.0</v>
      </c>
      <c r="I3" s="14">
        <f>121500-17000</f>
        <v>104500</v>
      </c>
      <c r="J3" s="123">
        <v>-75000.0</v>
      </c>
      <c r="K3" s="124">
        <v>0.0</v>
      </c>
      <c r="L3" s="123">
        <v>0.0</v>
      </c>
      <c r="M3" s="123">
        <v>0.0</v>
      </c>
      <c r="N3" s="15">
        <f t="shared" si="1"/>
        <v>49200</v>
      </c>
    </row>
    <row r="4">
      <c r="A4" s="121" t="s">
        <v>70</v>
      </c>
      <c r="B4" s="14"/>
      <c r="C4" s="14"/>
      <c r="D4" s="14"/>
      <c r="E4" s="14"/>
      <c r="F4" s="14">
        <f>5000</f>
        <v>5000</v>
      </c>
      <c r="G4" s="14">
        <v>0.0</v>
      </c>
      <c r="H4" s="14">
        <v>0.0</v>
      </c>
      <c r="I4" s="17">
        <v>0.0</v>
      </c>
      <c r="J4" s="123">
        <v>0.0</v>
      </c>
      <c r="K4" s="124">
        <v>0.0</v>
      </c>
      <c r="L4" s="126">
        <f>8500+3000+7000+15000+25000</f>
        <v>58500</v>
      </c>
      <c r="M4" s="123">
        <v>47500.0</v>
      </c>
      <c r="N4" s="15">
        <f t="shared" si="1"/>
        <v>111000</v>
      </c>
    </row>
    <row r="5">
      <c r="A5" s="121" t="s">
        <v>71</v>
      </c>
      <c r="B5" s="14"/>
      <c r="C5" s="14"/>
      <c r="D5" s="14"/>
      <c r="E5" s="14"/>
      <c r="F5" s="14">
        <f>28500+5900</f>
        <v>34400</v>
      </c>
      <c r="G5" s="14">
        <f>19000</f>
        <v>19000</v>
      </c>
      <c r="H5" s="14">
        <f>18000</f>
        <v>18000</v>
      </c>
      <c r="I5" s="17">
        <v>17000.0</v>
      </c>
      <c r="J5" s="126">
        <f>19500</f>
        <v>19500</v>
      </c>
      <c r="K5" s="127">
        <f>16000</f>
        <v>16000</v>
      </c>
      <c r="L5" s="123">
        <v>0.0</v>
      </c>
      <c r="M5" s="123">
        <f>9000+33000</f>
        <v>42000</v>
      </c>
      <c r="N5" s="15">
        <f t="shared" si="1"/>
        <v>165900</v>
      </c>
    </row>
    <row r="6">
      <c r="A6" s="128" t="s">
        <v>72</v>
      </c>
      <c r="B6" s="14">
        <v>0.0</v>
      </c>
      <c r="C6" s="14">
        <v>12227.87</v>
      </c>
      <c r="D6" s="14">
        <v>11608.0</v>
      </c>
      <c r="E6" s="14">
        <f>2047</f>
        <v>2047</v>
      </c>
      <c r="F6" s="14">
        <v>0.0</v>
      </c>
      <c r="G6" s="14">
        <v>11488.53</v>
      </c>
      <c r="H6" s="14">
        <v>0.0</v>
      </c>
      <c r="I6" s="17">
        <v>0.0</v>
      </c>
      <c r="J6" s="123">
        <f>27178.83</f>
        <v>27178.83</v>
      </c>
      <c r="K6" s="127">
        <f>141470.58</f>
        <v>141470.58</v>
      </c>
      <c r="L6" s="126">
        <f>98725</f>
        <v>98725</v>
      </c>
      <c r="M6" s="123">
        <f>80616.64</f>
        <v>80616.64</v>
      </c>
      <c r="N6" s="15">
        <f t="shared" si="1"/>
        <v>385362.45</v>
      </c>
    </row>
    <row r="7">
      <c r="A7" s="128" t="s">
        <v>73</v>
      </c>
      <c r="B7" s="14">
        <v>121968.0</v>
      </c>
      <c r="C7" s="14">
        <v>190055.18</v>
      </c>
      <c r="D7" s="17">
        <v>257556.0</v>
      </c>
      <c r="E7" s="14">
        <f>242507</f>
        <v>242507</v>
      </c>
      <c r="F7" s="14">
        <f>208396.83</f>
        <v>208396.83</v>
      </c>
      <c r="G7" s="14">
        <v>227102.49</v>
      </c>
      <c r="H7" s="14">
        <f>231136.14</f>
        <v>231136.14</v>
      </c>
      <c r="I7" s="14">
        <f>197847.6+35612.56</f>
        <v>233460.16</v>
      </c>
      <c r="J7" s="126">
        <f>151274+27229</f>
        <v>178503</v>
      </c>
      <c r="K7" s="127">
        <f>195308+35659</f>
        <v>230967</v>
      </c>
      <c r="L7" s="126">
        <f>216162+10640</f>
        <v>226802</v>
      </c>
      <c r="M7" s="126">
        <f>186920+33645</f>
        <v>220565</v>
      </c>
      <c r="N7" s="15">
        <f t="shared" si="1"/>
        <v>2569018.8</v>
      </c>
    </row>
    <row r="8">
      <c r="A8" s="128" t="s">
        <v>74</v>
      </c>
      <c r="B8" s="14">
        <v>413921.0</v>
      </c>
      <c r="C8" s="14">
        <v>372969.56</v>
      </c>
      <c r="D8" s="14">
        <f>238358.4+119538+42904+21516</f>
        <v>422316.4</v>
      </c>
      <c r="E8" s="14">
        <f>100316+19296</f>
        <v>119612</v>
      </c>
      <c r="F8" s="14">
        <f>234248+43881</f>
        <v>278129</v>
      </c>
      <c r="G8" s="14">
        <f>214813+40290+10977</f>
        <v>266080</v>
      </c>
      <c r="H8" s="14">
        <f>229148+41246</f>
        <v>270394</v>
      </c>
      <c r="I8" s="14">
        <f>206611+37313</f>
        <v>243924</v>
      </c>
      <c r="J8" s="126">
        <f>146116+144407+26300+25993</f>
        <v>342816</v>
      </c>
      <c r="K8" s="127">
        <f>256504+46171</f>
        <v>302675</v>
      </c>
      <c r="L8" s="126">
        <f>117189+21094+46094</f>
        <v>184377</v>
      </c>
      <c r="M8" s="126">
        <f>309340.66+55681.34</f>
        <v>365022</v>
      </c>
      <c r="N8" s="15">
        <f t="shared" si="1"/>
        <v>3582235.96</v>
      </c>
    </row>
    <row r="9">
      <c r="A9" s="128" t="s">
        <v>76</v>
      </c>
      <c r="B9" s="14">
        <v>35400.0</v>
      </c>
      <c r="C9" s="14">
        <v>35400.0</v>
      </c>
      <c r="D9" s="14">
        <v>35400.0</v>
      </c>
      <c r="E9" s="14">
        <f t="shared" ref="E9:G9" si="2">35400</f>
        <v>35400</v>
      </c>
      <c r="F9" s="14">
        <f t="shared" si="2"/>
        <v>35400</v>
      </c>
      <c r="G9" s="14">
        <f t="shared" si="2"/>
        <v>35400</v>
      </c>
      <c r="H9" s="14">
        <v>35400.0</v>
      </c>
      <c r="I9" s="17">
        <v>35400.0</v>
      </c>
      <c r="J9" s="123">
        <v>35400.0</v>
      </c>
      <c r="K9" s="124">
        <v>35400.0</v>
      </c>
      <c r="L9" s="123">
        <v>35400.0</v>
      </c>
      <c r="M9" s="123">
        <v>35400.0</v>
      </c>
      <c r="N9" s="15">
        <f t="shared" si="1"/>
        <v>424800</v>
      </c>
    </row>
    <row r="10">
      <c r="A10" s="121" t="s">
        <v>77</v>
      </c>
      <c r="B10" s="14">
        <v>23600.0</v>
      </c>
      <c r="C10" s="14">
        <v>27730.0</v>
      </c>
      <c r="D10" s="14">
        <v>27730.0</v>
      </c>
      <c r="E10" s="14">
        <v>0.0</v>
      </c>
      <c r="F10" s="14">
        <v>0.0</v>
      </c>
      <c r="G10" s="14">
        <v>0.0</v>
      </c>
      <c r="H10" s="14">
        <f>5546+27730</f>
        <v>33276</v>
      </c>
      <c r="I10" s="14">
        <f>5546+12637.8+5546+23600+1180</f>
        <v>48509.8</v>
      </c>
      <c r="J10" s="123">
        <v>131666.0</v>
      </c>
      <c r="K10" s="127">
        <f>30680+6136+61360</f>
        <v>98176</v>
      </c>
      <c r="L10" s="126">
        <f>61360</f>
        <v>61360</v>
      </c>
      <c r="M10" s="126">
        <f>104472.48-4880.48+35400</f>
        <v>134992</v>
      </c>
      <c r="N10" s="15">
        <f t="shared" si="1"/>
        <v>587039.8</v>
      </c>
    </row>
    <row r="11">
      <c r="A11" s="121" t="s">
        <v>80</v>
      </c>
      <c r="B11" s="14">
        <f>23700</f>
        <v>23700</v>
      </c>
      <c r="C11" s="14">
        <v>6500.0</v>
      </c>
      <c r="D11" s="14">
        <f>11000+14500+24780</f>
        <v>50280</v>
      </c>
      <c r="E11" s="14">
        <v>5900.0</v>
      </c>
      <c r="F11" s="14">
        <v>10710.0</v>
      </c>
      <c r="G11" s="14">
        <f>16000+17000+20000</f>
        <v>53000</v>
      </c>
      <c r="H11" s="14">
        <v>0.0</v>
      </c>
      <c r="I11" s="14">
        <f>21840+3750+25930+7000</f>
        <v>58520</v>
      </c>
      <c r="J11" s="123">
        <v>108050.0</v>
      </c>
      <c r="K11" s="124">
        <v>0.0</v>
      </c>
      <c r="L11" s="123">
        <v>0.0</v>
      </c>
      <c r="M11" s="126">
        <f>22949</f>
        <v>22949</v>
      </c>
      <c r="N11" s="15">
        <f t="shared" si="1"/>
        <v>339609</v>
      </c>
    </row>
    <row r="12">
      <c r="A12" s="35" t="s">
        <v>82</v>
      </c>
      <c r="B12" s="36">
        <f t="shared" ref="B12:M12" si="3">sum(B6:B11)</f>
        <v>618589</v>
      </c>
      <c r="C12" s="36">
        <f t="shared" si="3"/>
        <v>644882.61</v>
      </c>
      <c r="D12" s="36">
        <f t="shared" si="3"/>
        <v>804890.4</v>
      </c>
      <c r="E12" s="36">
        <f t="shared" si="3"/>
        <v>405466</v>
      </c>
      <c r="F12" s="36">
        <f t="shared" si="3"/>
        <v>532635.83</v>
      </c>
      <c r="G12" s="36">
        <f t="shared" si="3"/>
        <v>593071.02</v>
      </c>
      <c r="H12" s="36">
        <f t="shared" si="3"/>
        <v>570206.14</v>
      </c>
      <c r="I12" s="36">
        <f t="shared" si="3"/>
        <v>619813.96</v>
      </c>
      <c r="J12" s="36">
        <f t="shared" si="3"/>
        <v>823613.83</v>
      </c>
      <c r="K12" s="36">
        <f t="shared" si="3"/>
        <v>808688.58</v>
      </c>
      <c r="L12" s="36">
        <f t="shared" si="3"/>
        <v>606664</v>
      </c>
      <c r="M12" s="36">
        <f t="shared" si="3"/>
        <v>859544.64</v>
      </c>
      <c r="N12" s="36">
        <f t="shared" si="1"/>
        <v>7888066.01</v>
      </c>
    </row>
    <row r="14">
      <c r="A14" s="145"/>
    </row>
    <row r="15">
      <c r="C15" s="134"/>
    </row>
    <row r="16">
      <c r="C16" s="134"/>
    </row>
    <row r="17">
      <c r="C17" s="134"/>
    </row>
    <row r="18">
      <c r="C18" s="130"/>
    </row>
    <row r="19">
      <c r="C19" s="134"/>
    </row>
  </sheetData>
  <drawing r:id="rId4"/>
  <legacyDrawing r:id="rId5"/>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26.88"/>
  </cols>
  <sheetData>
    <row r="1">
      <c r="A1" s="133" t="s">
        <v>75</v>
      </c>
      <c r="B1" s="135">
        <v>45748.0</v>
      </c>
      <c r="C1" s="135">
        <v>45778.0</v>
      </c>
      <c r="D1" s="135">
        <v>45809.0</v>
      </c>
      <c r="E1" s="135">
        <v>45839.0</v>
      </c>
      <c r="F1" s="137">
        <v>45870.0</v>
      </c>
      <c r="G1" s="135">
        <v>45901.0</v>
      </c>
      <c r="H1" s="135">
        <v>45931.0</v>
      </c>
      <c r="I1" s="135">
        <v>45962.0</v>
      </c>
      <c r="J1" s="135">
        <v>45992.0</v>
      </c>
      <c r="K1" s="135">
        <v>46023.0</v>
      </c>
      <c r="L1" s="135">
        <v>46054.0</v>
      </c>
      <c r="M1" s="135">
        <v>46082.0</v>
      </c>
      <c r="N1" s="135">
        <v>46113.0</v>
      </c>
      <c r="O1" s="139" t="s">
        <v>66</v>
      </c>
      <c r="P1" s="140"/>
    </row>
    <row r="2">
      <c r="A2" s="104" t="s">
        <v>78</v>
      </c>
      <c r="B2" s="13">
        <f>'Central Kitchen - Kolkata'!B27</f>
        <v>1541949.643</v>
      </c>
      <c r="C2" s="13">
        <f>'Central Kitchen - Kolkata'!C27</f>
        <v>1643006.96</v>
      </c>
      <c r="D2" s="13">
        <f>'Central Kitchen - Kolkata'!D27</f>
        <v>1598491.197</v>
      </c>
      <c r="E2" s="13">
        <f>'Central Kitchen - Kolkata'!E27</f>
        <v>1665182.287</v>
      </c>
      <c r="F2" s="13">
        <f>'Central Kitchen - Kolkata'!F27</f>
        <v>1635423.207</v>
      </c>
      <c r="G2" s="13">
        <f>'Central Kitchen - Kolkata'!G27</f>
        <v>1810471.857</v>
      </c>
      <c r="H2" s="13">
        <f>'Central Kitchen - Kolkata'!H27</f>
        <v>1677840.597</v>
      </c>
      <c r="I2" s="13">
        <f>'Central Kitchen - Kolkata'!I27</f>
        <v>1762540.577</v>
      </c>
      <c r="J2" s="13">
        <f>'Central Kitchen - Kolkata'!J27</f>
        <v>1579415.707</v>
      </c>
      <c r="K2" s="13">
        <f>'Central Kitchen - Kolkata'!K27</f>
        <v>1615799.707</v>
      </c>
      <c r="L2" s="13">
        <f>'Central Kitchen - Kolkata'!L27</f>
        <v>1636225.49</v>
      </c>
      <c r="M2" s="13">
        <f>'Central Kitchen - Kolkata'!M27</f>
        <v>1770757.78</v>
      </c>
      <c r="N2" s="13"/>
      <c r="O2" s="142">
        <f t="shared" ref="O2:O21" si="1">sum(B2:M2)</f>
        <v>19937105.01</v>
      </c>
      <c r="P2" s="112"/>
    </row>
    <row r="3">
      <c r="A3" s="104" t="s">
        <v>83</v>
      </c>
      <c r="B3" s="13"/>
      <c r="C3" s="13"/>
      <c r="D3" s="13"/>
      <c r="E3" s="110"/>
      <c r="F3" s="110"/>
      <c r="G3" s="110"/>
      <c r="H3" s="110"/>
      <c r="I3" s="110"/>
      <c r="J3" s="110"/>
      <c r="K3" s="110"/>
      <c r="L3" s="110"/>
      <c r="M3" s="110"/>
      <c r="N3" s="13"/>
      <c r="O3" s="142">
        <f t="shared" si="1"/>
        <v>0</v>
      </c>
      <c r="P3" s="112"/>
    </row>
    <row r="4">
      <c r="A4" s="104" t="s">
        <v>84</v>
      </c>
      <c r="B4" s="13"/>
      <c r="C4" s="13"/>
      <c r="D4" s="13"/>
      <c r="E4" s="110"/>
      <c r="F4" s="110"/>
      <c r="G4" s="110"/>
      <c r="H4" s="110"/>
      <c r="I4" s="110"/>
      <c r="J4" s="110"/>
      <c r="K4" s="110"/>
      <c r="L4" s="110"/>
      <c r="M4" s="110"/>
      <c r="N4" s="13"/>
      <c r="O4" s="142">
        <f t="shared" si="1"/>
        <v>0</v>
      </c>
      <c r="P4" s="112"/>
    </row>
    <row r="5">
      <c r="A5" s="104" t="s">
        <v>85</v>
      </c>
      <c r="B5" s="13">
        <f t="shared" ref="B5:M5" si="2">352.82</f>
        <v>352.82</v>
      </c>
      <c r="C5" s="13">
        <f t="shared" si="2"/>
        <v>352.82</v>
      </c>
      <c r="D5" s="13">
        <f t="shared" si="2"/>
        <v>352.82</v>
      </c>
      <c r="E5" s="13">
        <f t="shared" si="2"/>
        <v>352.82</v>
      </c>
      <c r="F5" s="13">
        <f t="shared" si="2"/>
        <v>352.82</v>
      </c>
      <c r="G5" s="13">
        <f t="shared" si="2"/>
        <v>352.82</v>
      </c>
      <c r="H5" s="13">
        <f t="shared" si="2"/>
        <v>352.82</v>
      </c>
      <c r="I5" s="13">
        <f t="shared" si="2"/>
        <v>352.82</v>
      </c>
      <c r="J5" s="13">
        <f t="shared" si="2"/>
        <v>352.82</v>
      </c>
      <c r="K5" s="13">
        <f t="shared" si="2"/>
        <v>352.82</v>
      </c>
      <c r="L5" s="13">
        <f t="shared" si="2"/>
        <v>352.82</v>
      </c>
      <c r="M5" s="13">
        <f t="shared" si="2"/>
        <v>352.82</v>
      </c>
      <c r="N5" s="13"/>
      <c r="O5" s="142">
        <f t="shared" si="1"/>
        <v>4233.84</v>
      </c>
      <c r="P5" s="143"/>
    </row>
    <row r="6">
      <c r="A6" s="144" t="s">
        <v>86</v>
      </c>
      <c r="B6" s="13">
        <f>1138079.16+124740+310667+70000+14000+12946+12944+617366/12+120000/12</f>
        <v>1744823.327</v>
      </c>
      <c r="C6" s="13">
        <f>1121351+70000+14000+306287+12251+120978+617366/12+120000/12</f>
        <v>1706314.167</v>
      </c>
      <c r="D6" s="13">
        <f>451324.16+187858.68+520392.6+250+70000+14000+12130+2123+303000+120000+617366/12+120000/12</f>
        <v>1742525.607</v>
      </c>
      <c r="E6" s="13">
        <f>1049245+128836+14000+70000+327600+13104+129189+617366/12++120000/12</f>
        <v>1793421.167</v>
      </c>
      <c r="F6" s="13">
        <f>14000+70000+1176263+327600+13104+129189+617366/12++120000/12</f>
        <v>1791603.167</v>
      </c>
      <c r="G6" s="147">
        <f>1044245+127018+617366/12+70000+14000+327600+129189+13104++120000/12</f>
        <v>1786603.167</v>
      </c>
      <c r="H6" s="13">
        <f>617366/12+1157721.38+70000+14000+327600+129189+13104++120000/12</f>
        <v>1773061.547</v>
      </c>
      <c r="I6" s="13">
        <f>617366/12+952330+160212+70000+14000+376191+15674+15674+80501++120000/12</f>
        <v>1746029.167</v>
      </c>
      <c r="J6" s="13">
        <f>617366/12+941293+128672+70000+14000+384215+80339+120000/12</f>
        <v>1679966.167</v>
      </c>
      <c r="K6" s="13">
        <f>617366/12+70000+14000+12000+1151636+384849+53448+120000/12</f>
        <v>1747380.167</v>
      </c>
      <c r="L6" s="13">
        <f>617366/12+942821+93457+70000+14000+386164+54695+16089+120000/12</f>
        <v>1638673.167</v>
      </c>
      <c r="M6" s="13">
        <f>617366/12+70000+14000+120000/12+1180672+386164+54695+16089</f>
        <v>1783067.167</v>
      </c>
      <c r="N6" s="13">
        <f>617366/12</f>
        <v>51447.16667</v>
      </c>
      <c r="O6" s="142">
        <f t="shared" si="1"/>
        <v>20933467.98</v>
      </c>
      <c r="P6" s="143"/>
    </row>
    <row r="7">
      <c r="A7" s="104" t="s">
        <v>89</v>
      </c>
      <c r="B7" s="13"/>
      <c r="C7" s="13"/>
      <c r="D7" s="13"/>
      <c r="E7" s="110"/>
      <c r="F7" s="110"/>
      <c r="G7" s="110"/>
      <c r="H7" s="110"/>
      <c r="I7" s="110"/>
      <c r="J7" s="110"/>
      <c r="K7" s="110"/>
      <c r="L7" s="110"/>
      <c r="M7" s="110"/>
      <c r="N7" s="13"/>
      <c r="O7" s="142">
        <f t="shared" si="1"/>
        <v>0</v>
      </c>
      <c r="P7" s="112"/>
    </row>
    <row r="8">
      <c r="A8" s="104" t="s">
        <v>31</v>
      </c>
      <c r="B8" s="13">
        <v>29409.0</v>
      </c>
      <c r="C8" s="13">
        <v>46797.14</v>
      </c>
      <c r="D8" s="13">
        <v>125829.0</v>
      </c>
      <c r="E8" s="16">
        <v>58336.0</v>
      </c>
      <c r="F8" s="13">
        <f>64786.04</f>
        <v>64786.04</v>
      </c>
      <c r="G8" s="13">
        <f>170827.03</f>
        <v>170827.03</v>
      </c>
      <c r="H8" s="16">
        <v>29816.0</v>
      </c>
      <c r="I8" s="13">
        <f>108654</f>
        <v>108654</v>
      </c>
      <c r="J8" s="16">
        <v>73760.0</v>
      </c>
      <c r="K8" s="16">
        <v>88709.0</v>
      </c>
      <c r="L8" s="16">
        <v>35743.0</v>
      </c>
      <c r="M8" s="13">
        <f>122232</f>
        <v>122232</v>
      </c>
      <c r="N8" s="13"/>
      <c r="O8" s="142">
        <f t="shared" si="1"/>
        <v>954898.21</v>
      </c>
      <c r="P8" s="112"/>
    </row>
    <row r="9">
      <c r="A9" s="104" t="s">
        <v>90</v>
      </c>
      <c r="B9" s="13"/>
      <c r="C9" s="13"/>
      <c r="D9" s="13"/>
      <c r="E9" s="13"/>
      <c r="F9" s="13"/>
      <c r="G9" s="13"/>
      <c r="H9" s="13"/>
      <c r="I9" s="13">
        <f t="shared" ref="I9:N9" si="3">18017/12</f>
        <v>1501.416667</v>
      </c>
      <c r="J9" s="13">
        <f t="shared" si="3"/>
        <v>1501.416667</v>
      </c>
      <c r="K9" s="13">
        <f t="shared" si="3"/>
        <v>1501.416667</v>
      </c>
      <c r="L9" s="13">
        <f t="shared" si="3"/>
        <v>1501.416667</v>
      </c>
      <c r="M9" s="13">
        <f t="shared" si="3"/>
        <v>1501.416667</v>
      </c>
      <c r="N9" s="13">
        <f t="shared" si="3"/>
        <v>1501.416667</v>
      </c>
      <c r="O9" s="142">
        <f t="shared" si="1"/>
        <v>7507.083333</v>
      </c>
      <c r="P9" s="112"/>
    </row>
    <row r="10">
      <c r="A10" s="104" t="s">
        <v>91</v>
      </c>
      <c r="B10" s="13"/>
      <c r="C10" s="13"/>
      <c r="D10" s="13"/>
      <c r="E10" s="110"/>
      <c r="F10" s="110"/>
      <c r="G10" s="110"/>
      <c r="H10" s="110"/>
      <c r="I10" s="110"/>
      <c r="J10" s="110"/>
      <c r="K10" s="110"/>
      <c r="L10" s="110"/>
      <c r="M10" s="110"/>
      <c r="N10" s="13"/>
      <c r="O10" s="142">
        <f t="shared" si="1"/>
        <v>0</v>
      </c>
      <c r="P10" s="112"/>
    </row>
    <row r="11">
      <c r="A11" s="104" t="s">
        <v>92</v>
      </c>
      <c r="B11" s="13">
        <f>4000+7000+177000/12</f>
        <v>25750</v>
      </c>
      <c r="C11" s="13">
        <f>4000+10000+9000+8640+7560+7000+177000+177000/12</f>
        <v>237950</v>
      </c>
      <c r="D11" s="13">
        <f>24780+7000+4000+177000/12</f>
        <v>50530</v>
      </c>
      <c r="E11" s="13">
        <f>4000+70000+24780+206500+53100+62500+177000/12</f>
        <v>435630</v>
      </c>
      <c r="F11" s="13">
        <f>4000+7000+42480+23010+42480+177000/12</f>
        <v>133720</v>
      </c>
      <c r="G11" s="13">
        <f>200000+43450+18550+4000+7000+2000+27258+177000/12</f>
        <v>317008</v>
      </c>
      <c r="H11" s="13">
        <f>177000/12+4000+7000+2000+27258+4000+7000+5900</f>
        <v>71908</v>
      </c>
      <c r="I11" s="13">
        <f>177000/12+17700+3107/12+3322/12+27258</f>
        <v>60243.75</v>
      </c>
      <c r="J11" s="13">
        <f>177000/12+4000+27258+5900+7000</f>
        <v>58908</v>
      </c>
      <c r="K11" s="13">
        <f>177000/12+27258+7000+20000+4000+47200</f>
        <v>120208</v>
      </c>
      <c r="L11" s="13">
        <f>177000/12+7000+45000+27258+4000</f>
        <v>98008</v>
      </c>
      <c r="M11" s="13">
        <f>177000/12+27258+4000+11800+7000+2500</f>
        <v>67308</v>
      </c>
      <c r="N11" s="13">
        <f>177000/12</f>
        <v>14750</v>
      </c>
      <c r="O11" s="142">
        <f t="shared" si="1"/>
        <v>1677171.75</v>
      </c>
      <c r="P11" s="112"/>
    </row>
    <row r="12">
      <c r="A12" s="104" t="s">
        <v>95</v>
      </c>
      <c r="B12" s="13"/>
      <c r="C12" s="13"/>
      <c r="D12" s="13"/>
      <c r="E12" s="110"/>
      <c r="F12" s="110"/>
      <c r="G12" s="110"/>
      <c r="H12" s="110"/>
      <c r="I12" s="110"/>
      <c r="J12" s="13"/>
      <c r="K12" s="110"/>
      <c r="L12" s="110"/>
      <c r="M12" s="110"/>
      <c r="N12" s="13"/>
      <c r="O12" s="142">
        <f t="shared" si="1"/>
        <v>0</v>
      </c>
      <c r="P12" s="112"/>
    </row>
    <row r="13">
      <c r="A13" s="104" t="s">
        <v>96</v>
      </c>
      <c r="B13" s="13"/>
      <c r="C13" s="13"/>
      <c r="D13" s="13"/>
      <c r="E13" s="110"/>
      <c r="F13" s="110"/>
      <c r="G13" s="110"/>
      <c r="H13" s="110"/>
      <c r="I13" s="110"/>
      <c r="J13" s="110"/>
      <c r="K13" s="110"/>
      <c r="L13" s="110"/>
      <c r="M13" s="110"/>
      <c r="N13" s="13"/>
      <c r="O13" s="142">
        <f t="shared" si="1"/>
        <v>0</v>
      </c>
      <c r="P13" s="112"/>
    </row>
    <row r="14">
      <c r="A14" s="104" t="s">
        <v>97</v>
      </c>
      <c r="B14" s="13">
        <f>223616/12+14868/12+108886/3</f>
        <v>56169</v>
      </c>
      <c r="C14" s="13">
        <f t="shared" ref="C14:D14" si="4">223616/12+14868/12+104214/3</f>
        <v>54611.66667</v>
      </c>
      <c r="D14" s="13">
        <f t="shared" si="4"/>
        <v>54611.66667</v>
      </c>
      <c r="E14" s="13">
        <f>223616/12+25595/2+104214/3</f>
        <v>66170.16667</v>
      </c>
      <c r="F14" s="13">
        <f>223616/12+25595/2+108037/3</f>
        <v>67444.5</v>
      </c>
      <c r="G14" s="13">
        <f>223616/12+108037/3</f>
        <v>54647</v>
      </c>
      <c r="H14" s="13">
        <f>223616/12+108037/3+1226+17607.54/12+1757</f>
        <v>59097.295</v>
      </c>
      <c r="I14" s="13">
        <f t="shared" ref="I14:J14" si="5">223616/12+108867/3+17607.54/12</f>
        <v>56390.96167</v>
      </c>
      <c r="J14" s="13">
        <f t="shared" si="5"/>
        <v>56390.96167</v>
      </c>
      <c r="K14" s="13">
        <f>223616/12+108867/3+17607.54/12+11037/3+5097/3</f>
        <v>61768.96167</v>
      </c>
      <c r="L14" s="13">
        <f>223616/12+17607.54/12+109948/3+1272+11037/3+5097/3</f>
        <v>63401.295</v>
      </c>
      <c r="M14" s="13">
        <f>223616/12+17607.54/12+109848/3+11037/3+17700/12+5097/3</f>
        <v>63570.96167</v>
      </c>
      <c r="N14" s="13">
        <f>223616/12+17607.54/12+109848/3</f>
        <v>56717.96167</v>
      </c>
      <c r="O14" s="142">
        <f t="shared" si="1"/>
        <v>714274.4367</v>
      </c>
      <c r="P14" s="112"/>
    </row>
    <row r="15">
      <c r="A15" s="104" t="s">
        <v>100</v>
      </c>
      <c r="B15" s="13"/>
      <c r="C15" s="13"/>
      <c r="D15" s="13"/>
      <c r="E15" s="147"/>
      <c r="F15" s="110"/>
      <c r="G15" s="110"/>
      <c r="H15" s="110"/>
      <c r="I15" s="110"/>
      <c r="J15" s="110"/>
      <c r="K15" s="110"/>
      <c r="L15" s="110"/>
      <c r="M15" s="110"/>
      <c r="N15" s="13"/>
      <c r="O15" s="142">
        <f t="shared" si="1"/>
        <v>0</v>
      </c>
      <c r="P15" s="112"/>
    </row>
    <row r="16">
      <c r="A16" s="104" t="s">
        <v>101</v>
      </c>
      <c r="B16" s="13"/>
      <c r="C16" s="13"/>
      <c r="D16" s="13"/>
      <c r="E16" s="110"/>
      <c r="F16" s="110"/>
      <c r="G16" s="110"/>
      <c r="H16" s="110"/>
      <c r="I16" s="110"/>
      <c r="J16" s="110"/>
      <c r="K16" s="110"/>
      <c r="L16" s="110"/>
      <c r="M16" s="110"/>
      <c r="N16" s="13"/>
      <c r="O16" s="142">
        <f t="shared" si="1"/>
        <v>0</v>
      </c>
      <c r="P16" s="112"/>
    </row>
    <row r="17">
      <c r="A17" s="144" t="s">
        <v>102</v>
      </c>
      <c r="B17" s="13"/>
      <c r="C17" s="13"/>
      <c r="D17" s="16">
        <v>27258.0</v>
      </c>
      <c r="E17" s="16">
        <v>27258.0</v>
      </c>
      <c r="F17" s="152">
        <f>27258+25000</f>
        <v>52258</v>
      </c>
      <c r="G17" s="13"/>
      <c r="H17" s="13">
        <f t="shared" ref="H17:I17" si="6">14868/3</f>
        <v>4956</v>
      </c>
      <c r="I17" s="13">
        <f t="shared" si="6"/>
        <v>4956</v>
      </c>
      <c r="J17" s="13">
        <f>26000/12+1399+1361/6+14868/3+8599/2</f>
        <v>13048</v>
      </c>
      <c r="K17" s="13">
        <f>26000/12+1361/6+14868/3+8599/2</f>
        <v>11649</v>
      </c>
      <c r="L17" s="13">
        <f t="shared" ref="L17:M17" si="7">26000/12+1361/6+14868/3</f>
        <v>7349.5</v>
      </c>
      <c r="M17" s="13">
        <f t="shared" si="7"/>
        <v>7349.5</v>
      </c>
      <c r="N17" s="13">
        <f>26000/12+1361/6</f>
        <v>2393.5</v>
      </c>
      <c r="O17" s="142">
        <f t="shared" si="1"/>
        <v>156082</v>
      </c>
      <c r="P17" s="112"/>
    </row>
    <row r="18">
      <c r="A18" s="104" t="s">
        <v>104</v>
      </c>
      <c r="B18" s="13"/>
      <c r="C18" s="13"/>
      <c r="D18" s="13"/>
      <c r="E18" s="110"/>
      <c r="F18" s="110"/>
      <c r="G18" s="13"/>
      <c r="H18" s="110"/>
      <c r="I18" s="110"/>
      <c r="J18" s="110"/>
      <c r="K18" s="110"/>
      <c r="L18" s="110"/>
      <c r="M18" s="110"/>
      <c r="N18" s="13"/>
      <c r="O18" s="142">
        <f t="shared" si="1"/>
        <v>0</v>
      </c>
      <c r="P18" s="112"/>
    </row>
    <row r="19">
      <c r="A19" s="104" t="s">
        <v>105</v>
      </c>
      <c r="B19" s="13"/>
      <c r="C19" s="13"/>
      <c r="D19" s="13"/>
      <c r="E19" s="13"/>
      <c r="F19" s="13"/>
      <c r="G19" s="13"/>
      <c r="H19" s="13"/>
      <c r="I19" s="13"/>
      <c r="J19" s="13"/>
      <c r="K19" s="13"/>
      <c r="L19" s="13"/>
      <c r="M19" s="13"/>
      <c r="N19" s="13"/>
      <c r="O19" s="142">
        <f t="shared" si="1"/>
        <v>0</v>
      </c>
      <c r="P19" s="112"/>
    </row>
    <row r="20">
      <c r="A20" s="154" t="s">
        <v>106</v>
      </c>
      <c r="B20" s="13">
        <v>-9114.0</v>
      </c>
      <c r="C20" s="13">
        <f>-13938.75</f>
        <v>-13938.75</v>
      </c>
      <c r="D20" s="13">
        <f>-(16632+17760)</f>
        <v>-34392</v>
      </c>
      <c r="E20" s="13">
        <v>-13245.0</v>
      </c>
      <c r="F20" s="13">
        <v>-13650.0</v>
      </c>
      <c r="G20" s="13">
        <v>-14272.5</v>
      </c>
      <c r="H20" s="13">
        <v>-27987.5</v>
      </c>
      <c r="I20" s="111"/>
      <c r="J20" s="111"/>
      <c r="K20" s="155">
        <v>0.0</v>
      </c>
      <c r="L20" s="156">
        <v>-35883.8</v>
      </c>
      <c r="M20" s="156">
        <v>-10306.0</v>
      </c>
      <c r="N20" s="13"/>
      <c r="O20" s="142">
        <f t="shared" si="1"/>
        <v>-172789.55</v>
      </c>
      <c r="P20" s="157"/>
    </row>
    <row r="21">
      <c r="A21" s="111"/>
      <c r="B21" s="13"/>
      <c r="C21" s="13"/>
      <c r="D21" s="13"/>
      <c r="E21" s="13"/>
      <c r="F21" s="13"/>
      <c r="G21" s="13"/>
      <c r="H21" s="13"/>
      <c r="I21" s="111"/>
      <c r="J21" s="111"/>
      <c r="K21" s="111"/>
      <c r="L21" s="111"/>
      <c r="M21" s="111"/>
      <c r="N21" s="13"/>
      <c r="O21" s="142">
        <f t="shared" si="1"/>
        <v>0</v>
      </c>
      <c r="P21" s="157"/>
    </row>
    <row r="22">
      <c r="A22" s="39" t="s">
        <v>107</v>
      </c>
      <c r="B22" s="158">
        <f t="shared" ref="B22:K22" si="8">+SUM(B2:B19)</f>
        <v>3398453.79</v>
      </c>
      <c r="C22" s="158">
        <f t="shared" si="8"/>
        <v>3689032.753</v>
      </c>
      <c r="D22" s="158">
        <f t="shared" si="8"/>
        <v>3599598.29</v>
      </c>
      <c r="E22" s="158">
        <f t="shared" si="8"/>
        <v>4046350.44</v>
      </c>
      <c r="F22" s="158">
        <f t="shared" si="8"/>
        <v>3745587.733</v>
      </c>
      <c r="G22" s="158">
        <f t="shared" si="8"/>
        <v>4139909.873</v>
      </c>
      <c r="H22" s="158">
        <f t="shared" si="8"/>
        <v>3617032.258</v>
      </c>
      <c r="I22" s="158">
        <f t="shared" si="8"/>
        <v>3740668.692</v>
      </c>
      <c r="J22" s="158">
        <f t="shared" si="8"/>
        <v>3463343.072</v>
      </c>
      <c r="K22" s="158">
        <f t="shared" si="8"/>
        <v>3647369.072</v>
      </c>
      <c r="L22" s="158">
        <f t="shared" ref="L22:N22" si="9">+SUM(L2:L20)</f>
        <v>3445370.888</v>
      </c>
      <c r="M22" s="158">
        <f t="shared" si="9"/>
        <v>3805833.645</v>
      </c>
      <c r="N22" s="158">
        <f t="shared" si="9"/>
        <v>126810.045</v>
      </c>
      <c r="O22" s="159">
        <f>sum(B22:N22)</f>
        <v>44465360.55</v>
      </c>
      <c r="P22" s="160"/>
    </row>
    <row r="23">
      <c r="A23" s="161"/>
      <c r="B23" s="161"/>
      <c r="C23" s="61"/>
      <c r="D23" s="161"/>
      <c r="E23" s="161"/>
      <c r="F23" s="161"/>
      <c r="G23" s="161"/>
      <c r="H23" s="161"/>
      <c r="I23" s="161"/>
      <c r="J23" s="161"/>
      <c r="K23" s="161"/>
      <c r="L23" s="161"/>
      <c r="M23" s="161"/>
      <c r="N23" s="161"/>
      <c r="O23" s="161"/>
      <c r="P23" s="161"/>
    </row>
    <row r="24">
      <c r="A24" s="162"/>
      <c r="B24" s="133" t="s">
        <v>108</v>
      </c>
      <c r="C24" s="39" t="s">
        <v>109</v>
      </c>
      <c r="D24" s="39" t="s">
        <v>110</v>
      </c>
      <c r="E24" s="163"/>
      <c r="F24" s="133" t="s">
        <v>111</v>
      </c>
      <c r="G24" s="39" t="s">
        <v>109</v>
      </c>
      <c r="H24" s="39" t="s">
        <v>110</v>
      </c>
      <c r="I24" s="163"/>
      <c r="J24" s="133" t="s">
        <v>112</v>
      </c>
      <c r="K24" s="39" t="s">
        <v>109</v>
      </c>
      <c r="L24" s="39" t="s">
        <v>110</v>
      </c>
      <c r="M24" s="163"/>
      <c r="N24" s="133" t="s">
        <v>113</v>
      </c>
      <c r="O24" s="39" t="s">
        <v>109</v>
      </c>
      <c r="P24" s="39" t="s">
        <v>110</v>
      </c>
    </row>
    <row r="25">
      <c r="A25" s="144" t="s">
        <v>114</v>
      </c>
      <c r="B25" s="164">
        <f>'Ideal Plaza'!B13</f>
        <v>2318000.6</v>
      </c>
      <c r="C25" s="165">
        <f t="shared" ref="C25:C41" si="10">B25/$B$42</f>
        <v>0.1383438873</v>
      </c>
      <c r="D25" s="166">
        <f t="shared" ref="D25:D41" si="11">C25*$B$22</f>
        <v>470155.3083</v>
      </c>
      <c r="E25" s="167"/>
      <c r="F25" s="164">
        <f>'Ideal Plaza'!C13</f>
        <v>2368016.16</v>
      </c>
      <c r="G25" s="165">
        <f t="shared" ref="G25:G41" si="12">F25/$F$42</f>
        <v>0.1289907389</v>
      </c>
      <c r="H25" s="164">
        <f t="shared" ref="H25:H41" si="13">G25*$C$22</f>
        <v>475851.0606</v>
      </c>
      <c r="I25" s="167"/>
      <c r="J25" s="164">
        <f>'Ideal Plaza'!D13</f>
        <v>2271449.43</v>
      </c>
      <c r="K25" s="165">
        <f t="shared" ref="K25:K41" si="14">J25/$J$42</f>
        <v>0.1255095163</v>
      </c>
      <c r="L25" s="164">
        <f t="shared" ref="L25:L41" si="15">K25*$D$22</f>
        <v>451783.8402</v>
      </c>
      <c r="M25" s="167"/>
      <c r="N25" s="164">
        <f>'Ideal Plaza'!E13</f>
        <v>2445054.31</v>
      </c>
      <c r="O25" s="165">
        <f t="shared" ref="O25:O41" si="16">N25/$N$42</f>
        <v>0.1292485724</v>
      </c>
      <c r="P25" s="164">
        <f t="shared" ref="P25:P41" si="17">O25*$E$22</f>
        <v>522985.0177</v>
      </c>
    </row>
    <row r="26">
      <c r="A26" s="144" t="s">
        <v>115</v>
      </c>
      <c r="B26" s="164">
        <f>'Salt Lake JC -21'!B13</f>
        <v>1960537.6</v>
      </c>
      <c r="C26" s="165">
        <f t="shared" si="10"/>
        <v>0.1170096301</v>
      </c>
      <c r="D26" s="166">
        <f t="shared" si="11"/>
        <v>397651.821</v>
      </c>
      <c r="E26" s="167"/>
      <c r="F26" s="164">
        <f>'Salt Lake JC -21'!C13</f>
        <v>2108269.63</v>
      </c>
      <c r="G26" s="165">
        <f t="shared" si="12"/>
        <v>0.1148418081</v>
      </c>
      <c r="H26" s="164">
        <f t="shared" si="13"/>
        <v>423655.1914</v>
      </c>
      <c r="I26" s="167"/>
      <c r="J26" s="164">
        <f>'Salt Lake JC -21'!D13</f>
        <v>2067020.31</v>
      </c>
      <c r="K26" s="165">
        <f t="shared" si="14"/>
        <v>0.1142137332</v>
      </c>
      <c r="L26" s="164">
        <f t="shared" si="15"/>
        <v>411123.5589</v>
      </c>
      <c r="M26" s="167"/>
      <c r="N26" s="164">
        <f>'Salt Lake JC -21'!E13</f>
        <v>2297246.08</v>
      </c>
      <c r="O26" s="165">
        <f t="shared" si="16"/>
        <v>0.1214352479</v>
      </c>
      <c r="P26" s="164">
        <f t="shared" si="17"/>
        <v>491369.5687</v>
      </c>
    </row>
    <row r="27">
      <c r="A27" s="144" t="s">
        <v>116</v>
      </c>
      <c r="B27" s="164">
        <f>'Forum Mall'!B13</f>
        <v>632245.42</v>
      </c>
      <c r="C27" s="165">
        <f t="shared" si="10"/>
        <v>0.03773393724</v>
      </c>
      <c r="D27" s="166">
        <f t="shared" si="11"/>
        <v>128237.042</v>
      </c>
      <c r="E27" s="167"/>
      <c r="F27" s="164">
        <f>'Forum Mall'!C13</f>
        <v>733415.89</v>
      </c>
      <c r="G27" s="165">
        <f t="shared" si="12"/>
        <v>0.03995068073</v>
      </c>
      <c r="H27" s="164">
        <f t="shared" si="13"/>
        <v>147379.3697</v>
      </c>
      <c r="I27" s="167"/>
      <c r="J27" s="164">
        <f>'Forum Mall'!D13</f>
        <v>660849.43</v>
      </c>
      <c r="K27" s="165">
        <f t="shared" si="14"/>
        <v>0.03651540343</v>
      </c>
      <c r="L27" s="164">
        <f t="shared" si="15"/>
        <v>131440.7837</v>
      </c>
      <c r="M27" s="167"/>
      <c r="N27" s="164">
        <f>'Forum Mall'!E13</f>
        <v>772036.5</v>
      </c>
      <c r="O27" s="165">
        <f t="shared" si="16"/>
        <v>0.04081079714</v>
      </c>
      <c r="P27" s="164">
        <f t="shared" si="17"/>
        <v>165134.787</v>
      </c>
    </row>
    <row r="28">
      <c r="A28" s="144" t="s">
        <v>117</v>
      </c>
      <c r="B28" s="164">
        <f>'Lake Town'!B13</f>
        <v>838203.89</v>
      </c>
      <c r="C28" s="165">
        <f t="shared" si="10"/>
        <v>0.05002603732</v>
      </c>
      <c r="D28" s="166">
        <f t="shared" si="11"/>
        <v>170011.1761</v>
      </c>
      <c r="E28" s="167"/>
      <c r="F28" s="164">
        <f>'Lake Town'!C13</f>
        <v>885035.96</v>
      </c>
      <c r="G28" s="165">
        <f t="shared" si="12"/>
        <v>0.04820973959</v>
      </c>
      <c r="H28" s="164">
        <f t="shared" si="13"/>
        <v>177847.3084</v>
      </c>
      <c r="I28" s="167"/>
      <c r="J28" s="164">
        <f>'Lake Town'!D13</f>
        <v>876484.93</v>
      </c>
      <c r="K28" s="165">
        <f t="shared" si="14"/>
        <v>0.04843039786</v>
      </c>
      <c r="L28" s="164">
        <f t="shared" si="15"/>
        <v>174329.9773</v>
      </c>
      <c r="M28" s="167"/>
      <c r="N28" s="164">
        <f>'Lake Town'!E13</f>
        <v>937719.45</v>
      </c>
      <c r="O28" s="165">
        <f t="shared" si="16"/>
        <v>0.04956900127</v>
      </c>
      <c r="P28" s="164">
        <f t="shared" si="17"/>
        <v>200573.5501</v>
      </c>
    </row>
    <row r="29">
      <c r="A29" s="144" t="s">
        <v>118</v>
      </c>
      <c r="B29" s="164">
        <f>'Quest Mall'!B13</f>
        <v>963538</v>
      </c>
      <c r="C29" s="165">
        <f t="shared" si="10"/>
        <v>0.05750628042</v>
      </c>
      <c r="D29" s="166">
        <f t="shared" si="11"/>
        <v>195432.4366</v>
      </c>
      <c r="E29" s="167"/>
      <c r="F29" s="164">
        <f>'Quest Mall'!C13</f>
        <v>1046319.48</v>
      </c>
      <c r="G29" s="165">
        <f t="shared" si="12"/>
        <v>0.05699518657</v>
      </c>
      <c r="H29" s="164">
        <f t="shared" si="13"/>
        <v>210257.11</v>
      </c>
      <c r="I29" s="167"/>
      <c r="J29" s="164">
        <f>'Quest Mall'!D13</f>
        <v>1137089.35</v>
      </c>
      <c r="K29" s="165">
        <f t="shared" si="14"/>
        <v>0.0628301614</v>
      </c>
      <c r="L29" s="164">
        <f t="shared" si="15"/>
        <v>226163.3415</v>
      </c>
      <c r="M29" s="167"/>
      <c r="N29" s="164">
        <f>'Quest Mall'!E13</f>
        <v>1178159.24</v>
      </c>
      <c r="O29" s="165">
        <f t="shared" si="16"/>
        <v>0.06227894373</v>
      </c>
      <c r="P29" s="164">
        <f t="shared" si="17"/>
        <v>252002.4314</v>
      </c>
    </row>
    <row r="30">
      <c r="A30" s="144" t="s">
        <v>119</v>
      </c>
      <c r="B30" s="164">
        <f>'Rosedale Plaza'!B13</f>
        <v>1500629.06</v>
      </c>
      <c r="C30" s="165">
        <f t="shared" si="10"/>
        <v>0.0895611751</v>
      </c>
      <c r="D30" s="166">
        <f t="shared" si="11"/>
        <v>304369.515</v>
      </c>
      <c r="E30" s="167"/>
      <c r="F30" s="164">
        <f>'Rosedale Plaza'!C13</f>
        <v>1517206.22</v>
      </c>
      <c r="G30" s="165">
        <f t="shared" si="12"/>
        <v>0.08264536141</v>
      </c>
      <c r="H30" s="164">
        <f t="shared" si="13"/>
        <v>304881.4452</v>
      </c>
      <c r="I30" s="167"/>
      <c r="J30" s="164">
        <f>'Rosedale Plaza'!D13</f>
        <v>1708742.92</v>
      </c>
      <c r="K30" s="165">
        <f t="shared" si="14"/>
        <v>0.09441702489</v>
      </c>
      <c r="L30" s="164">
        <f t="shared" si="15"/>
        <v>339863.3613</v>
      </c>
      <c r="M30" s="167"/>
      <c r="N30" s="164">
        <f>'Rosedale Plaza'!E13</f>
        <v>1729477.49</v>
      </c>
      <c r="O30" s="165">
        <f t="shared" si="16"/>
        <v>0.09142230322</v>
      </c>
      <c r="P30" s="164">
        <f t="shared" si="17"/>
        <v>369926.6769</v>
      </c>
    </row>
    <row r="31">
      <c r="A31" s="144" t="s">
        <v>120</v>
      </c>
      <c r="B31" s="164">
        <f>'Mani Square Mall'!B13</f>
        <v>911008.17</v>
      </c>
      <c r="C31" s="165">
        <f t="shared" si="10"/>
        <v>0.054371173</v>
      </c>
      <c r="D31" s="166">
        <f t="shared" si="11"/>
        <v>184777.9189</v>
      </c>
      <c r="E31" s="167"/>
      <c r="F31" s="164">
        <f>'Mani Square Mall'!C13</f>
        <v>1022858.54</v>
      </c>
      <c r="G31" s="165">
        <f t="shared" si="12"/>
        <v>0.05571722064</v>
      </c>
      <c r="H31" s="164">
        <f t="shared" si="13"/>
        <v>205542.6519</v>
      </c>
      <c r="I31" s="167"/>
      <c r="J31" s="164">
        <f>'Mani Square Mall'!D13</f>
        <v>1023289.04</v>
      </c>
      <c r="K31" s="165">
        <f t="shared" si="14"/>
        <v>0.05654209631</v>
      </c>
      <c r="L31" s="164">
        <f t="shared" si="15"/>
        <v>203528.8332</v>
      </c>
      <c r="M31" s="167"/>
      <c r="N31" s="164">
        <f>'Mani Square Mall'!E13</f>
        <v>1074522.98</v>
      </c>
      <c r="O31" s="165">
        <f t="shared" si="16"/>
        <v>0.0568006038</v>
      </c>
      <c r="P31" s="164">
        <f t="shared" si="17"/>
        <v>229835.1482</v>
      </c>
    </row>
    <row r="32">
      <c r="A32" s="144" t="s">
        <v>121</v>
      </c>
      <c r="B32" s="164">
        <f>'Forum Rangoli'!B13</f>
        <v>943647.11</v>
      </c>
      <c r="C32" s="165">
        <f t="shared" si="10"/>
        <v>0.05631914395</v>
      </c>
      <c r="D32" s="166">
        <f t="shared" si="11"/>
        <v>191398.0082</v>
      </c>
      <c r="E32" s="167"/>
      <c r="F32" s="164">
        <f>'Forum Rangoli'!C13</f>
        <v>1134454.78</v>
      </c>
      <c r="G32" s="165">
        <f t="shared" si="12"/>
        <v>0.06179609869</v>
      </c>
      <c r="H32" s="164">
        <f t="shared" si="13"/>
        <v>227967.8321</v>
      </c>
      <c r="I32" s="167"/>
      <c r="J32" s="164">
        <f>'Forum Rangoli'!D13</f>
        <v>1037977.89</v>
      </c>
      <c r="K32" s="165">
        <f t="shared" si="14"/>
        <v>0.05735373246</v>
      </c>
      <c r="L32" s="164">
        <f t="shared" si="15"/>
        <v>206450.3973</v>
      </c>
      <c r="M32" s="167"/>
      <c r="N32" s="164">
        <f>'Forum Rangoli'!E13</f>
        <v>1031712.79</v>
      </c>
      <c r="O32" s="165">
        <f t="shared" si="16"/>
        <v>0.05453760461</v>
      </c>
      <c r="P32" s="164">
        <f t="shared" si="17"/>
        <v>220678.2604</v>
      </c>
    </row>
    <row r="33">
      <c r="A33" s="144" t="s">
        <v>122</v>
      </c>
      <c r="B33" s="164">
        <f>CSC!B13</f>
        <v>145250.1</v>
      </c>
      <c r="C33" s="165">
        <f t="shared" si="10"/>
        <v>0.008668877597</v>
      </c>
      <c r="D33" s="166">
        <f t="shared" si="11"/>
        <v>29460.77992</v>
      </c>
      <c r="E33" s="167"/>
      <c r="F33" s="164">
        <f>CSC!C13</f>
        <v>161332.56</v>
      </c>
      <c r="G33" s="165">
        <f t="shared" si="12"/>
        <v>0.008788118288</v>
      </c>
      <c r="H33" s="164">
        <f t="shared" si="13"/>
        <v>32419.6562</v>
      </c>
      <c r="I33" s="167"/>
      <c r="J33" s="164">
        <f>CSC!D13</f>
        <v>163406.09</v>
      </c>
      <c r="K33" s="165">
        <f t="shared" si="14"/>
        <v>0.009029045087</v>
      </c>
      <c r="L33" s="164">
        <f t="shared" si="15"/>
        <v>32500.93526</v>
      </c>
      <c r="M33" s="167"/>
      <c r="N33" s="164">
        <f>CSC!E13</f>
        <v>138523.22</v>
      </c>
      <c r="O33" s="165">
        <f t="shared" si="16"/>
        <v>0.00732250746</v>
      </c>
      <c r="P33" s="164">
        <f t="shared" si="17"/>
        <v>29629.43128</v>
      </c>
    </row>
    <row r="34">
      <c r="A34" s="144" t="s">
        <v>123</v>
      </c>
      <c r="B34" s="164">
        <f>Jameslong!B13</f>
        <v>1157627.19</v>
      </c>
      <c r="C34" s="165">
        <f t="shared" si="10"/>
        <v>0.06908999314</v>
      </c>
      <c r="D34" s="166">
        <f t="shared" si="11"/>
        <v>234799.149</v>
      </c>
      <c r="E34" s="167"/>
      <c r="F34" s="164">
        <f>Jameslong!C13</f>
        <v>1126148.88</v>
      </c>
      <c r="G34" s="165">
        <f t="shared" si="12"/>
        <v>0.06134365913</v>
      </c>
      <c r="H34" s="164">
        <f t="shared" si="13"/>
        <v>226298.7677</v>
      </c>
      <c r="I34" s="167"/>
      <c r="J34" s="164">
        <f>Jameslong!D13</f>
        <v>1184177.6</v>
      </c>
      <c r="K34" s="165">
        <f t="shared" si="14"/>
        <v>0.06543203464</v>
      </c>
      <c r="L34" s="164">
        <f t="shared" si="15"/>
        <v>235529.04</v>
      </c>
      <c r="M34" s="167"/>
      <c r="N34" s="164">
        <f>Jameslong!E13</f>
        <v>1175581.91</v>
      </c>
      <c r="O34" s="165">
        <f t="shared" si="16"/>
        <v>0.0621427029</v>
      </c>
      <c r="P34" s="164">
        <f t="shared" si="17"/>
        <v>251451.1532</v>
      </c>
    </row>
    <row r="35">
      <c r="A35" s="144" t="s">
        <v>124</v>
      </c>
      <c r="B35" s="164">
        <f>Technopolis!B13</f>
        <v>42175.85</v>
      </c>
      <c r="C35" s="165">
        <f t="shared" si="10"/>
        <v>0.002517156829</v>
      </c>
      <c r="D35" s="166">
        <f t="shared" si="11"/>
        <v>8554.441167</v>
      </c>
      <c r="E35" s="167"/>
      <c r="F35" s="164">
        <f>Technopolis!C13</f>
        <v>43678.77</v>
      </c>
      <c r="G35" s="165">
        <f t="shared" si="12"/>
        <v>0.002379272959</v>
      </c>
      <c r="H35" s="164">
        <f t="shared" si="13"/>
        <v>8777.215875</v>
      </c>
      <c r="I35" s="167"/>
      <c r="J35" s="164">
        <f>Technopolis!D13</f>
        <v>34095.21</v>
      </c>
      <c r="K35" s="165">
        <f t="shared" si="14"/>
        <v>0.001883939505</v>
      </c>
      <c r="L35" s="164">
        <f t="shared" si="15"/>
        <v>6781.425421</v>
      </c>
      <c r="M35" s="167"/>
      <c r="N35" s="168">
        <f>Technopolis!E13</f>
        <v>55783.63</v>
      </c>
      <c r="O35" s="165">
        <f t="shared" si="16"/>
        <v>0.002948791162</v>
      </c>
      <c r="P35" s="164">
        <f t="shared" si="17"/>
        <v>11931.84241</v>
      </c>
    </row>
    <row r="36">
      <c r="A36" s="144" t="s">
        <v>125</v>
      </c>
      <c r="B36" s="164">
        <f>Santoshpur!B13</f>
        <v>869596.41</v>
      </c>
      <c r="C36" s="165">
        <f t="shared" si="10"/>
        <v>0.05189961891</v>
      </c>
      <c r="D36" s="166">
        <f t="shared" si="11"/>
        <v>176378.4566</v>
      </c>
      <c r="E36" s="167"/>
      <c r="F36" s="164">
        <f>Santoshpur!C13</f>
        <v>1034565.83</v>
      </c>
      <c r="G36" s="165">
        <f t="shared" si="12"/>
        <v>0.05635494094</v>
      </c>
      <c r="H36" s="164">
        <f t="shared" si="13"/>
        <v>207895.2229</v>
      </c>
      <c r="I36" s="167"/>
      <c r="J36" s="164">
        <f>Santoshpur!D13</f>
        <v>1006960.26</v>
      </c>
      <c r="K36" s="165">
        <f t="shared" si="14"/>
        <v>0.05563984542</v>
      </c>
      <c r="L36" s="164">
        <f t="shared" si="15"/>
        <v>200281.0924</v>
      </c>
      <c r="M36" s="167"/>
      <c r="N36" s="164">
        <f>Santoshpur!E13</f>
        <v>957828.65</v>
      </c>
      <c r="O36" s="165">
        <f t="shared" si="16"/>
        <v>0.05063199826</v>
      </c>
      <c r="P36" s="164">
        <f t="shared" si="17"/>
        <v>204874.8085</v>
      </c>
    </row>
    <row r="37">
      <c r="A37" s="144" t="s">
        <v>126</v>
      </c>
      <c r="B37" s="164">
        <f>'Chinar Park'!B13</f>
        <v>354983.69</v>
      </c>
      <c r="C37" s="165">
        <f t="shared" si="10"/>
        <v>0.02118628598</v>
      </c>
      <c r="D37" s="166">
        <f t="shared" si="11"/>
        <v>72000.61389</v>
      </c>
      <c r="E37" s="167"/>
      <c r="F37" s="164">
        <f>'Chinar Park'!C13</f>
        <v>408105</v>
      </c>
      <c r="G37" s="165">
        <f t="shared" si="12"/>
        <v>0.02223032359</v>
      </c>
      <c r="H37" s="164">
        <f t="shared" si="13"/>
        <v>82008.39183</v>
      </c>
      <c r="I37" s="167"/>
      <c r="J37" s="164">
        <f>'Chinar Park'!D13</f>
        <v>425789.92</v>
      </c>
      <c r="K37" s="165">
        <f t="shared" si="14"/>
        <v>0.02352713039</v>
      </c>
      <c r="L37" s="164">
        <f t="shared" si="15"/>
        <v>84688.21831</v>
      </c>
      <c r="M37" s="167"/>
      <c r="N37" s="164">
        <f>'Chinar Park'!E13</f>
        <v>442594.44</v>
      </c>
      <c r="O37" s="165">
        <f t="shared" si="16"/>
        <v>0.02339608543</v>
      </c>
      <c r="P37" s="164">
        <f t="shared" si="17"/>
        <v>94668.76055</v>
      </c>
    </row>
    <row r="38">
      <c r="A38" s="169" t="s">
        <v>127</v>
      </c>
      <c r="B38" s="164">
        <f>'Sector 1'!B13</f>
        <v>1825635.12</v>
      </c>
      <c r="C38" s="165">
        <f t="shared" si="10"/>
        <v>0.1089583236</v>
      </c>
      <c r="D38" s="166">
        <f t="shared" si="11"/>
        <v>370289.8276</v>
      </c>
      <c r="E38" s="167"/>
      <c r="F38" s="164">
        <f>'Sector 1'!C13</f>
        <v>2001467.62</v>
      </c>
      <c r="G38" s="165">
        <f t="shared" si="12"/>
        <v>0.1090240816</v>
      </c>
      <c r="H38" s="164">
        <f t="shared" si="13"/>
        <v>402193.4081</v>
      </c>
      <c r="I38" s="167"/>
      <c r="J38" s="164">
        <f>'Sector 1'!D13</f>
        <v>1844360</v>
      </c>
      <c r="K38" s="165">
        <f t="shared" si="14"/>
        <v>0.1019105812</v>
      </c>
      <c r="L38" s="164">
        <f t="shared" si="15"/>
        <v>366837.1537</v>
      </c>
      <c r="M38" s="167"/>
      <c r="N38" s="164">
        <f>'Sector 1'!E13</f>
        <v>1917591.45</v>
      </c>
      <c r="O38" s="165">
        <f t="shared" si="16"/>
        <v>0.1013662381</v>
      </c>
      <c r="P38" s="164">
        <f t="shared" si="17"/>
        <v>410163.322</v>
      </c>
    </row>
    <row r="39">
      <c r="A39" s="169" t="s">
        <v>128</v>
      </c>
      <c r="B39" s="164">
        <f>'Lake Road'!B13</f>
        <v>1146487.45</v>
      </c>
      <c r="C39" s="165">
        <f t="shared" si="10"/>
        <v>0.06842514649</v>
      </c>
      <c r="D39" s="166">
        <f t="shared" si="11"/>
        <v>232539.6984</v>
      </c>
      <c r="E39" s="167"/>
      <c r="F39" s="164">
        <f>'Lake Road'!C13</f>
        <v>1608225.34</v>
      </c>
      <c r="G39" s="165">
        <f t="shared" si="12"/>
        <v>0.08760336117</v>
      </c>
      <c r="H39" s="164">
        <f t="shared" si="13"/>
        <v>323171.6686</v>
      </c>
      <c r="I39" s="167"/>
      <c r="J39" s="164">
        <f>'Lake Road'!D13</f>
        <v>1627185.84</v>
      </c>
      <c r="K39" s="165">
        <f t="shared" si="14"/>
        <v>0.08991056768</v>
      </c>
      <c r="L39" s="164">
        <f t="shared" si="15"/>
        <v>323641.9257</v>
      </c>
      <c r="M39" s="167"/>
      <c r="N39" s="164">
        <f>'Lake Road'!E13</f>
        <v>1669956.21</v>
      </c>
      <c r="O39" s="165">
        <f t="shared" si="16"/>
        <v>0.08827593529</v>
      </c>
      <c r="P39" s="164">
        <f t="shared" si="17"/>
        <v>357195.3696</v>
      </c>
    </row>
    <row r="40">
      <c r="A40" s="169" t="s">
        <v>129</v>
      </c>
      <c r="B40" s="164">
        <f>Kalikapur!B13</f>
        <v>1010043.99</v>
      </c>
      <c r="C40" s="165">
        <f t="shared" si="10"/>
        <v>0.06028187049</v>
      </c>
      <c r="D40" s="166">
        <f t="shared" si="11"/>
        <v>204865.1512</v>
      </c>
      <c r="E40" s="167"/>
      <c r="F40" s="164">
        <f>Kalikapur!C13</f>
        <v>1033729.71</v>
      </c>
      <c r="G40" s="165">
        <f t="shared" si="12"/>
        <v>0.05630939575</v>
      </c>
      <c r="H40" s="164">
        <f t="shared" si="13"/>
        <v>207727.2053</v>
      </c>
      <c r="I40" s="167"/>
      <c r="J40" s="164">
        <f>Kalikapur!D13</f>
        <v>1006448.12</v>
      </c>
      <c r="K40" s="165">
        <f t="shared" si="14"/>
        <v>0.05561154699</v>
      </c>
      <c r="L40" s="164">
        <f t="shared" si="15"/>
        <v>200179.2295</v>
      </c>
      <c r="M40" s="167"/>
      <c r="N40" s="164">
        <f>Kalikapur!E13</f>
        <v>1064773.87</v>
      </c>
      <c r="O40" s="165">
        <f t="shared" si="16"/>
        <v>0.05628525388</v>
      </c>
      <c r="P40" s="164">
        <f t="shared" si="17"/>
        <v>227749.8618</v>
      </c>
    </row>
    <row r="41">
      <c r="A41" s="169" t="s">
        <v>130</v>
      </c>
      <c r="B41" s="164">
        <f>'Event Sales'!B13</f>
        <v>135742.86</v>
      </c>
      <c r="C41" s="165">
        <f t="shared" si="10"/>
        <v>0.008101462498</v>
      </c>
      <c r="D41" s="166">
        <f t="shared" si="11"/>
        <v>27532.44593</v>
      </c>
      <c r="E41" s="167"/>
      <c r="F41" s="164">
        <f>'Event Sales'!C13</f>
        <v>125202</v>
      </c>
      <c r="G41" s="165">
        <f t="shared" si="12"/>
        <v>0.006820011942</v>
      </c>
      <c r="H41" s="164">
        <f t="shared" si="13"/>
        <v>25159.24743</v>
      </c>
      <c r="I41" s="167"/>
      <c r="J41" s="164">
        <f>'Event Sales'!D13</f>
        <v>22500</v>
      </c>
      <c r="K41" s="165">
        <f t="shared" si="14"/>
        <v>0.001243243226</v>
      </c>
      <c r="L41" s="164">
        <f t="shared" si="15"/>
        <v>4475.17619</v>
      </c>
      <c r="M41" s="167"/>
      <c r="N41" s="164">
        <f>'Event Sales'!E13</f>
        <v>28894.78</v>
      </c>
      <c r="O41" s="165">
        <f t="shared" si="16"/>
        <v>0.001527413542</v>
      </c>
      <c r="P41" s="164">
        <f t="shared" si="17"/>
        <v>6180.450457</v>
      </c>
    </row>
    <row r="42">
      <c r="A42" s="167"/>
      <c r="B42" s="170">
        <f t="shared" ref="B42:D42" si="18">sum(B25:B41)</f>
        <v>16755352.51</v>
      </c>
      <c r="C42" s="170">
        <f t="shared" si="18"/>
        <v>1</v>
      </c>
      <c r="D42" s="170">
        <f t="shared" si="18"/>
        <v>3398453.79</v>
      </c>
      <c r="E42" s="167"/>
      <c r="F42" s="170">
        <f t="shared" ref="F42:H42" si="19">sum(F25:F41)</f>
        <v>18358032.37</v>
      </c>
      <c r="G42" s="170">
        <f t="shared" si="19"/>
        <v>1</v>
      </c>
      <c r="H42" s="170">
        <f t="shared" si="19"/>
        <v>3689032.753</v>
      </c>
      <c r="I42" s="167"/>
      <c r="J42" s="170">
        <f t="shared" ref="J42:L42" si="20">sum(J25:J41)</f>
        <v>18097826.34</v>
      </c>
      <c r="K42" s="170">
        <f t="shared" si="20"/>
        <v>1</v>
      </c>
      <c r="L42" s="170">
        <f t="shared" si="20"/>
        <v>3599598.29</v>
      </c>
      <c r="M42" s="167"/>
      <c r="N42" s="170">
        <f>sum(N25:N41)</f>
        <v>18917457</v>
      </c>
      <c r="O42" s="167"/>
      <c r="P42" s="171">
        <f>sum(P25:P41)</f>
        <v>4046350.44</v>
      </c>
    </row>
    <row r="43">
      <c r="A43" s="162"/>
      <c r="B43" s="133" t="s">
        <v>131</v>
      </c>
      <c r="C43" s="39" t="s">
        <v>109</v>
      </c>
      <c r="D43" s="39" t="s">
        <v>110</v>
      </c>
      <c r="E43" s="167"/>
      <c r="F43" s="133" t="s">
        <v>132</v>
      </c>
      <c r="G43" s="39" t="s">
        <v>109</v>
      </c>
      <c r="H43" s="39" t="s">
        <v>110</v>
      </c>
      <c r="I43" s="167"/>
      <c r="J43" s="133" t="s">
        <v>133</v>
      </c>
      <c r="K43" s="39" t="s">
        <v>109</v>
      </c>
      <c r="L43" s="39" t="s">
        <v>110</v>
      </c>
      <c r="M43" s="167"/>
      <c r="N43" s="133" t="s">
        <v>134</v>
      </c>
      <c r="O43" s="39" t="s">
        <v>109</v>
      </c>
      <c r="P43" s="39" t="s">
        <v>110</v>
      </c>
    </row>
    <row r="44">
      <c r="A44" s="144" t="s">
        <v>114</v>
      </c>
      <c r="B44" s="164">
        <f>'Ideal Plaza'!F13</f>
        <v>2322768.121</v>
      </c>
      <c r="C44" s="165">
        <f t="shared" ref="C44:C60" si="21">B44/$B$61</f>
        <v>0.121648905</v>
      </c>
      <c r="D44" s="164">
        <f t="shared" ref="D44:D60" si="22">C44*$F$22</f>
        <v>455646.6463</v>
      </c>
      <c r="E44" s="167"/>
      <c r="F44" s="164">
        <f>'Ideal Plaza'!G13</f>
        <v>2105834.326</v>
      </c>
      <c r="G44" s="165">
        <f t="shared" ref="G44:G60" si="23">F44/$F$61</f>
        <v>0.1094020592</v>
      </c>
      <c r="H44" s="164">
        <f t="shared" ref="H44:H60" si="24">G44*$G$22</f>
        <v>452914.6649</v>
      </c>
      <c r="I44" s="167"/>
      <c r="J44" s="164">
        <f>'Ideal Plaza'!H13</f>
        <v>2307220.564</v>
      </c>
      <c r="K44" s="165">
        <f t="shared" ref="K44:K60" si="25">J44/$J$61</f>
        <v>0.1229253236</v>
      </c>
      <c r="L44" s="164">
        <f t="shared" ref="L44:L60" si="26">K44*$H$22</f>
        <v>444624.8607</v>
      </c>
      <c r="M44" s="167"/>
      <c r="N44" s="164">
        <f>'Ideal Plaza'!I13</f>
        <v>2232242.873</v>
      </c>
      <c r="O44" s="165">
        <f t="shared" ref="O44:O60" si="27">N44/$N$61</f>
        <v>0.1287466474</v>
      </c>
      <c r="P44" s="164">
        <f t="shared" ref="P44:P60" si="28">O44*$I$22</f>
        <v>481598.5532</v>
      </c>
    </row>
    <row r="45">
      <c r="A45" s="144" t="s">
        <v>115</v>
      </c>
      <c r="B45" s="164">
        <f>'Salt Lake JC -21'!F13</f>
        <v>2226567.76</v>
      </c>
      <c r="C45" s="165">
        <f t="shared" si="21"/>
        <v>0.1166106627</v>
      </c>
      <c r="D45" s="164">
        <f t="shared" si="22"/>
        <v>436775.4678</v>
      </c>
      <c r="E45" s="167"/>
      <c r="F45" s="164">
        <f>'Salt Lake JC -21'!G13</f>
        <v>2203289</v>
      </c>
      <c r="G45" s="165">
        <f t="shared" si="23"/>
        <v>0.114465013</v>
      </c>
      <c r="H45" s="164">
        <f t="shared" si="24"/>
        <v>473874.8375</v>
      </c>
      <c r="I45" s="167"/>
      <c r="J45" s="164">
        <f>'Salt Lake JC -21'!H13</f>
        <v>2127293.415</v>
      </c>
      <c r="K45" s="165">
        <f t="shared" si="25"/>
        <v>0.1133390693</v>
      </c>
      <c r="L45" s="164">
        <f t="shared" si="26"/>
        <v>409951.0698</v>
      </c>
      <c r="M45" s="167"/>
      <c r="N45" s="164">
        <f>'Salt Lake JC -21'!I13</f>
        <v>2091174.876</v>
      </c>
      <c r="O45" s="165">
        <f t="shared" si="27"/>
        <v>0.1206104218</v>
      </c>
      <c r="P45" s="164">
        <f t="shared" si="28"/>
        <v>451163.6288</v>
      </c>
    </row>
    <row r="46">
      <c r="A46" s="144" t="s">
        <v>116</v>
      </c>
      <c r="B46" s="164">
        <f>'Forum Mall'!F13</f>
        <v>665954.87</v>
      </c>
      <c r="C46" s="165">
        <f t="shared" si="21"/>
        <v>0.03487764447</v>
      </c>
      <c r="D46" s="164">
        <f t="shared" si="22"/>
        <v>130637.2773</v>
      </c>
      <c r="E46" s="167"/>
      <c r="F46" s="164">
        <f>'Forum Mall'!G13</f>
        <v>686650.07</v>
      </c>
      <c r="G46" s="165">
        <f t="shared" si="23"/>
        <v>0.0356727643</v>
      </c>
      <c r="H46" s="164">
        <f t="shared" si="24"/>
        <v>147682.0291</v>
      </c>
      <c r="I46" s="167"/>
      <c r="J46" s="164">
        <f>'Forum Mall'!H13</f>
        <v>620318.57</v>
      </c>
      <c r="K46" s="165">
        <f t="shared" si="25"/>
        <v>0.03304966249</v>
      </c>
      <c r="L46" s="164">
        <f t="shared" si="26"/>
        <v>119541.6954</v>
      </c>
      <c r="M46" s="167"/>
      <c r="N46" s="164">
        <f>'Forum Mall'!I13</f>
        <v>627585.92</v>
      </c>
      <c r="O46" s="165">
        <f t="shared" si="27"/>
        <v>0.03619659139</v>
      </c>
      <c r="P46" s="164">
        <f t="shared" si="28"/>
        <v>135399.4562</v>
      </c>
    </row>
    <row r="47">
      <c r="A47" s="144" t="s">
        <v>117</v>
      </c>
      <c r="B47" s="164">
        <f>'Lake Town'!F13</f>
        <v>949315.6244</v>
      </c>
      <c r="C47" s="165">
        <f t="shared" si="21"/>
        <v>0.04971792283</v>
      </c>
      <c r="D47" s="164">
        <f t="shared" si="22"/>
        <v>186222.8419</v>
      </c>
      <c r="E47" s="167"/>
      <c r="F47" s="164">
        <f>'Lake Town'!G13</f>
        <v>996373.9178</v>
      </c>
      <c r="G47" s="165">
        <f t="shared" si="23"/>
        <v>0.05176350149</v>
      </c>
      <c r="H47" s="164">
        <f t="shared" si="24"/>
        <v>214296.2309</v>
      </c>
      <c r="I47" s="167"/>
      <c r="J47" s="164">
        <f>'Lake Town'!H13</f>
        <v>1029741.74</v>
      </c>
      <c r="K47" s="165">
        <f t="shared" si="25"/>
        <v>0.05486312774</v>
      </c>
      <c r="L47" s="164">
        <f t="shared" si="26"/>
        <v>198441.7028</v>
      </c>
      <c r="M47" s="167"/>
      <c r="N47" s="164">
        <f>'Lake Town'!I13</f>
        <v>927882.8672</v>
      </c>
      <c r="O47" s="165">
        <f t="shared" si="27"/>
        <v>0.05351649222</v>
      </c>
      <c r="P47" s="164">
        <f t="shared" si="28"/>
        <v>200187.4669</v>
      </c>
    </row>
    <row r="48">
      <c r="A48" s="144" t="s">
        <v>118</v>
      </c>
      <c r="B48" s="164">
        <f>'Quest Mall'!F13</f>
        <v>1109680.39</v>
      </c>
      <c r="C48" s="165">
        <f t="shared" si="21"/>
        <v>0.05811660799</v>
      </c>
      <c r="D48" s="164">
        <f t="shared" si="22"/>
        <v>217680.854</v>
      </c>
      <c r="E48" s="167"/>
      <c r="F48" s="164">
        <f>'Quest Mall'!G13</f>
        <v>1020130.29</v>
      </c>
      <c r="G48" s="165">
        <f t="shared" si="23"/>
        <v>0.05299768977</v>
      </c>
      <c r="H48" s="164">
        <f t="shared" si="24"/>
        <v>219405.6591</v>
      </c>
      <c r="I48" s="167"/>
      <c r="J48" s="164">
        <f>'Quest Mall'!H13</f>
        <v>950686.66</v>
      </c>
      <c r="K48" s="165">
        <f t="shared" si="25"/>
        <v>0.05065118919</v>
      </c>
      <c r="L48" s="164">
        <f t="shared" si="26"/>
        <v>183206.9852</v>
      </c>
      <c r="M48" s="167"/>
      <c r="N48" s="164">
        <f>'Quest Mall'!I13</f>
        <v>885338.23</v>
      </c>
      <c r="O48" s="165">
        <f t="shared" si="27"/>
        <v>0.05106269139</v>
      </c>
      <c r="P48" s="164">
        <f t="shared" si="28"/>
        <v>191008.611</v>
      </c>
    </row>
    <row r="49">
      <c r="A49" s="144" t="s">
        <v>119</v>
      </c>
      <c r="B49" s="164">
        <f>'Rosedale Plaza'!F13</f>
        <v>1746689.069</v>
      </c>
      <c r="C49" s="165">
        <f t="shared" si="21"/>
        <v>0.09147827143</v>
      </c>
      <c r="D49" s="164">
        <f t="shared" si="22"/>
        <v>342639.8913</v>
      </c>
      <c r="E49" s="167"/>
      <c r="F49" s="164">
        <f>'Rosedale Plaza'!G13</f>
        <v>1706126.061</v>
      </c>
      <c r="G49" s="165">
        <f t="shared" si="23"/>
        <v>0.08863646198</v>
      </c>
      <c r="H49" s="164">
        <f t="shared" si="24"/>
        <v>366946.9641</v>
      </c>
      <c r="I49" s="167"/>
      <c r="J49" s="164">
        <f>'Rosedale Plaza'!H13</f>
        <v>1669687.905</v>
      </c>
      <c r="K49" s="165">
        <f t="shared" si="25"/>
        <v>0.0889585197</v>
      </c>
      <c r="L49" s="164">
        <f t="shared" si="26"/>
        <v>321765.8354</v>
      </c>
      <c r="M49" s="167"/>
      <c r="N49" s="164">
        <f>'Rosedale Plaza'!I13</f>
        <v>1606298.26</v>
      </c>
      <c r="O49" s="165">
        <f t="shared" si="27"/>
        <v>0.09264471991</v>
      </c>
      <c r="P49" s="164">
        <f t="shared" si="28"/>
        <v>346553.2032</v>
      </c>
    </row>
    <row r="50">
      <c r="A50" s="144" t="s">
        <v>120</v>
      </c>
      <c r="B50" s="164">
        <f>'Mani Square Mall'!F13</f>
        <v>1170195.19</v>
      </c>
      <c r="C50" s="165">
        <f t="shared" si="21"/>
        <v>0.06128591236</v>
      </c>
      <c r="D50" s="164">
        <f t="shared" si="22"/>
        <v>229551.7616</v>
      </c>
      <c r="E50" s="167"/>
      <c r="F50" s="164">
        <f>'Mani Square Mall'!G13</f>
        <v>1164097.689</v>
      </c>
      <c r="G50" s="165">
        <f t="shared" si="23"/>
        <v>0.06047706729</v>
      </c>
      <c r="H50" s="164">
        <f t="shared" si="24"/>
        <v>250369.608</v>
      </c>
      <c r="I50" s="167"/>
      <c r="J50" s="164">
        <f>'Mani Square Mall'!H13</f>
        <v>968774.7656</v>
      </c>
      <c r="K50" s="165">
        <f t="shared" si="25"/>
        <v>0.0516148969</v>
      </c>
      <c r="L50" s="164">
        <f t="shared" si="26"/>
        <v>186692.7471</v>
      </c>
      <c r="M50" s="167"/>
      <c r="N50" s="164">
        <f>'Mani Square Mall'!I13</f>
        <v>960404.7656</v>
      </c>
      <c r="O50" s="165">
        <f t="shared" si="27"/>
        <v>0.05539222243</v>
      </c>
      <c r="P50" s="164">
        <f t="shared" si="28"/>
        <v>207203.9522</v>
      </c>
    </row>
    <row r="51">
      <c r="A51" s="144" t="s">
        <v>121</v>
      </c>
      <c r="B51" s="164">
        <f>'Forum Rangoli'!F13</f>
        <v>1150807.022</v>
      </c>
      <c r="C51" s="165">
        <f t="shared" si="21"/>
        <v>0.06027050777</v>
      </c>
      <c r="D51" s="164">
        <f t="shared" si="22"/>
        <v>225748.4746</v>
      </c>
      <c r="E51" s="167"/>
      <c r="F51" s="164">
        <f>'Forum Rangoli'!G13</f>
        <v>1256389.354</v>
      </c>
      <c r="G51" s="165">
        <f t="shared" si="23"/>
        <v>0.0652717931</v>
      </c>
      <c r="H51" s="164">
        <f t="shared" si="24"/>
        <v>270219.3407</v>
      </c>
      <c r="I51" s="167"/>
      <c r="J51" s="164">
        <f>'Forum Rangoli'!H13</f>
        <v>1039842.089</v>
      </c>
      <c r="K51" s="165">
        <f t="shared" si="25"/>
        <v>0.05540125955</v>
      </c>
      <c r="L51" s="164">
        <f t="shared" si="26"/>
        <v>200388.1429</v>
      </c>
      <c r="M51" s="167"/>
      <c r="N51" s="164">
        <f>'Forum Rangoli'!I13</f>
        <v>939654.3246</v>
      </c>
      <c r="O51" s="165">
        <f t="shared" si="27"/>
        <v>0.05419542178</v>
      </c>
      <c r="P51" s="164">
        <f t="shared" si="28"/>
        <v>202727.1175</v>
      </c>
    </row>
    <row r="52">
      <c r="A52" s="144" t="s">
        <v>122</v>
      </c>
      <c r="B52" s="164">
        <f>CSC!F13</f>
        <v>127893.63</v>
      </c>
      <c r="C52" s="165">
        <f t="shared" si="21"/>
        <v>0.006698094358</v>
      </c>
      <c r="D52" s="164">
        <f t="shared" si="22"/>
        <v>25088.30006</v>
      </c>
      <c r="E52" s="167"/>
      <c r="F52" s="164">
        <f>CSC!G13</f>
        <v>97950.63</v>
      </c>
      <c r="G52" s="165">
        <f t="shared" si="23"/>
        <v>0.005088719698</v>
      </c>
      <c r="H52" s="164">
        <f t="shared" si="24"/>
        <v>21066.84092</v>
      </c>
      <c r="I52" s="167"/>
      <c r="J52" s="164">
        <f>CSC!H13</f>
        <v>114069.27</v>
      </c>
      <c r="K52" s="165">
        <f t="shared" si="25"/>
        <v>0.006077443198</v>
      </c>
      <c r="L52" s="164">
        <f t="shared" si="26"/>
        <v>21982.3081</v>
      </c>
      <c r="M52" s="167"/>
      <c r="N52" s="164">
        <f>CSC!I13</f>
        <v>116002.28</v>
      </c>
      <c r="O52" s="165">
        <f t="shared" si="27"/>
        <v>0.006690537496</v>
      </c>
      <c r="P52" s="164">
        <f t="shared" si="28"/>
        <v>25027.08414</v>
      </c>
    </row>
    <row r="53">
      <c r="A53" s="144" t="s">
        <v>123</v>
      </c>
      <c r="B53" s="164">
        <f>Jameslong!F13</f>
        <v>1217920.72</v>
      </c>
      <c r="C53" s="165">
        <f t="shared" si="21"/>
        <v>0.06378541216</v>
      </c>
      <c r="D53" s="164">
        <f t="shared" si="22"/>
        <v>238913.8574</v>
      </c>
      <c r="E53" s="167"/>
      <c r="F53" s="164">
        <f>Jameslong!G13</f>
        <v>1452983.365</v>
      </c>
      <c r="G53" s="165">
        <f t="shared" si="23"/>
        <v>0.07548522219</v>
      </c>
      <c r="H53" s="164">
        <f t="shared" si="24"/>
        <v>312502.0166</v>
      </c>
      <c r="I53" s="167"/>
      <c r="J53" s="164">
        <f>Jameslong!H13</f>
        <v>1252775.455</v>
      </c>
      <c r="K53" s="165">
        <f t="shared" si="25"/>
        <v>0.06674603656</v>
      </c>
      <c r="L53" s="164">
        <f t="shared" si="26"/>
        <v>241422.5673</v>
      </c>
      <c r="M53" s="167"/>
      <c r="N53" s="164">
        <f>Jameslong!I13</f>
        <v>1040599.387</v>
      </c>
      <c r="O53" s="165">
        <f t="shared" si="27"/>
        <v>0.06001752047</v>
      </c>
      <c r="P53" s="164">
        <f t="shared" si="28"/>
        <v>224505.6598</v>
      </c>
    </row>
    <row r="54">
      <c r="A54" s="144" t="s">
        <v>124</v>
      </c>
      <c r="B54" s="164">
        <f>Technopolis!F13</f>
        <v>70880.7</v>
      </c>
      <c r="C54" s="165">
        <f t="shared" si="21"/>
        <v>0.00371219127</v>
      </c>
      <c r="D54" s="164">
        <f t="shared" si="22"/>
        <v>13904.33808</v>
      </c>
      <c r="E54" s="167"/>
      <c r="F54" s="164">
        <f>Technopolis!G13</f>
        <v>58299.89</v>
      </c>
      <c r="G54" s="165">
        <f t="shared" si="23"/>
        <v>0.003028789081</v>
      </c>
      <c r="H54" s="164">
        <f t="shared" si="24"/>
        <v>12538.91382</v>
      </c>
      <c r="I54" s="167"/>
      <c r="J54" s="164">
        <f>Technopolis!H13</f>
        <v>76295.29</v>
      </c>
      <c r="K54" s="165">
        <f t="shared" si="25"/>
        <v>0.004064901014</v>
      </c>
      <c r="L54" s="164">
        <f t="shared" si="26"/>
        <v>14702.87809</v>
      </c>
      <c r="M54" s="167"/>
      <c r="N54" s="164">
        <f>Technopolis!I13</f>
        <v>79590.38</v>
      </c>
      <c r="O54" s="165">
        <f t="shared" si="27"/>
        <v>0.004590447892</v>
      </c>
      <c r="P54" s="164">
        <f t="shared" si="28"/>
        <v>17171.34471</v>
      </c>
    </row>
    <row r="55">
      <c r="A55" s="144" t="s">
        <v>125</v>
      </c>
      <c r="B55" s="164">
        <f>Santoshpur!F13</f>
        <v>1002318.53</v>
      </c>
      <c r="C55" s="165">
        <f t="shared" si="21"/>
        <v>0.0524938114</v>
      </c>
      <c r="D55" s="164">
        <f t="shared" si="22"/>
        <v>196620.1761</v>
      </c>
      <c r="E55" s="167"/>
      <c r="F55" s="164">
        <f>Santoshpur!G13</f>
        <v>1047715.973</v>
      </c>
      <c r="G55" s="165">
        <f t="shared" si="23"/>
        <v>0.05443081794</v>
      </c>
      <c r="H55" s="164">
        <f t="shared" si="24"/>
        <v>225338.6806</v>
      </c>
      <c r="I55" s="167"/>
      <c r="J55" s="164">
        <f>Santoshpur!H13</f>
        <v>979288.755</v>
      </c>
      <c r="K55" s="165">
        <f t="shared" si="25"/>
        <v>0.05217506681</v>
      </c>
      <c r="L55" s="164">
        <f t="shared" si="26"/>
        <v>188718.8997</v>
      </c>
      <c r="M55" s="167"/>
      <c r="N55" s="164">
        <f>Santoshpur!I13</f>
        <v>906204.2442</v>
      </c>
      <c r="O55" s="165">
        <f t="shared" si="27"/>
        <v>0.05226615783</v>
      </c>
      <c r="P55" s="164">
        <f t="shared" si="28"/>
        <v>195510.3802</v>
      </c>
    </row>
    <row r="56">
      <c r="A56" s="144" t="s">
        <v>126</v>
      </c>
      <c r="B56" s="164">
        <f>'Chinar Park'!F13</f>
        <v>443342.98</v>
      </c>
      <c r="C56" s="165">
        <f t="shared" si="21"/>
        <v>0.02321892899</v>
      </c>
      <c r="D56" s="164">
        <f t="shared" si="22"/>
        <v>86968.53559</v>
      </c>
      <c r="E56" s="167"/>
      <c r="F56" s="164">
        <f>'Chinar Park'!G13</f>
        <v>511035.5678</v>
      </c>
      <c r="G56" s="165">
        <f t="shared" si="23"/>
        <v>0.02654926018</v>
      </c>
      <c r="H56" s="164">
        <f t="shared" si="24"/>
        <v>109911.5443</v>
      </c>
      <c r="I56" s="167"/>
      <c r="J56" s="164">
        <f>'Chinar Park'!H13</f>
        <v>535547.5416</v>
      </c>
      <c r="K56" s="165">
        <f t="shared" si="25"/>
        <v>0.02853318658</v>
      </c>
      <c r="L56" s="164">
        <f t="shared" si="26"/>
        <v>103205.4563</v>
      </c>
      <c r="M56" s="167"/>
      <c r="N56" s="164">
        <f>'Chinar Park'!I13</f>
        <v>487399.829</v>
      </c>
      <c r="O56" s="165">
        <f t="shared" si="27"/>
        <v>0.0281112305</v>
      </c>
      <c r="P56" s="164">
        <f t="shared" si="28"/>
        <v>105154.7998</v>
      </c>
    </row>
    <row r="57">
      <c r="A57" s="169" t="s">
        <v>127</v>
      </c>
      <c r="B57" s="164">
        <f>'Sector 1'!F13</f>
        <v>1915711.955</v>
      </c>
      <c r="C57" s="165">
        <f t="shared" si="21"/>
        <v>0.100330403</v>
      </c>
      <c r="D57" s="164">
        <f t="shared" si="22"/>
        <v>375796.3267</v>
      </c>
      <c r="E57" s="167"/>
      <c r="F57" s="164">
        <f>'Sector 1'!G13</f>
        <v>1984789.057</v>
      </c>
      <c r="G57" s="165">
        <f t="shared" si="23"/>
        <v>0.1031135295</v>
      </c>
      <c r="H57" s="164">
        <f t="shared" si="24"/>
        <v>426880.7187</v>
      </c>
      <c r="I57" s="167"/>
      <c r="J57" s="164">
        <f>'Sector 1'!H13</f>
        <v>2073146.151</v>
      </c>
      <c r="K57" s="165">
        <f t="shared" si="25"/>
        <v>0.1104541826</v>
      </c>
      <c r="L57" s="164">
        <f t="shared" si="26"/>
        <v>399516.3415</v>
      </c>
      <c r="M57" s="167"/>
      <c r="N57" s="164">
        <f>'Sector 1'!I13</f>
        <v>1851640.683</v>
      </c>
      <c r="O57" s="165">
        <f t="shared" si="27"/>
        <v>0.1067950683</v>
      </c>
      <c r="P57" s="164">
        <f t="shared" si="28"/>
        <v>399484.9685</v>
      </c>
    </row>
    <row r="58">
      <c r="A58" s="169" t="s">
        <v>128</v>
      </c>
      <c r="B58" s="172">
        <f>'Lake Road'!F13</f>
        <v>1854719.02</v>
      </c>
      <c r="C58" s="165">
        <f t="shared" si="21"/>
        <v>0.09713605754</v>
      </c>
      <c r="D58" s="164">
        <f t="shared" si="22"/>
        <v>363831.6256</v>
      </c>
      <c r="E58" s="167"/>
      <c r="F58" s="172">
        <f>'Lake Road'!G13</f>
        <v>1764590.967</v>
      </c>
      <c r="G58" s="165">
        <f t="shared" si="23"/>
        <v>0.09167382398</v>
      </c>
      <c r="H58" s="164">
        <f t="shared" si="24"/>
        <v>379521.369</v>
      </c>
      <c r="I58" s="167"/>
      <c r="J58" s="172">
        <f>'Lake Road'!H13</f>
        <v>1801537.157</v>
      </c>
      <c r="K58" s="165">
        <f t="shared" si="25"/>
        <v>0.09598325424</v>
      </c>
      <c r="L58" s="164">
        <f t="shared" si="26"/>
        <v>347174.5269</v>
      </c>
      <c r="M58" s="167"/>
      <c r="N58" s="172">
        <f>'Lake Road'!I13</f>
        <v>1660775.69</v>
      </c>
      <c r="O58" s="165">
        <f t="shared" si="27"/>
        <v>0.09578675546</v>
      </c>
      <c r="P58" s="164">
        <f t="shared" si="28"/>
        <v>358306.5172</v>
      </c>
    </row>
    <row r="59">
      <c r="A59" s="169" t="s">
        <v>129</v>
      </c>
      <c r="B59" s="164">
        <f>Kalikapur!F13</f>
        <v>1080576.716</v>
      </c>
      <c r="C59" s="165">
        <f t="shared" si="21"/>
        <v>0.0565923792</v>
      </c>
      <c r="D59" s="164">
        <f t="shared" si="22"/>
        <v>211971.7213</v>
      </c>
      <c r="E59" s="167"/>
      <c r="F59" s="164">
        <f>Kalikapur!G13</f>
        <v>1177443.244</v>
      </c>
      <c r="G59" s="165">
        <f t="shared" si="23"/>
        <v>0.061170394</v>
      </c>
      <c r="H59" s="164">
        <f t="shared" si="24"/>
        <v>253239.9181</v>
      </c>
      <c r="I59" s="167"/>
      <c r="J59" s="164">
        <f>Kalikapur!H13</f>
        <v>1034713.427</v>
      </c>
      <c r="K59" s="165">
        <f t="shared" si="25"/>
        <v>0.05512801192</v>
      </c>
      <c r="L59" s="164">
        <f t="shared" si="26"/>
        <v>199399.7975</v>
      </c>
      <c r="M59" s="167"/>
      <c r="N59" s="164">
        <f>Kalikapur!I13</f>
        <v>913560.5916</v>
      </c>
      <c r="O59" s="165">
        <f t="shared" si="27"/>
        <v>0.05269044189</v>
      </c>
      <c r="P59" s="164">
        <f t="shared" si="28"/>
        <v>197097.4863</v>
      </c>
    </row>
    <row r="60">
      <c r="A60" s="169" t="s">
        <v>130</v>
      </c>
      <c r="B60" s="164">
        <f>'Event Sales'!F13</f>
        <v>38690</v>
      </c>
      <c r="C60" s="165">
        <f t="shared" si="21"/>
        <v>0.002026287554</v>
      </c>
      <c r="D60" s="164">
        <f t="shared" si="22"/>
        <v>7589.637806</v>
      </c>
      <c r="E60" s="167"/>
      <c r="F60" s="164">
        <f>'Event Sales'!G13</f>
        <v>14880.95</v>
      </c>
      <c r="G60" s="165">
        <f t="shared" si="23"/>
        <v>0.0007730933777</v>
      </c>
      <c r="H60" s="164">
        <f t="shared" si="24"/>
        <v>3200.536907</v>
      </c>
      <c r="I60" s="167"/>
      <c r="J60" s="164">
        <f>'Event Sales'!H13</f>
        <v>188347.32</v>
      </c>
      <c r="K60" s="165">
        <f t="shared" si="25"/>
        <v>0.01003486863</v>
      </c>
      <c r="L60" s="164">
        <f t="shared" si="26"/>
        <v>36296.44353</v>
      </c>
      <c r="M60" s="167"/>
      <c r="N60" s="164">
        <f>'Event Sales'!I13</f>
        <v>11905</v>
      </c>
      <c r="O60" s="165">
        <f t="shared" si="27"/>
        <v>0.0006866317532</v>
      </c>
      <c r="P60" s="164">
        <f t="shared" si="28"/>
        <v>2568.461902</v>
      </c>
    </row>
    <row r="61">
      <c r="A61" s="167"/>
      <c r="B61" s="170">
        <f>sum(B44:B60)</f>
        <v>19094032.3</v>
      </c>
      <c r="C61" s="173"/>
      <c r="D61" s="170">
        <f>sum(D44:D60)</f>
        <v>3745587.733</v>
      </c>
      <c r="E61" s="167"/>
      <c r="F61" s="170">
        <f>sum(F44:F60)</f>
        <v>19248580.35</v>
      </c>
      <c r="G61" s="173"/>
      <c r="H61" s="170">
        <f>sum(H44:H60)</f>
        <v>4139909.873</v>
      </c>
      <c r="I61" s="167"/>
      <c r="J61" s="170">
        <f>sum(J44:J60)</f>
        <v>18769286.08</v>
      </c>
      <c r="K61" s="167"/>
      <c r="L61" s="170">
        <f>sum(L44:L60)</f>
        <v>3617032.258</v>
      </c>
      <c r="M61" s="167"/>
      <c r="N61" s="170">
        <f>sum(N44:N60)</f>
        <v>17338260.2</v>
      </c>
      <c r="O61" s="167"/>
      <c r="P61" s="170">
        <f>sum(P44:P60)</f>
        <v>3740668.692</v>
      </c>
    </row>
    <row r="62">
      <c r="A62" s="162"/>
      <c r="B62" s="133" t="s">
        <v>135</v>
      </c>
      <c r="C62" s="39" t="s">
        <v>109</v>
      </c>
      <c r="D62" s="39" t="s">
        <v>110</v>
      </c>
      <c r="E62" s="167"/>
      <c r="F62" s="174" t="s">
        <v>136</v>
      </c>
      <c r="G62" s="39" t="s">
        <v>109</v>
      </c>
      <c r="H62" s="39" t="s">
        <v>110</v>
      </c>
      <c r="I62" s="167"/>
      <c r="J62" s="133" t="s">
        <v>137</v>
      </c>
      <c r="K62" s="39" t="s">
        <v>109</v>
      </c>
      <c r="L62" s="39" t="s">
        <v>110</v>
      </c>
      <c r="M62" s="167"/>
      <c r="N62" s="133" t="s">
        <v>138</v>
      </c>
      <c r="O62" s="39" t="s">
        <v>109</v>
      </c>
      <c r="P62" s="39" t="s">
        <v>110</v>
      </c>
    </row>
    <row r="63">
      <c r="A63" s="144" t="s">
        <v>114</v>
      </c>
      <c r="B63" s="13">
        <f>'Ideal Plaza'!J13</f>
        <v>2178457.873</v>
      </c>
      <c r="C63" s="165">
        <f t="shared" ref="C63:C79" si="29">B63/$B$80</f>
        <v>0.1184429764</v>
      </c>
      <c r="D63" s="13">
        <f t="shared" ref="D63:D79" si="30">C63*$J$22</f>
        <v>410208.6618</v>
      </c>
      <c r="E63" s="167"/>
      <c r="F63" s="13">
        <f>'Ideal Plaza'!K13</f>
        <v>2134632.014</v>
      </c>
      <c r="G63" s="165">
        <f t="shared" ref="G63:G79" si="31">F63/$F$80</f>
        <v>0.1140668159</v>
      </c>
      <c r="H63" s="164">
        <f t="shared" ref="H63:H79" si="32">G63*$K$22</f>
        <v>416043.7764</v>
      </c>
      <c r="I63" s="167"/>
      <c r="J63" s="13">
        <f>'Ideal Plaza'!L13</f>
        <v>2011961.233</v>
      </c>
      <c r="K63" s="165">
        <f t="shared" ref="K63:K79" si="33">J63/$J$80</f>
        <v>0.1221749892</v>
      </c>
      <c r="L63" s="164">
        <f t="shared" ref="L63:L79" si="34">K63*$L$22</f>
        <v>420938.1509</v>
      </c>
      <c r="M63" s="167"/>
      <c r="N63" s="13">
        <f>'Ideal Plaza'!M13</f>
        <v>2673411.332</v>
      </c>
      <c r="O63" s="165">
        <f t="shared" ref="O63:O79" si="35">N63/$N$80</f>
        <v>0.1293702106</v>
      </c>
      <c r="P63" s="13">
        <f t="shared" ref="P63:P79" si="36">O63*$M$22</f>
        <v>492361.5001</v>
      </c>
    </row>
    <row r="64">
      <c r="A64" s="144" t="s">
        <v>115</v>
      </c>
      <c r="B64" s="13">
        <f>'Salt Lake JC -21'!J13</f>
        <v>2077083.509</v>
      </c>
      <c r="C64" s="165">
        <f t="shared" si="29"/>
        <v>0.1129312419</v>
      </c>
      <c r="D64" s="13">
        <f t="shared" si="30"/>
        <v>391119.6343</v>
      </c>
      <c r="E64" s="167"/>
      <c r="F64" s="13">
        <f>'Salt Lake JC -21'!K13</f>
        <v>2311225.693</v>
      </c>
      <c r="G64" s="165">
        <f t="shared" si="31"/>
        <v>0.123503327</v>
      </c>
      <c r="H64" s="164">
        <f t="shared" si="32"/>
        <v>450462.2151</v>
      </c>
      <c r="I64" s="167"/>
      <c r="J64" s="13">
        <f>'Salt Lake JC -21'!L13</f>
        <v>2036534.84</v>
      </c>
      <c r="K64" s="165">
        <f t="shared" si="33"/>
        <v>0.1236672049</v>
      </c>
      <c r="L64" s="164">
        <f t="shared" si="34"/>
        <v>426079.3874</v>
      </c>
      <c r="M64" s="167"/>
      <c r="N64" s="13">
        <f>'Salt Lake JC -21'!M13</f>
        <v>2429613.581</v>
      </c>
      <c r="O64" s="165">
        <f t="shared" si="35"/>
        <v>0.1175724876</v>
      </c>
      <c r="P64" s="13">
        <f t="shared" si="36"/>
        <v>447461.329</v>
      </c>
    </row>
    <row r="65">
      <c r="A65" s="144" t="s">
        <v>116</v>
      </c>
      <c r="B65" s="13">
        <f>'Forum Mall'!J13</f>
        <v>734697.69</v>
      </c>
      <c r="C65" s="165">
        <f t="shared" si="29"/>
        <v>0.03994558822</v>
      </c>
      <c r="D65" s="13">
        <f t="shared" si="30"/>
        <v>138345.2762</v>
      </c>
      <c r="E65" s="167"/>
      <c r="F65" s="13">
        <f>'Forum Mall'!K13</f>
        <v>625240</v>
      </c>
      <c r="G65" s="165">
        <f t="shared" si="31"/>
        <v>0.03341050612</v>
      </c>
      <c r="H65" s="164">
        <f t="shared" si="32"/>
        <v>121860.4467</v>
      </c>
      <c r="I65" s="167"/>
      <c r="J65" s="13">
        <f>'Forum Mall'!L13</f>
        <v>350349.47</v>
      </c>
      <c r="K65" s="165">
        <f t="shared" si="33"/>
        <v>0.02127473532</v>
      </c>
      <c r="L65" s="164">
        <f t="shared" si="34"/>
        <v>73299.35372</v>
      </c>
      <c r="M65" s="167"/>
      <c r="N65" s="13">
        <f>'Forum Mall'!M13</f>
        <v>631692.74</v>
      </c>
      <c r="O65" s="165">
        <f t="shared" si="35"/>
        <v>0.03056851814</v>
      </c>
      <c r="P65" s="13">
        <f t="shared" si="36"/>
        <v>116338.6948</v>
      </c>
    </row>
    <row r="66">
      <c r="A66" s="144" t="s">
        <v>117</v>
      </c>
      <c r="B66" s="13">
        <f>'Lake Town'!J13</f>
        <v>863740.022</v>
      </c>
      <c r="C66" s="165">
        <f t="shared" si="29"/>
        <v>0.04696163296</v>
      </c>
      <c r="D66" s="13">
        <f t="shared" si="30"/>
        <v>162644.2461</v>
      </c>
      <c r="E66" s="167"/>
      <c r="F66" s="13">
        <f>'Lake Town'!K13</f>
        <v>1032970.475</v>
      </c>
      <c r="G66" s="165">
        <f t="shared" si="31"/>
        <v>0.05519811011</v>
      </c>
      <c r="H66" s="164">
        <f t="shared" si="32"/>
        <v>201327.8796</v>
      </c>
      <c r="I66" s="167"/>
      <c r="J66" s="13">
        <f>'Lake Town'!L13</f>
        <v>943237.5466</v>
      </c>
      <c r="K66" s="165">
        <f t="shared" si="33"/>
        <v>0.05727746397</v>
      </c>
      <c r="L66" s="164">
        <f t="shared" si="34"/>
        <v>197342.1069</v>
      </c>
      <c r="M66" s="167"/>
      <c r="N66" s="13">
        <f>'Lake Town'!M13</f>
        <v>1163578.232</v>
      </c>
      <c r="O66" s="165">
        <f t="shared" si="35"/>
        <v>0.05630722032</v>
      </c>
      <c r="P66" s="13">
        <f t="shared" si="36"/>
        <v>214295.9135</v>
      </c>
    </row>
    <row r="67">
      <c r="A67" s="144" t="s">
        <v>118</v>
      </c>
      <c r="B67" s="13">
        <f>'Quest Mall'!J13</f>
        <v>1161210.64</v>
      </c>
      <c r="C67" s="165">
        <f t="shared" si="29"/>
        <v>0.06313514075</v>
      </c>
      <c r="D67" s="13">
        <f t="shared" si="30"/>
        <v>218658.6523</v>
      </c>
      <c r="E67" s="167"/>
      <c r="F67" s="13">
        <f>'Quest Mall'!K13</f>
        <v>1063114.39</v>
      </c>
      <c r="G67" s="165">
        <f t="shared" si="31"/>
        <v>0.05680888913</v>
      </c>
      <c r="H67" s="164">
        <f t="shared" si="32"/>
        <v>207202.9852</v>
      </c>
      <c r="I67" s="167"/>
      <c r="J67" s="13">
        <f>'Quest Mall'!L13</f>
        <v>691442.73</v>
      </c>
      <c r="K67" s="165">
        <f t="shared" si="33"/>
        <v>0.04198739352</v>
      </c>
      <c r="L67" s="164">
        <f t="shared" si="34"/>
        <v>144662.1433</v>
      </c>
      <c r="M67" s="167"/>
      <c r="N67" s="13">
        <f>'Quest Mall'!M13</f>
        <v>839021.69</v>
      </c>
      <c r="O67" s="165">
        <f t="shared" si="35"/>
        <v>0.04060146354</v>
      </c>
      <c r="P67" s="13">
        <f t="shared" si="36"/>
        <v>154522.416</v>
      </c>
    </row>
    <row r="68">
      <c r="A68" s="144" t="s">
        <v>119</v>
      </c>
      <c r="B68" s="13">
        <f>'Rosedale Plaza'!J13</f>
        <v>1636322.3</v>
      </c>
      <c r="C68" s="165">
        <f t="shared" si="29"/>
        <v>0.08896701011</v>
      </c>
      <c r="D68" s="13">
        <f t="shared" si="30"/>
        <v>308123.2781</v>
      </c>
      <c r="E68" s="167"/>
      <c r="F68" s="13">
        <f>'Rosedale Plaza'!K13</f>
        <v>1669541.445</v>
      </c>
      <c r="G68" s="165">
        <f t="shared" si="31"/>
        <v>0.08921410125</v>
      </c>
      <c r="H68" s="164">
        <f t="shared" si="32"/>
        <v>325396.7537</v>
      </c>
      <c r="I68" s="167"/>
      <c r="J68" s="13">
        <f>'Rosedale Plaza'!L13</f>
        <v>1521714.089</v>
      </c>
      <c r="K68" s="165">
        <f t="shared" si="33"/>
        <v>0.09240506192</v>
      </c>
      <c r="L68" s="164">
        <f t="shared" si="34"/>
        <v>318369.7103</v>
      </c>
      <c r="M68" s="167"/>
      <c r="N68" s="13">
        <f>'Rosedale Plaza'!M13</f>
        <v>1768242.81</v>
      </c>
      <c r="O68" s="165">
        <f t="shared" si="35"/>
        <v>0.08556780695</v>
      </c>
      <c r="P68" s="13">
        <f t="shared" si="36"/>
        <v>325656.8386</v>
      </c>
    </row>
    <row r="69">
      <c r="A69" s="144" t="s">
        <v>120</v>
      </c>
      <c r="B69" s="13">
        <f>'Mani Square Mall'!J13</f>
        <v>1148865.81</v>
      </c>
      <c r="C69" s="165">
        <f t="shared" si="29"/>
        <v>0.06246395111</v>
      </c>
      <c r="D69" s="13">
        <f t="shared" si="30"/>
        <v>216334.0923</v>
      </c>
      <c r="E69" s="167"/>
      <c r="F69" s="13">
        <f>'Mani Square Mall'!K13</f>
        <v>1113858.219</v>
      </c>
      <c r="G69" s="165">
        <f t="shared" si="31"/>
        <v>0.05952045108</v>
      </c>
      <c r="H69" s="164">
        <f t="shared" si="32"/>
        <v>217093.0524</v>
      </c>
      <c r="I69" s="167"/>
      <c r="J69" s="13">
        <f>'Mani Square Mall'!L13</f>
        <v>904829.2</v>
      </c>
      <c r="K69" s="165">
        <f t="shared" si="33"/>
        <v>0.05494514302</v>
      </c>
      <c r="L69" s="164">
        <f t="shared" si="34"/>
        <v>189306.3962</v>
      </c>
      <c r="M69" s="167"/>
      <c r="N69" s="13">
        <f>'Mani Square Mall'!M13</f>
        <v>1199839.7</v>
      </c>
      <c r="O69" s="165">
        <f t="shared" si="35"/>
        <v>0.05806196482</v>
      </c>
      <c r="P69" s="13">
        <f t="shared" si="36"/>
        <v>220974.1792</v>
      </c>
    </row>
    <row r="70">
      <c r="A70" s="144" t="s">
        <v>121</v>
      </c>
      <c r="B70" s="13">
        <f>'Forum Rangoli'!J13</f>
        <v>1041546.356</v>
      </c>
      <c r="C70" s="165">
        <f t="shared" si="29"/>
        <v>0.05662898146</v>
      </c>
      <c r="D70" s="13">
        <f t="shared" si="30"/>
        <v>196125.5906</v>
      </c>
      <c r="E70" s="167"/>
      <c r="F70" s="13">
        <f>'Forum Rangoli'!K13</f>
        <v>1016307.178</v>
      </c>
      <c r="G70" s="165">
        <f t="shared" si="31"/>
        <v>0.05430768536</v>
      </c>
      <c r="H70" s="164">
        <f t="shared" si="32"/>
        <v>198080.1719</v>
      </c>
      <c r="I70" s="167"/>
      <c r="J70" s="13">
        <f>'Forum Rangoli'!L13</f>
        <v>869639.1374</v>
      </c>
      <c r="K70" s="165">
        <f t="shared" si="33"/>
        <v>0.0528082502</v>
      </c>
      <c r="L70" s="164">
        <f t="shared" si="34"/>
        <v>181944.0079</v>
      </c>
      <c r="M70" s="167"/>
      <c r="N70" s="13">
        <f>'Forum Rangoli'!M13</f>
        <v>1256417.967</v>
      </c>
      <c r="O70" s="165">
        <f t="shared" si="35"/>
        <v>0.06079986835</v>
      </c>
      <c r="P70" s="13">
        <f t="shared" si="36"/>
        <v>231394.1846</v>
      </c>
    </row>
    <row r="71">
      <c r="A71" s="144" t="s">
        <v>122</v>
      </c>
      <c r="B71" s="13">
        <f>CSC!J13</f>
        <v>106235.94</v>
      </c>
      <c r="C71" s="165">
        <f t="shared" si="29"/>
        <v>0.005776058876</v>
      </c>
      <c r="D71" s="13">
        <f t="shared" si="30"/>
        <v>20004.47349</v>
      </c>
      <c r="E71" s="167"/>
      <c r="F71" s="13">
        <f>CSC!K13</f>
        <v>96184.67</v>
      </c>
      <c r="G71" s="165">
        <f t="shared" si="31"/>
        <v>0.005139751945</v>
      </c>
      <c r="H71" s="164">
        <f t="shared" si="32"/>
        <v>18746.57228</v>
      </c>
      <c r="I71" s="167"/>
      <c r="J71" s="13">
        <f>CSC!L13</f>
        <v>80747.04</v>
      </c>
      <c r="K71" s="165">
        <f t="shared" si="33"/>
        <v>0.004903309555</v>
      </c>
      <c r="L71" s="164">
        <f t="shared" si="34"/>
        <v>16893.72</v>
      </c>
      <c r="M71" s="167"/>
      <c r="N71" s="13">
        <f>CSC!M13</f>
        <v>87604</v>
      </c>
      <c r="O71" s="165">
        <f t="shared" si="35"/>
        <v>0.004239283268</v>
      </c>
      <c r="P71" s="13">
        <f t="shared" si="36"/>
        <v>16134.00689</v>
      </c>
    </row>
    <row r="72">
      <c r="A72" s="144" t="s">
        <v>123</v>
      </c>
      <c r="B72" s="13">
        <f>Jameslong!J13</f>
        <v>1074529.905</v>
      </c>
      <c r="C72" s="165">
        <f t="shared" si="29"/>
        <v>0.05842230036</v>
      </c>
      <c r="D72" s="13">
        <f t="shared" si="30"/>
        <v>202336.4692</v>
      </c>
      <c r="E72" s="167"/>
      <c r="F72" s="13">
        <f>Jameslong!K13</f>
        <v>1162049.852</v>
      </c>
      <c r="G72" s="165">
        <f t="shared" si="31"/>
        <v>0.06209563319</v>
      </c>
      <c r="H72" s="164">
        <f t="shared" si="32"/>
        <v>226485.692</v>
      </c>
      <c r="I72" s="167"/>
      <c r="J72" s="13">
        <f>Jameslong!L13</f>
        <v>1105353.48</v>
      </c>
      <c r="K72" s="165">
        <f t="shared" si="33"/>
        <v>0.06712184471</v>
      </c>
      <c r="L72" s="164">
        <f t="shared" si="34"/>
        <v>231259.6497</v>
      </c>
      <c r="M72" s="167"/>
      <c r="N72" s="13">
        <f>Jameslong!M13</f>
        <v>1320582.119</v>
      </c>
      <c r="O72" s="165">
        <f t="shared" si="35"/>
        <v>0.06390486371</v>
      </c>
      <c r="P72" s="13">
        <f t="shared" si="36"/>
        <v>243211.2804</v>
      </c>
    </row>
    <row r="73">
      <c r="A73" s="144" t="s">
        <v>124</v>
      </c>
      <c r="B73" s="13">
        <f>Technopolis!J13</f>
        <v>52847.5</v>
      </c>
      <c r="C73" s="165">
        <f t="shared" si="29"/>
        <v>0.002873323957</v>
      </c>
      <c r="D73" s="13">
        <f t="shared" si="30"/>
        <v>9951.306618</v>
      </c>
      <c r="E73" s="167"/>
      <c r="F73" s="13">
        <f>Technopolis!K13</f>
        <v>76912.53</v>
      </c>
      <c r="G73" s="165">
        <f t="shared" si="31"/>
        <v>0.004109920278</v>
      </c>
      <c r="H73" s="164">
        <f t="shared" si="32"/>
        <v>14990.39611</v>
      </c>
      <c r="I73" s="167"/>
      <c r="J73" s="13">
        <f>Technopolis!L13</f>
        <v>90761</v>
      </c>
      <c r="K73" s="165">
        <f t="shared" si="33"/>
        <v>0.005511400523</v>
      </c>
      <c r="L73" s="164">
        <f t="shared" si="34"/>
        <v>18988.81892</v>
      </c>
      <c r="M73" s="167"/>
      <c r="N73" s="13">
        <f>Technopolis!M13</f>
        <v>81446.28</v>
      </c>
      <c r="O73" s="165">
        <f t="shared" si="35"/>
        <v>0.003941302361</v>
      </c>
      <c r="P73" s="13">
        <f t="shared" si="36"/>
        <v>14999.94113</v>
      </c>
    </row>
    <row r="74">
      <c r="A74" s="144" t="s">
        <v>125</v>
      </c>
      <c r="B74" s="13">
        <f>Santoshpur!J13</f>
        <v>877688.9252</v>
      </c>
      <c r="C74" s="165">
        <f t="shared" si="29"/>
        <v>0.04772003624</v>
      </c>
      <c r="D74" s="13">
        <f t="shared" si="30"/>
        <v>165270.8569</v>
      </c>
      <c r="E74" s="167"/>
      <c r="F74" s="13">
        <f>Santoshpur!K13</f>
        <v>931500.8184</v>
      </c>
      <c r="G74" s="165">
        <f t="shared" si="31"/>
        <v>0.04977594811</v>
      </c>
      <c r="H74" s="164">
        <f t="shared" si="32"/>
        <v>181551.2537</v>
      </c>
      <c r="I74" s="167"/>
      <c r="J74" s="13">
        <f>Santoshpur!L13</f>
        <v>848437.022</v>
      </c>
      <c r="K74" s="165">
        <f t="shared" si="33"/>
        <v>0.05152076604</v>
      </c>
      <c r="L74" s="164">
        <f t="shared" si="34"/>
        <v>177508.1475</v>
      </c>
      <c r="M74" s="167"/>
      <c r="N74" s="13">
        <f>Santoshpur!M13</f>
        <v>1043684.002</v>
      </c>
      <c r="O74" s="165">
        <f t="shared" si="35"/>
        <v>0.05050536651</v>
      </c>
      <c r="P74" s="13">
        <f t="shared" si="36"/>
        <v>192215.0231</v>
      </c>
    </row>
    <row r="75">
      <c r="A75" s="144" t="s">
        <v>126</v>
      </c>
      <c r="B75" s="13">
        <f>'Chinar Park'!J13</f>
        <v>517251.255</v>
      </c>
      <c r="C75" s="165">
        <f t="shared" si="29"/>
        <v>0.02812300341</v>
      </c>
      <c r="D75" s="13">
        <f t="shared" si="30"/>
        <v>97399.60901</v>
      </c>
      <c r="E75" s="167"/>
      <c r="F75" s="13">
        <f>'Chinar Park'!K13</f>
        <v>466970.8598</v>
      </c>
      <c r="G75" s="165">
        <f t="shared" si="31"/>
        <v>0.02495319041</v>
      </c>
      <c r="H75" s="164">
        <f t="shared" si="32"/>
        <v>91013.49494</v>
      </c>
      <c r="I75" s="167"/>
      <c r="J75" s="13">
        <f>'Chinar Park'!L13</f>
        <v>484292.8404</v>
      </c>
      <c r="K75" s="165">
        <f t="shared" si="33"/>
        <v>0.02940835616</v>
      </c>
      <c r="L75" s="164">
        <f t="shared" si="34"/>
        <v>101322.6942</v>
      </c>
      <c r="M75" s="167"/>
      <c r="N75" s="13">
        <f>'Chinar Park'!M13</f>
        <v>636553.9526</v>
      </c>
      <c r="O75" s="165">
        <f t="shared" si="35"/>
        <v>0.0308037592</v>
      </c>
      <c r="P75" s="13">
        <f t="shared" si="36"/>
        <v>117233.9831</v>
      </c>
    </row>
    <row r="76">
      <c r="A76" s="169" t="s">
        <v>127</v>
      </c>
      <c r="B76" s="13">
        <f>'Sector 1'!J13</f>
        <v>1804605.278</v>
      </c>
      <c r="C76" s="165">
        <f t="shared" si="29"/>
        <v>0.09811657275</v>
      </c>
      <c r="D76" s="13">
        <f t="shared" si="30"/>
        <v>339811.3524</v>
      </c>
      <c r="E76" s="167"/>
      <c r="F76" s="13">
        <f>'Sector 1'!K13</f>
        <v>1925679.357</v>
      </c>
      <c r="G76" s="165">
        <f t="shared" si="31"/>
        <v>0.1029011611</v>
      </c>
      <c r="H76" s="164">
        <f t="shared" si="32"/>
        <v>375318.5123</v>
      </c>
      <c r="I76" s="167"/>
      <c r="J76" s="13">
        <f>'Sector 1'!L13</f>
        <v>1715218.249</v>
      </c>
      <c r="K76" s="165">
        <f t="shared" si="33"/>
        <v>0.1041554716</v>
      </c>
      <c r="L76" s="164">
        <f t="shared" si="34"/>
        <v>358854.2296</v>
      </c>
      <c r="M76" s="167"/>
      <c r="N76" s="13">
        <f>'Sector 1'!M13</f>
        <v>2294229.978</v>
      </c>
      <c r="O76" s="165">
        <f t="shared" si="35"/>
        <v>0.1110210808</v>
      </c>
      <c r="P76" s="13">
        <f t="shared" si="36"/>
        <v>422527.7645</v>
      </c>
    </row>
    <row r="77">
      <c r="A77" s="169" t="s">
        <v>128</v>
      </c>
      <c r="B77" s="13">
        <f>'Lake Road'!J13</f>
        <v>1653599.109</v>
      </c>
      <c r="C77" s="165">
        <f t="shared" si="29"/>
        <v>0.08990635197</v>
      </c>
      <c r="D77" s="13">
        <f t="shared" si="30"/>
        <v>311376.5412</v>
      </c>
      <c r="E77" s="167"/>
      <c r="F77" s="13">
        <f>'Lake Road'!K13</f>
        <v>1826124.955</v>
      </c>
      <c r="G77" s="165">
        <f t="shared" si="31"/>
        <v>0.09758134315</v>
      </c>
      <c r="H77" s="164">
        <f t="shared" si="32"/>
        <v>355915.173</v>
      </c>
      <c r="I77" s="167"/>
      <c r="J77" s="13">
        <f>'Lake Road'!L13</f>
        <v>1573355.373</v>
      </c>
      <c r="K77" s="165">
        <f t="shared" si="33"/>
        <v>0.09554094408</v>
      </c>
      <c r="L77" s="164">
        <f t="shared" si="34"/>
        <v>329173.9874</v>
      </c>
      <c r="M77" s="167"/>
      <c r="N77" s="13">
        <f>'Lake Road'!M13</f>
        <v>2096614.948</v>
      </c>
      <c r="O77" s="165">
        <f t="shared" si="35"/>
        <v>0.1014582059</v>
      </c>
      <c r="P77" s="13">
        <f t="shared" si="36"/>
        <v>386133.0535</v>
      </c>
    </row>
    <row r="78">
      <c r="A78" s="169" t="s">
        <v>129</v>
      </c>
      <c r="B78" s="13">
        <f>Kalikapur!J13</f>
        <v>879567.878</v>
      </c>
      <c r="C78" s="165">
        <f t="shared" si="29"/>
        <v>0.0478221951</v>
      </c>
      <c r="D78" s="13">
        <f t="shared" si="30"/>
        <v>165624.6681</v>
      </c>
      <c r="E78" s="167"/>
      <c r="F78" s="13">
        <f>Kalikapur!K13</f>
        <v>930795.4888</v>
      </c>
      <c r="G78" s="165">
        <f t="shared" si="31"/>
        <v>0.04973825791</v>
      </c>
      <c r="H78" s="164">
        <f t="shared" si="32"/>
        <v>181413.7836</v>
      </c>
      <c r="I78" s="167"/>
      <c r="J78" s="13">
        <f>Kalikapur!L13</f>
        <v>913388.7918</v>
      </c>
      <c r="K78" s="165">
        <f t="shared" si="33"/>
        <v>0.05546491846</v>
      </c>
      <c r="L78" s="164">
        <f t="shared" si="34"/>
        <v>191097.2154</v>
      </c>
      <c r="M78" s="167"/>
      <c r="N78" s="13">
        <f>Kalikapur!M13</f>
        <v>1082280.613</v>
      </c>
      <c r="O78" s="165">
        <f t="shared" si="35"/>
        <v>0.05237311191</v>
      </c>
      <c r="P78" s="13">
        <f t="shared" si="36"/>
        <v>199323.3514</v>
      </c>
    </row>
    <row r="79">
      <c r="A79" s="169" t="s">
        <v>130</v>
      </c>
      <c r="B79" s="110">
        <f>'Event Sales'!J13</f>
        <v>584211.42</v>
      </c>
      <c r="C79" s="165">
        <f t="shared" si="29"/>
        <v>0.0317636344</v>
      </c>
      <c r="D79" s="13">
        <f t="shared" si="30"/>
        <v>110008.3631</v>
      </c>
      <c r="E79" s="167"/>
      <c r="F79" s="110">
        <f>'Event Sales'!K13</f>
        <v>330766</v>
      </c>
      <c r="G79" s="165">
        <f t="shared" si="31"/>
        <v>0.01767490799</v>
      </c>
      <c r="H79" s="164">
        <f t="shared" si="32"/>
        <v>64466.91273</v>
      </c>
      <c r="I79" s="167"/>
      <c r="J79" s="110">
        <f>'Event Sales'!L13</f>
        <v>326603</v>
      </c>
      <c r="K79" s="165">
        <f t="shared" si="33"/>
        <v>0.01983274694</v>
      </c>
      <c r="L79" s="164">
        <f t="shared" si="34"/>
        <v>68331.16894</v>
      </c>
      <c r="M79" s="167"/>
      <c r="N79" s="110">
        <f>'Event Sales'!M13</f>
        <v>60000</v>
      </c>
      <c r="O79" s="165">
        <f t="shared" si="35"/>
        <v>0.002903486098</v>
      </c>
      <c r="P79" s="13">
        <f t="shared" si="36"/>
        <v>11050.18508</v>
      </c>
    </row>
    <row r="80">
      <c r="A80" s="111"/>
      <c r="B80" s="175">
        <f>sum(B63:B79)</f>
        <v>18392461.41</v>
      </c>
      <c r="C80" s="111"/>
      <c r="D80" s="175">
        <f>sum(D63:D79)</f>
        <v>3463343.072</v>
      </c>
      <c r="E80" s="111"/>
      <c r="F80" s="175">
        <f>sum(F63:F79)</f>
        <v>18713873.94</v>
      </c>
      <c r="G80" s="111"/>
      <c r="H80" s="175">
        <f>sum(H63:H79)</f>
        <v>3647369.072</v>
      </c>
      <c r="I80" s="111"/>
      <c r="J80" s="175">
        <f>sum(J63:J79)</f>
        <v>16467865.04</v>
      </c>
      <c r="K80" s="111"/>
      <c r="L80" s="175">
        <f>sum(L63:L79)</f>
        <v>3445370.888</v>
      </c>
      <c r="M80" s="111"/>
      <c r="N80" s="175">
        <f>sum(N63:N79)</f>
        <v>20664813.95</v>
      </c>
      <c r="O80" s="111"/>
      <c r="P80" s="175">
        <f>sum(P63:P79)</f>
        <v>3805833.645</v>
      </c>
    </row>
  </sheetData>
  <mergeCells count="1">
    <mergeCell ref="O1:P1"/>
  </mergeCells>
  <drawing r:id="rId4"/>
  <legacyDrawing r:id="rId5"/>
</worksheet>
</file>