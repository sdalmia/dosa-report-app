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fa60f68d06c1f4/Desktop/"/>
    </mc:Choice>
  </mc:AlternateContent>
  <xr:revisionPtr revIDLastSave="102" documentId="8_{2A73A27D-08F1-4FE1-97F8-24DCD85B33C1}" xr6:coauthVersionLast="47" xr6:coauthVersionMax="47" xr10:uidLastSave="{553E9350-3CA7-4101-8D24-2A0D61E7BD95}"/>
  <bookViews>
    <workbookView xWindow="-108" yWindow="-108" windowWidth="23256" windowHeight="12456" xr2:uid="{5B512D67-D3D2-4D9A-AD64-AB95CF110872}"/>
  </bookViews>
  <sheets>
    <sheet name="Sales Report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7" i="1" l="1"/>
  <c r="D1" i="1"/>
  <c r="E17" i="1"/>
  <c r="D17" i="1"/>
  <c r="C17" i="1"/>
  <c r="J17" i="1" l="1"/>
  <c r="F17" i="1"/>
  <c r="G17" i="1"/>
  <c r="H17" i="1"/>
  <c r="I17" i="1"/>
  <c r="M17" i="1" l="1"/>
  <c r="K17" i="1"/>
  <c r="L17" i="1"/>
</calcChain>
</file>

<file path=xl/sharedStrings.xml><?xml version="1.0" encoding="utf-8"?>
<sst xmlns="http://schemas.openxmlformats.org/spreadsheetml/2006/main" count="47" uniqueCount="28">
  <si>
    <t>Row Labels</t>
  </si>
  <si>
    <t>Sum of Gross Amount</t>
  </si>
  <si>
    <t>Sum of Net Sales With Charges</t>
  </si>
  <si>
    <t>Sum of No Of Bills</t>
  </si>
  <si>
    <t>Dosa Coffee - Connaught place (02/0012)</t>
  </si>
  <si>
    <t>Dosa Coffee - Gurgaon DLF (02/0009)</t>
  </si>
  <si>
    <t>Dosa Coffee - Gurgaon Sec 10</t>
  </si>
  <si>
    <t>Dosa Coffee - Gurgaon Sec-15 (02/0010)</t>
  </si>
  <si>
    <t>Dosa Coffee - Kalkaji (02/0004)</t>
  </si>
  <si>
    <t>Dosa Coffee - Model Town (02/0013)</t>
  </si>
  <si>
    <t>Dosa Coffee - Pacific mall  Jasola</t>
  </si>
  <si>
    <t>Dosa Coffee - Paschim Vihar (02/0003)</t>
  </si>
  <si>
    <t>Dosa Coffee - Rohini Sec-7 (02/0008)</t>
  </si>
  <si>
    <t>Dosa Coffee - Sec 15 Faridabad (02/0007)</t>
  </si>
  <si>
    <t>Dosa Coffee - Sec 18 Noida (02/0001)</t>
  </si>
  <si>
    <t>Dosa Coffee - Shalimar Bagh (02/0015)</t>
  </si>
  <si>
    <t>Sec 31 - Gurgaon (02/0016)</t>
  </si>
  <si>
    <t>Grand Total</t>
  </si>
  <si>
    <t>Dine In</t>
  </si>
  <si>
    <t>Sum of Net Sale</t>
  </si>
  <si>
    <t>Take Out</t>
  </si>
  <si>
    <t>Zomato Online</t>
  </si>
  <si>
    <t>Swiggy Online</t>
  </si>
  <si>
    <t xml:space="preserve">Remarks </t>
  </si>
  <si>
    <t>N/A</t>
  </si>
  <si>
    <t>Dosa Coffee - Sec 143 Noida (02/0006)</t>
  </si>
  <si>
    <t>CJP Protest was ongoing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</si>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</sst>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43" fontId="0" fillId="0" borderId="1" xfId="1" applyFont="1" applyBorder="1"/>
    <xf numFmtId="0" fontId="0" fillId="0" borderId="1" xfId="0" applyBorder="1" applyAlignment="1">
      <alignment wrapText="1"/>
    </xf>
    <xf numFmtId="43" fontId="0" fillId="0" borderId="1" xfId="1" applyFont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43" fontId="2" fillId="2" borderId="1" xfId="1" applyFont="1" applyFill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vertical="center" wrapText="1"/>
    </xf>
    <xf numFmtId="43" fontId="0" fillId="0" borderId="1" xfId="1" applyFont="1" applyFill="1" applyBorder="1" applyAlignment="1">
      <alignment wrapText="1"/>
    </xf>
    <xf numFmtId="43" fontId="0" fillId="0" borderId="1" xfId="1" applyFont="1" applyFill="1" applyBorder="1"/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EBBC-95FB-441F-8642-BC1E64E34D6D}">
  <dimension ref="B1:O17"/>
  <sheetViews>
    <sheetView tabSelected="1" workbookViewId="0">
      <selection activeCell="B1" sqref="B1"/>
    </sheetView>
  </sheetViews>
  <sheetFormatPr defaultRowHeight="14.4" x14ac:dyDescent="0.3"/>
  <cols>
    <col min="2" max="2" width="34.88671875" customWidth="1"/>
    <col min="3" max="3" width="12.109375" customWidth="1"/>
    <col min="4" max="4" width="11.33203125" bestFit="1" customWidth="1"/>
    <col min="5" max="5" width="8.77734375" bestFit="1" customWidth="1"/>
    <col min="6" max="6" width="11.33203125" bestFit="1" customWidth="1"/>
    <col min="7" max="7" width="7.21875" bestFit="1" customWidth="1"/>
    <col min="8" max="8" width="11.33203125" bestFit="1" customWidth="1"/>
    <col min="9" max="9" width="7.21875" bestFit="1" customWidth="1"/>
    <col min="10" max="10" width="11.33203125" bestFit="1" customWidth="1"/>
    <col min="11" max="11" width="7.21875" bestFit="1" customWidth="1"/>
    <col min="12" max="12" width="11.33203125" bestFit="1" customWidth="1"/>
    <col min="13" max="13" width="7.21875" bestFit="1" customWidth="1"/>
    <col min="15" max="15" width="31.77734375" customWidth="1"/>
  </cols>
  <sheetData>
    <row r="1" spans="2:15" x14ac:dyDescent="0.3">
      <c r="B1" s="9" t="s">
        <v>27</v>
      </c>
      <c r="C1" s="19">
        <v>46306</v>
      </c>
      <c r="D1" s="12" t="str">
        <f>TEXT(C1,"dddd")</f>
        <v>Sunday</v>
      </c>
      <c r="E1" s="13"/>
      <c r="F1" s="18" t="s">
        <v>18</v>
      </c>
      <c r="G1" s="18"/>
      <c r="H1" s="18" t="s">
        <v>20</v>
      </c>
      <c r="I1" s="18"/>
      <c r="J1" s="18" t="s">
        <v>21</v>
      </c>
      <c r="K1" s="18"/>
      <c r="L1" s="18" t="s">
        <v>22</v>
      </c>
      <c r="M1" s="18"/>
      <c r="N1" s="14" t="s">
        <v>23</v>
      </c>
      <c r="O1" s="15"/>
    </row>
    <row r="2" spans="2:15" s="1" customFormat="1" ht="43.2" x14ac:dyDescent="0.3">
      <c r="B2" s="6" t="s">
        <v>0</v>
      </c>
      <c r="C2" s="6" t="s">
        <v>1</v>
      </c>
      <c r="D2" s="6" t="s">
        <v>2</v>
      </c>
      <c r="E2" s="6" t="s">
        <v>3</v>
      </c>
      <c r="F2" s="5" t="s">
        <v>19</v>
      </c>
      <c r="G2" s="5" t="s">
        <v>3</v>
      </c>
      <c r="H2" s="5" t="s">
        <v>19</v>
      </c>
      <c r="I2" s="5" t="s">
        <v>3</v>
      </c>
      <c r="J2" s="5" t="s">
        <v>19</v>
      </c>
      <c r="K2" s="5" t="s">
        <v>3</v>
      </c>
      <c r="L2" s="5" t="s">
        <v>19</v>
      </c>
      <c r="M2" s="5" t="s">
        <v>3</v>
      </c>
      <c r="N2" s="16"/>
      <c r="O2" s="17"/>
    </row>
    <row r="3" spans="2:15" x14ac:dyDescent="0.3">
      <c r="B3" s="3" t="s">
        <v>4</v>
      </c>
      <c r="C3" s="20">
        <v>68526</v>
      </c>
      <c r="D3" s="20">
        <v>65293.33</v>
      </c>
      <c r="E3" s="20">
        <v>113</v>
      </c>
      <c r="F3" s="21">
        <v>52154.27</v>
      </c>
      <c r="G3" s="21">
        <v>87</v>
      </c>
      <c r="H3" s="21">
        <v>0</v>
      </c>
      <c r="I3" s="21">
        <v>0</v>
      </c>
      <c r="J3" s="21">
        <v>5145</v>
      </c>
      <c r="K3" s="21">
        <v>8</v>
      </c>
      <c r="L3" s="21">
        <v>6607.56</v>
      </c>
      <c r="M3" s="21">
        <v>18</v>
      </c>
      <c r="N3" s="22" t="s">
        <v>26</v>
      </c>
      <c r="O3" s="23"/>
    </row>
    <row r="4" spans="2:15" x14ac:dyDescent="0.3">
      <c r="B4" s="3" t="s">
        <v>5</v>
      </c>
      <c r="C4" s="4">
        <v>50787</v>
      </c>
      <c r="D4" s="4">
        <v>48434.57</v>
      </c>
      <c r="E4" s="4">
        <v>149</v>
      </c>
      <c r="F4" s="2">
        <v>4239.29</v>
      </c>
      <c r="G4" s="2">
        <v>8</v>
      </c>
      <c r="H4" s="2">
        <v>195</v>
      </c>
      <c r="I4" s="2">
        <v>1</v>
      </c>
      <c r="J4" s="2">
        <v>28597.439999999999</v>
      </c>
      <c r="K4" s="2">
        <v>97</v>
      </c>
      <c r="L4" s="2">
        <v>10920.04</v>
      </c>
      <c r="M4" s="2">
        <v>43</v>
      </c>
      <c r="N4" s="10" t="s">
        <v>24</v>
      </c>
      <c r="O4" s="11"/>
    </row>
    <row r="5" spans="2:15" x14ac:dyDescent="0.3">
      <c r="B5" s="3" t="s">
        <v>6</v>
      </c>
      <c r="C5" s="4">
        <v>25875</v>
      </c>
      <c r="D5" s="4">
        <v>24661.21</v>
      </c>
      <c r="E5" s="4">
        <v>56</v>
      </c>
      <c r="F5" s="2">
        <v>12338.01</v>
      </c>
      <c r="G5" s="2">
        <v>22</v>
      </c>
      <c r="H5" s="2">
        <v>225</v>
      </c>
      <c r="I5" s="2">
        <v>1</v>
      </c>
      <c r="J5" s="2">
        <v>7105.15</v>
      </c>
      <c r="K5" s="2">
        <v>22</v>
      </c>
      <c r="L5" s="2">
        <v>3800</v>
      </c>
      <c r="M5" s="2">
        <v>11</v>
      </c>
      <c r="N5" s="10" t="s">
        <v>24</v>
      </c>
      <c r="O5" s="11"/>
    </row>
    <row r="6" spans="2:15" x14ac:dyDescent="0.3">
      <c r="B6" s="3" t="s">
        <v>7</v>
      </c>
      <c r="C6" s="4">
        <v>91980</v>
      </c>
      <c r="D6" s="4">
        <v>87638.55</v>
      </c>
      <c r="E6" s="4">
        <v>141</v>
      </c>
      <c r="F6" s="2">
        <v>63900.76</v>
      </c>
      <c r="G6" s="2">
        <v>81</v>
      </c>
      <c r="H6" s="2">
        <v>4017</v>
      </c>
      <c r="I6" s="2">
        <v>9</v>
      </c>
      <c r="J6" s="2">
        <v>11458.55</v>
      </c>
      <c r="K6" s="2">
        <v>39</v>
      </c>
      <c r="L6" s="2">
        <v>6087.56</v>
      </c>
      <c r="M6" s="2">
        <v>12</v>
      </c>
      <c r="N6" s="10" t="s">
        <v>24</v>
      </c>
      <c r="O6" s="11"/>
    </row>
    <row r="7" spans="2:15" x14ac:dyDescent="0.3">
      <c r="B7" s="3" t="s">
        <v>8</v>
      </c>
      <c r="C7" s="4">
        <v>87796</v>
      </c>
      <c r="D7" s="4">
        <v>83734.23</v>
      </c>
      <c r="E7" s="4">
        <v>205</v>
      </c>
      <c r="F7" s="2">
        <v>31349.17</v>
      </c>
      <c r="G7" s="2">
        <v>51</v>
      </c>
      <c r="H7" s="2">
        <v>1755</v>
      </c>
      <c r="I7" s="2">
        <v>3</v>
      </c>
      <c r="J7" s="2">
        <v>25101.64</v>
      </c>
      <c r="K7" s="2">
        <v>88</v>
      </c>
      <c r="L7" s="2">
        <f>20022.72+332</f>
        <v>20354.72</v>
      </c>
      <c r="M7" s="2">
        <v>63</v>
      </c>
      <c r="N7" s="10" t="s">
        <v>24</v>
      </c>
      <c r="O7" s="11"/>
    </row>
    <row r="8" spans="2:15" x14ac:dyDescent="0.3">
      <c r="B8" s="3" t="s">
        <v>9</v>
      </c>
      <c r="C8" s="4">
        <v>101001</v>
      </c>
      <c r="D8" s="4">
        <v>96220.800000000003</v>
      </c>
      <c r="E8" s="4">
        <v>166</v>
      </c>
      <c r="F8" s="2">
        <v>69759.149999999994</v>
      </c>
      <c r="G8" s="2">
        <v>87</v>
      </c>
      <c r="H8" s="2">
        <v>1015</v>
      </c>
      <c r="I8" s="2">
        <v>4</v>
      </c>
      <c r="J8" s="2">
        <v>13805.49</v>
      </c>
      <c r="K8" s="2">
        <v>50</v>
      </c>
      <c r="L8" s="2">
        <v>9300.08</v>
      </c>
      <c r="M8" s="2">
        <v>25</v>
      </c>
      <c r="N8" s="10" t="s">
        <v>24</v>
      </c>
      <c r="O8" s="11"/>
    </row>
    <row r="9" spans="2:15" x14ac:dyDescent="0.3">
      <c r="B9" s="3" t="s">
        <v>10</v>
      </c>
      <c r="C9" s="4">
        <v>95959</v>
      </c>
      <c r="D9" s="4">
        <v>91421.38</v>
      </c>
      <c r="E9" s="4">
        <v>170</v>
      </c>
      <c r="F9" s="2">
        <v>79255.350000000006</v>
      </c>
      <c r="G9" s="2">
        <v>137</v>
      </c>
      <c r="H9" s="2">
        <v>1390</v>
      </c>
      <c r="I9" s="2">
        <v>4</v>
      </c>
      <c r="J9" s="2">
        <v>3350</v>
      </c>
      <c r="K9" s="2">
        <v>6</v>
      </c>
      <c r="L9" s="2">
        <v>6241.03</v>
      </c>
      <c r="M9" s="2">
        <v>23</v>
      </c>
      <c r="N9" s="10" t="s">
        <v>24</v>
      </c>
      <c r="O9" s="11"/>
    </row>
    <row r="10" spans="2:15" x14ac:dyDescent="0.3">
      <c r="B10" s="3" t="s">
        <v>11</v>
      </c>
      <c r="C10" s="4">
        <v>52306</v>
      </c>
      <c r="D10" s="4">
        <v>49849.27</v>
      </c>
      <c r="E10" s="4">
        <v>102</v>
      </c>
      <c r="F10" s="2">
        <v>27286.55</v>
      </c>
      <c r="G10" s="2">
        <v>41</v>
      </c>
      <c r="H10" s="2">
        <v>1525</v>
      </c>
      <c r="I10" s="2">
        <v>3</v>
      </c>
      <c r="J10" s="2">
        <v>10709.22</v>
      </c>
      <c r="K10" s="2">
        <v>29</v>
      </c>
      <c r="L10" s="2">
        <v>8290.0499999999993</v>
      </c>
      <c r="M10" s="2">
        <v>29</v>
      </c>
      <c r="N10" s="10" t="s">
        <v>24</v>
      </c>
      <c r="O10" s="11"/>
    </row>
    <row r="11" spans="2:15" x14ac:dyDescent="0.3">
      <c r="B11" s="3" t="s">
        <v>12</v>
      </c>
      <c r="C11" s="4">
        <v>101486</v>
      </c>
      <c r="D11" s="4">
        <v>96755.92</v>
      </c>
      <c r="E11" s="4">
        <v>219</v>
      </c>
      <c r="F11" s="2">
        <v>46832.38</v>
      </c>
      <c r="G11" s="2">
        <v>73</v>
      </c>
      <c r="H11" s="2">
        <v>3216</v>
      </c>
      <c r="I11" s="2">
        <v>6</v>
      </c>
      <c r="J11" s="2">
        <v>27980.560000000001</v>
      </c>
      <c r="K11" s="2">
        <v>95</v>
      </c>
      <c r="L11" s="2">
        <v>13540.16</v>
      </c>
      <c r="M11" s="2">
        <v>45</v>
      </c>
      <c r="N11" s="10" t="s">
        <v>24</v>
      </c>
      <c r="O11" s="11"/>
    </row>
    <row r="12" spans="2:15" x14ac:dyDescent="0.3">
      <c r="B12" s="3" t="s">
        <v>25</v>
      </c>
      <c r="C12" s="4">
        <v>70258</v>
      </c>
      <c r="D12" s="4">
        <v>66956.31</v>
      </c>
      <c r="E12" s="4">
        <v>144</v>
      </c>
      <c r="F12" s="2">
        <v>35934.11</v>
      </c>
      <c r="G12" s="2">
        <v>56</v>
      </c>
      <c r="H12" s="2">
        <v>2670</v>
      </c>
      <c r="I12" s="2">
        <v>4</v>
      </c>
      <c r="J12" s="2">
        <v>16379.6</v>
      </c>
      <c r="K12" s="2">
        <v>62</v>
      </c>
      <c r="L12" s="2">
        <v>9270.07</v>
      </c>
      <c r="M12" s="2">
        <v>22</v>
      </c>
      <c r="N12" s="10" t="s">
        <v>24</v>
      </c>
      <c r="O12" s="11"/>
    </row>
    <row r="13" spans="2:15" x14ac:dyDescent="0.3">
      <c r="B13" s="3" t="s">
        <v>13</v>
      </c>
      <c r="C13" s="4">
        <v>47292</v>
      </c>
      <c r="D13" s="4">
        <v>45086.36</v>
      </c>
      <c r="E13" s="4">
        <v>99</v>
      </c>
      <c r="F13" s="2">
        <v>15522.69</v>
      </c>
      <c r="G13" s="2">
        <v>23</v>
      </c>
      <c r="H13" s="2">
        <v>1375</v>
      </c>
      <c r="I13" s="2">
        <v>3</v>
      </c>
      <c r="J13" s="2">
        <v>18205.580000000002</v>
      </c>
      <c r="K13" s="2">
        <v>52</v>
      </c>
      <c r="L13" s="2">
        <v>6955.02</v>
      </c>
      <c r="M13" s="2">
        <v>21</v>
      </c>
      <c r="N13" s="10" t="s">
        <v>24</v>
      </c>
      <c r="O13" s="11"/>
    </row>
    <row r="14" spans="2:15" x14ac:dyDescent="0.3">
      <c r="B14" s="3" t="s">
        <v>14</v>
      </c>
      <c r="C14" s="4">
        <v>77754</v>
      </c>
      <c r="D14" s="4">
        <v>74095.850000000006</v>
      </c>
      <c r="E14" s="4">
        <v>171</v>
      </c>
      <c r="F14" s="2">
        <v>39273.58</v>
      </c>
      <c r="G14" s="2">
        <v>55</v>
      </c>
      <c r="H14" s="2">
        <v>0</v>
      </c>
      <c r="I14" s="2">
        <v>0</v>
      </c>
      <c r="J14" s="2">
        <v>18080.189999999999</v>
      </c>
      <c r="K14" s="2">
        <v>72</v>
      </c>
      <c r="L14" s="2">
        <v>13743.01</v>
      </c>
      <c r="M14" s="2">
        <v>44</v>
      </c>
      <c r="N14" s="10" t="s">
        <v>24</v>
      </c>
      <c r="O14" s="11"/>
    </row>
    <row r="15" spans="2:15" x14ac:dyDescent="0.3">
      <c r="B15" s="3" t="s">
        <v>15</v>
      </c>
      <c r="C15" s="4">
        <v>59581</v>
      </c>
      <c r="D15" s="4">
        <v>56770.53</v>
      </c>
      <c r="E15" s="4">
        <v>117</v>
      </c>
      <c r="F15" s="2">
        <v>36011.89</v>
      </c>
      <c r="G15" s="2">
        <v>57</v>
      </c>
      <c r="H15" s="2">
        <v>735</v>
      </c>
      <c r="I15" s="2">
        <v>3</v>
      </c>
      <c r="J15" s="2">
        <v>11710</v>
      </c>
      <c r="K15" s="2">
        <v>39</v>
      </c>
      <c r="L15" s="2">
        <v>6385.08</v>
      </c>
      <c r="M15" s="2">
        <v>18</v>
      </c>
      <c r="N15" s="10" t="s">
        <v>24</v>
      </c>
      <c r="O15" s="11"/>
    </row>
    <row r="16" spans="2:15" x14ac:dyDescent="0.3">
      <c r="B16" s="3" t="s">
        <v>16</v>
      </c>
      <c r="C16" s="4">
        <v>59061</v>
      </c>
      <c r="D16" s="4">
        <v>56274.02</v>
      </c>
      <c r="E16" s="4">
        <v>119</v>
      </c>
      <c r="F16" s="2">
        <v>33617.980000000003</v>
      </c>
      <c r="G16" s="2">
        <v>48</v>
      </c>
      <c r="H16" s="2">
        <v>245</v>
      </c>
      <c r="I16" s="2">
        <v>1</v>
      </c>
      <c r="J16" s="2">
        <v>17008.64</v>
      </c>
      <c r="K16" s="2">
        <v>56</v>
      </c>
      <c r="L16" s="2">
        <v>3028.01</v>
      </c>
      <c r="M16" s="2">
        <v>14</v>
      </c>
      <c r="N16" s="10" t="s">
        <v>24</v>
      </c>
      <c r="O16" s="11"/>
    </row>
    <row r="17" spans="2:15" x14ac:dyDescent="0.3">
      <c r="B17" s="7" t="s">
        <v>17</v>
      </c>
      <c r="C17" s="8">
        <f>SUM(C3:C16)</f>
        <v>989662</v>
      </c>
      <c r="D17" s="8">
        <f t="shared" ref="D17:M17" si="0">SUM(D3:D16)</f>
        <v>943192.33000000007</v>
      </c>
      <c r="E17" s="8">
        <f t="shared" si="0"/>
        <v>1971</v>
      </c>
      <c r="F17" s="8">
        <f t="shared" si="0"/>
        <v>547475.18000000005</v>
      </c>
      <c r="G17" s="8">
        <f t="shared" si="0"/>
        <v>826</v>
      </c>
      <c r="H17" s="8">
        <f t="shared" si="0"/>
        <v>18363</v>
      </c>
      <c r="I17" s="8">
        <f t="shared" si="0"/>
        <v>42</v>
      </c>
      <c r="J17" s="8">
        <f t="shared" si="0"/>
        <v>214637.06000000006</v>
      </c>
      <c r="K17" s="8">
        <f t="shared" si="0"/>
        <v>715</v>
      </c>
      <c r="L17" s="8">
        <f t="shared" si="0"/>
        <v>124522.39000000001</v>
      </c>
      <c r="M17" s="8">
        <f t="shared" si="0"/>
        <v>388</v>
      </c>
      <c r="N17" s="10"/>
      <c r="O17" s="11"/>
    </row>
  </sheetData>
  <mergeCells count="21">
    <mergeCell ref="N1:O2"/>
    <mergeCell ref="N12:O12"/>
    <mergeCell ref="N8:O8"/>
    <mergeCell ref="F1:G1"/>
    <mergeCell ref="H1:I1"/>
    <mergeCell ref="J1:K1"/>
    <mergeCell ref="L1:M1"/>
    <mergeCell ref="N3:O3"/>
    <mergeCell ref="N4:O4"/>
    <mergeCell ref="N5:O5"/>
    <mergeCell ref="N6:O6"/>
    <mergeCell ref="N7:O7"/>
    <mergeCell ref="D1:E1"/>
    <mergeCell ref="N16:O16"/>
    <mergeCell ref="N17:O17"/>
    <mergeCell ref="N9:O9"/>
    <mergeCell ref="N10:O10"/>
    <mergeCell ref="N11:O11"/>
    <mergeCell ref="N13:O13"/>
    <mergeCell ref="N14:O14"/>
    <mergeCell ref="N15:O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</dc:creator>
  <cp:lastModifiedBy>Vikas Kumar</cp:lastModifiedBy>
  <dcterms:created xsi:type="dcterms:W3CDTF">2026-10-10T05:27:26Z</dcterms:created>
  <dcterms:modified xsi:type="dcterms:W3CDTF">2026-10-12T04:11:03Z</dcterms:modified>
</cp:coreProperties>
</file>